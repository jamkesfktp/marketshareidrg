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6ee5ac131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etunjuk_Audit" sheetId="1" r:id="R6dfff44488c54fe4"/>
    <x:sheet xmlns:r="http://schemas.openxmlformats.org/officeDocument/2006/relationships" name="01_Data_RS" sheetId="2" r:id="R9398c096407a445f"/>
    <x:sheet xmlns:r="http://schemas.openxmlformats.org/officeDocument/2006/relationships" name="01B_Kompetitor_RS" sheetId="3" r:id="R4994899a1569411a"/>
    <x:sheet xmlns:r="http://schemas.openxmlformats.org/officeDocument/2006/relationships" name="02_Data_Layanan" sheetId="4" r:id="R026bd3e9b36f4e67"/>
    <x:sheet xmlns:r="http://schemas.openxmlformats.org/officeDocument/2006/relationships" name="03_Parameter" sheetId="5" r:id="Rb1e85839550e404a"/>
    <x:sheet xmlns:r="http://schemas.openxmlformats.org/officeDocument/2006/relationships" name="SIM_01_Alergi_Imunologi_Rheumat" sheetId="6" r:id="R2a199a61ecd34733"/>
    <x:sheet xmlns:r="http://schemas.openxmlformats.org/officeDocument/2006/relationships" name="SIM_02_Endokrin_Nutrisi_Metabol" sheetId="7" r:id="R6b8d165339ef44bd"/>
    <x:sheet xmlns:r="http://schemas.openxmlformats.org/officeDocument/2006/relationships" name="SIM_03_Gigi_Mulut" sheetId="8" r:id="Rf0e0bb8adb7241eb"/>
    <x:sheet xmlns:r="http://schemas.openxmlformats.org/officeDocument/2006/relationships" name="SIM_04_Hematologi" sheetId="9" r:id="R924b3e7df2ef4285"/>
    <x:sheet xmlns:r="http://schemas.openxmlformats.org/officeDocument/2006/relationships" name="SIM_05_Ibu_Ginekologi" sheetId="10" r:id="R365419fa31094bfd"/>
    <x:sheet xmlns:r="http://schemas.openxmlformats.org/officeDocument/2006/relationships" name="SIM_06_Infeksi_Parasit" sheetId="11" r:id="R0d43036248ba488b"/>
    <x:sheet xmlns:r="http://schemas.openxmlformats.org/officeDocument/2006/relationships" name="SIM_07_Jantung_Pembuluh_Darah" sheetId="12" r:id="Ra7f2098a954f4122"/>
    <x:sheet xmlns:r="http://schemas.openxmlformats.org/officeDocument/2006/relationships" name="SIM_08_Jiwa" sheetId="13" r:id="R6e305d28ac714f0a"/>
    <x:sheet xmlns:r="http://schemas.openxmlformats.org/officeDocument/2006/relationships" name="SIM_09_Keracunan" sheetId="14" r:id="Rbbd1013a1b594b3d"/>
    <x:sheet xmlns:r="http://schemas.openxmlformats.org/officeDocument/2006/relationships" name="SIM_10_Kulit_Penyakit_Kelamin" sheetId="15" r:id="R1537db1eb6754bdc"/>
    <x:sheet xmlns:r="http://schemas.openxmlformats.org/officeDocument/2006/relationships" name="SIM_11_Luka_Bakar" sheetId="16" r:id="R7ac5a7434088434b"/>
    <x:sheet xmlns:r="http://schemas.openxmlformats.org/officeDocument/2006/relationships" name="SIM_12_Mata" sheetId="17" r:id="R41c770c0dfed4c08"/>
    <x:sheet xmlns:r="http://schemas.openxmlformats.org/officeDocument/2006/relationships" name="SIM_13_Muskuloskeletal_Jaringan" sheetId="18" r:id="R644de9f1442d489e"/>
    <x:sheet xmlns:r="http://schemas.openxmlformats.org/officeDocument/2006/relationships" name="SIM_14_Neonatus" sheetId="19" r:id="R9af576418adb4f66"/>
    <x:sheet xmlns:r="http://schemas.openxmlformats.org/officeDocument/2006/relationships" name="SIM_15_Neoplasma" sheetId="20" r:id="Rc78e8703c07442f0"/>
    <x:sheet xmlns:r="http://schemas.openxmlformats.org/officeDocument/2006/relationships" name="SIM_16_Paru_Pernafasan" sheetId="21" r:id="R15f1207444ac49f3"/>
    <x:sheet xmlns:r="http://schemas.openxmlformats.org/officeDocument/2006/relationships" name="SIM_17_Pencernaan_Hepatobilier" sheetId="22" r:id="Rd9cc76a608a2498f"/>
    <x:sheet xmlns:r="http://schemas.openxmlformats.org/officeDocument/2006/relationships" name="SIM_18_Rehabilitasi" sheetId="23" r:id="Rc1ff065d255849bd"/>
    <x:sheet xmlns:r="http://schemas.openxmlformats.org/officeDocument/2006/relationships" name="SIM_19_Rekonstruksi_Estetika" sheetId="24" r:id="R105d125bfb52454e"/>
    <x:sheet xmlns:r="http://schemas.openxmlformats.org/officeDocument/2006/relationships" name="SIM_20_Saraf_Neuroscience" sheetId="25" r:id="Rfd900d8ba58c457c"/>
    <x:sheet xmlns:r="http://schemas.openxmlformats.org/officeDocument/2006/relationships" name="SIM_21_Tht" sheetId="26" r:id="Ra12412b95c3f4745"/>
    <x:sheet xmlns:r="http://schemas.openxmlformats.org/officeDocument/2006/relationships" name="SIM_22_Trauma" sheetId="27" r:id="Re607ef07b42a457e"/>
    <x:sheet xmlns:r="http://schemas.openxmlformats.org/officeDocument/2006/relationships" name="SIM_23_Uro_Nefro" sheetId="28" r:id="Rd47742924235486b"/>
    <x:sheet xmlns:r="http://schemas.openxmlformats.org/officeDocument/2006/relationships" name="04_Rekap_Simulasi" sheetId="29" r:id="R8ec408bd168f4103"/>
    <x:sheet xmlns:r="http://schemas.openxmlformats.org/officeDocument/2006/relationships" name="99_Rekonsiliasi" sheetId="30" r:id="Rda2cb7bd1dba4571"/>
  </x:sheets>
</x:workbook>
</file>

<file path=xl/comments1.xml><?xml version="1.0" encoding="utf-8"?>
<x:comments xmlns:x="http://schemas.openxmlformats.org/spreadsheetml/2006/main">
  <x:authors>
    <x:author>Kertas Kerja Market Share</x:author>
  </x:authors>
  <x:commentList>
    <x:comment ref="E2" authorId="0">
      <x:text>
        <x:r>
          <x:t>INPUT AUDIT: nilai ini dapat diedit. Seluruh hasil simulasi mengambil parameter dari sel ini.</x:t>
        </x:r>
      </x:text>
    </x:comment>
    <x:comment ref="F2" authorId="0">
      <x:text>
        <x:r>
          <x:t>INPUT AUDIT: nilai ini dapat diedit. Seluruh hasil simulasi mengambil parameter dari sel ini.</x:t>
        </x:r>
      </x:text>
    </x:comment>
    <x:comment ref="G2" authorId="0">
      <x:text>
        <x:r>
          <x:t>INPUT AUDIT: nilai ini dapat diedit. Seluruh hasil simulasi mengambil parameter dari sel ini.</x:t>
        </x:r>
      </x:text>
    </x:comment>
    <x:comment ref="H2" authorId="0">
      <x:text>
        <x:r>
          <x:t>INPUT AUDIT: nilai ini dapat diedit. Seluruh hasil simulasi mengambil parameter dari sel ini.</x:t>
        </x:r>
      </x:text>
    </x:comment>
    <x:comment ref="I2" authorId="0">
      <x:text>
        <x:r>
          <x:t>INPUT AUDIT: nilai ini dapat diedit. Seluruh hasil simulasi mengambil parameter dari sel ini.</x:t>
        </x:r>
      </x:text>
    </x:comment>
    <x:comment ref="J2" authorId="0">
      <x:text>
        <x:r>
          <x:t>INPUT AUDIT: nilai ini dapat diedit. Seluruh hasil simulasi mengambil parameter dari sel ini.</x:t>
        </x:r>
      </x:text>
    </x:comment>
    <x:comment ref="K2" authorId="0">
      <x:text>
        <x:r>
          <x:t>INPUT AUDIT: nilai ini dapat diedit. Seluruh hasil simulasi mengambil parameter dari sel ini.</x:t>
        </x:r>
      </x:text>
    </x:comment>
    <x:comment ref="L2" authorId="0">
      <x:text>
        <x:r>
          <x:t>INPUT AUDIT: nilai ini dapat diedit. Seluruh hasil simulasi mengambil parameter dari sel ini.</x:t>
        </x:r>
      </x:text>
    </x:comment>
    <x:comment ref="E3" authorId="0">
      <x:text>
        <x:r>
          <x:t>INPUT AUDIT: nilai ini dapat diedit. Seluruh hasil simulasi mengambil parameter dari sel ini.</x:t>
        </x:r>
      </x:text>
    </x:comment>
    <x:comment ref="F3" authorId="0">
      <x:text>
        <x:r>
          <x:t>INPUT AUDIT: nilai ini dapat diedit. Seluruh hasil simulasi mengambil parameter dari sel ini.</x:t>
        </x:r>
      </x:text>
    </x:comment>
    <x:comment ref="G3" authorId="0">
      <x:text>
        <x:r>
          <x:t>INPUT AUDIT: nilai ini dapat diedit. Seluruh hasil simulasi mengambil parameter dari sel ini.</x:t>
        </x:r>
      </x:text>
    </x:comment>
    <x:comment ref="H3" authorId="0">
      <x:text>
        <x:r>
          <x:t>INPUT AUDIT: nilai ini dapat diedit. Seluruh hasil simulasi mengambil parameter dari sel ini.</x:t>
        </x:r>
      </x:text>
    </x:comment>
    <x:comment ref="I3" authorId="0">
      <x:text>
        <x:r>
          <x:t>INPUT AUDIT: nilai ini dapat diedit. Seluruh hasil simulasi mengambil parameter dari sel ini.</x:t>
        </x:r>
      </x:text>
    </x:comment>
    <x:comment ref="J3" authorId="0">
      <x:text>
        <x:r>
          <x:t>INPUT AUDIT: nilai ini dapat diedit. Seluruh hasil simulasi mengambil parameter dari sel ini.</x:t>
        </x:r>
      </x:text>
    </x:comment>
    <x:comment ref="K3" authorId="0">
      <x:text>
        <x:r>
          <x:t>INPUT AUDIT: nilai ini dapat diedit. Seluruh hasil simulasi mengambil parameter dari sel ini.</x:t>
        </x:r>
      </x:text>
    </x:comment>
    <x:comment ref="L3" authorId="0">
      <x:text>
        <x:r>
          <x:t>INPUT AUDIT: nilai ini dapat diedit. Seluruh hasil simulasi mengambil parameter dari sel ini.</x:t>
        </x:r>
      </x:text>
    </x:comment>
    <x:comment ref="E4" authorId="0">
      <x:text>
        <x:r>
          <x:t>INPUT AUDIT: nilai ini dapat diedit. Seluruh hasil simulasi mengambil parameter dari sel ini.</x:t>
        </x:r>
      </x:text>
    </x:comment>
    <x:comment ref="F4" authorId="0">
      <x:text>
        <x:r>
          <x:t>INPUT AUDIT: nilai ini dapat diedit. Seluruh hasil simulasi mengambil parameter dari sel ini.</x:t>
        </x:r>
      </x:text>
    </x:comment>
    <x:comment ref="G4" authorId="0">
      <x:text>
        <x:r>
          <x:t>INPUT AUDIT: nilai ini dapat diedit. Seluruh hasil simulasi mengambil parameter dari sel ini.</x:t>
        </x:r>
      </x:text>
    </x:comment>
    <x:comment ref="H4" authorId="0">
      <x:text>
        <x:r>
          <x:t>INPUT AUDIT: nilai ini dapat diedit. Seluruh hasil simulasi mengambil parameter dari sel ini.</x:t>
        </x:r>
      </x:text>
    </x:comment>
    <x:comment ref="I4" authorId="0">
      <x:text>
        <x:r>
          <x:t>INPUT AUDIT: nilai ini dapat diedit. Seluruh hasil simulasi mengambil parameter dari sel ini.</x:t>
        </x:r>
      </x:text>
    </x:comment>
    <x:comment ref="J4" authorId="0">
      <x:text>
        <x:r>
          <x:t>INPUT AUDIT: nilai ini dapat diedit. Seluruh hasil simulasi mengambil parameter dari sel ini.</x:t>
        </x:r>
      </x:text>
    </x:comment>
    <x:comment ref="K4" authorId="0">
      <x:text>
        <x:r>
          <x:t>INPUT AUDIT: nilai ini dapat diedit. Seluruh hasil simulasi mengambil parameter dari sel ini.</x:t>
        </x:r>
      </x:text>
    </x:comment>
    <x:comment ref="L4" authorId="0">
      <x:text>
        <x:r>
          <x:t>INPUT AUDIT: nilai ini dapat diedit. Seluruh hasil simulasi mengambil parameter dari sel ini.</x:t>
        </x:r>
      </x:text>
    </x:comment>
    <x:comment ref="E5" authorId="0">
      <x:text>
        <x:r>
          <x:t>INPUT AUDIT: nilai ini dapat diedit. Seluruh hasil simulasi mengambil parameter dari sel ini.</x:t>
        </x:r>
      </x:text>
    </x:comment>
    <x:comment ref="F5" authorId="0">
      <x:text>
        <x:r>
          <x:t>INPUT AUDIT: nilai ini dapat diedit. Seluruh hasil simulasi mengambil parameter dari sel ini.</x:t>
        </x:r>
      </x:text>
    </x:comment>
    <x:comment ref="G5" authorId="0">
      <x:text>
        <x:r>
          <x:t>INPUT AUDIT: nilai ini dapat diedit. Seluruh hasil simulasi mengambil parameter dari sel ini.</x:t>
        </x:r>
      </x:text>
    </x:comment>
    <x:comment ref="H5" authorId="0">
      <x:text>
        <x:r>
          <x:t>INPUT AUDIT: nilai ini dapat diedit. Seluruh hasil simulasi mengambil parameter dari sel ini.</x:t>
        </x:r>
      </x:text>
    </x:comment>
    <x:comment ref="I5" authorId="0">
      <x:text>
        <x:r>
          <x:t>INPUT AUDIT: nilai ini dapat diedit. Seluruh hasil simulasi mengambil parameter dari sel ini.</x:t>
        </x:r>
      </x:text>
    </x:comment>
    <x:comment ref="J5" authorId="0">
      <x:text>
        <x:r>
          <x:t>INPUT AUDIT: nilai ini dapat diedit. Seluruh hasil simulasi mengambil parameter dari sel ini.</x:t>
        </x:r>
      </x:text>
    </x:comment>
    <x:comment ref="K5" authorId="0">
      <x:text>
        <x:r>
          <x:t>INPUT AUDIT: nilai ini dapat diedit. Seluruh hasil simulasi mengambil parameter dari sel ini.</x:t>
        </x:r>
      </x:text>
    </x:comment>
    <x:comment ref="L5" authorId="0">
      <x:text>
        <x:r>
          <x:t>INPUT AUDIT: nilai ini dapat diedit. Seluruh hasil simulasi mengambil parameter dari sel ini.</x:t>
        </x:r>
      </x:text>
    </x:comment>
    <x:comment ref="E6" authorId="0">
      <x:text>
        <x:r>
          <x:t>INPUT AUDIT: nilai ini dapat diedit. Seluruh hasil simulasi mengambil parameter dari sel ini.</x:t>
        </x:r>
      </x:text>
    </x:comment>
    <x:comment ref="F6" authorId="0">
      <x:text>
        <x:r>
          <x:t>INPUT AUDIT: nilai ini dapat diedit. Seluruh hasil simulasi mengambil parameter dari sel ini.</x:t>
        </x:r>
      </x:text>
    </x:comment>
    <x:comment ref="G6" authorId="0">
      <x:text>
        <x:r>
          <x:t>INPUT AUDIT: nilai ini dapat diedit. Seluruh hasil simulasi mengambil parameter dari sel ini.</x:t>
        </x:r>
      </x:text>
    </x:comment>
    <x:comment ref="H6" authorId="0">
      <x:text>
        <x:r>
          <x:t>INPUT AUDIT: nilai ini dapat diedit. Seluruh hasil simulasi mengambil parameter dari sel ini.</x:t>
        </x:r>
      </x:text>
    </x:comment>
    <x:comment ref="I6" authorId="0">
      <x:text>
        <x:r>
          <x:t>INPUT AUDIT: nilai ini dapat diedit. Seluruh hasil simulasi mengambil parameter dari sel ini.</x:t>
        </x:r>
      </x:text>
    </x:comment>
    <x:comment ref="J6" authorId="0">
      <x:text>
        <x:r>
          <x:t>INPUT AUDIT: nilai ini dapat diedit. Seluruh hasil simulasi mengambil parameter dari sel ini.</x:t>
        </x:r>
      </x:text>
    </x:comment>
    <x:comment ref="K6" authorId="0">
      <x:text>
        <x:r>
          <x:t>INPUT AUDIT: nilai ini dapat diedit. Seluruh hasil simulasi mengambil parameter dari sel ini.</x:t>
        </x:r>
      </x:text>
    </x:comment>
    <x:comment ref="L6" authorId="0">
      <x:text>
        <x:r>
          <x:t>INPUT AUDIT: nilai ini dapat diedit. Seluruh hasil simulasi mengambil parameter dari sel ini.</x:t>
        </x:r>
      </x:text>
    </x:comment>
    <x:comment ref="E7" authorId="0">
      <x:text>
        <x:r>
          <x:t>INPUT AUDIT: nilai ini dapat diedit. Seluruh hasil simulasi mengambil parameter dari sel ini.</x:t>
        </x:r>
      </x:text>
    </x:comment>
    <x:comment ref="F7" authorId="0">
      <x:text>
        <x:r>
          <x:t>INPUT AUDIT: nilai ini dapat diedit. Seluruh hasil simulasi mengambil parameter dari sel ini.</x:t>
        </x:r>
      </x:text>
    </x:comment>
    <x:comment ref="G7" authorId="0">
      <x:text>
        <x:r>
          <x:t>INPUT AUDIT: nilai ini dapat diedit. Seluruh hasil simulasi mengambil parameter dari sel ini.</x:t>
        </x:r>
      </x:text>
    </x:comment>
    <x:comment ref="H7" authorId="0">
      <x:text>
        <x:r>
          <x:t>INPUT AUDIT: nilai ini dapat diedit. Seluruh hasil simulasi mengambil parameter dari sel ini.</x:t>
        </x:r>
      </x:text>
    </x:comment>
    <x:comment ref="I7" authorId="0">
      <x:text>
        <x:r>
          <x:t>INPUT AUDIT: nilai ini dapat diedit. Seluruh hasil simulasi mengambil parameter dari sel ini.</x:t>
        </x:r>
      </x:text>
    </x:comment>
    <x:comment ref="J7" authorId="0">
      <x:text>
        <x:r>
          <x:t>INPUT AUDIT: nilai ini dapat diedit. Seluruh hasil simulasi mengambil parameter dari sel ini.</x:t>
        </x:r>
      </x:text>
    </x:comment>
    <x:comment ref="K7" authorId="0">
      <x:text>
        <x:r>
          <x:t>INPUT AUDIT: nilai ini dapat diedit. Seluruh hasil simulasi mengambil parameter dari sel ini.</x:t>
        </x:r>
      </x:text>
    </x:comment>
    <x:comment ref="L7" authorId="0">
      <x:text>
        <x:r>
          <x:t>INPUT AUDIT: nilai ini dapat diedit. Seluruh hasil simulasi mengambil parameter dari sel ini.</x:t>
        </x:r>
      </x:text>
    </x:comment>
    <x:comment ref="E8" authorId="0">
      <x:text>
        <x:r>
          <x:t>INPUT AUDIT: nilai ini dapat diedit. Seluruh hasil simulasi mengambil parameter dari sel ini.</x:t>
        </x:r>
      </x:text>
    </x:comment>
    <x:comment ref="F8" authorId="0">
      <x:text>
        <x:r>
          <x:t>INPUT AUDIT: nilai ini dapat diedit. Seluruh hasil simulasi mengambil parameter dari sel ini.</x:t>
        </x:r>
      </x:text>
    </x:comment>
    <x:comment ref="G8" authorId="0">
      <x:text>
        <x:r>
          <x:t>INPUT AUDIT: nilai ini dapat diedit. Seluruh hasil simulasi mengambil parameter dari sel ini.</x:t>
        </x:r>
      </x:text>
    </x:comment>
    <x:comment ref="H8" authorId="0">
      <x:text>
        <x:r>
          <x:t>INPUT AUDIT: nilai ini dapat diedit. Seluruh hasil simulasi mengambil parameter dari sel ini.</x:t>
        </x:r>
      </x:text>
    </x:comment>
    <x:comment ref="I8" authorId="0">
      <x:text>
        <x:r>
          <x:t>INPUT AUDIT: nilai ini dapat diedit. Seluruh hasil simulasi mengambil parameter dari sel ini.</x:t>
        </x:r>
      </x:text>
    </x:comment>
    <x:comment ref="J8" authorId="0">
      <x:text>
        <x:r>
          <x:t>INPUT AUDIT: nilai ini dapat diedit. Seluruh hasil simulasi mengambil parameter dari sel ini.</x:t>
        </x:r>
      </x:text>
    </x:comment>
    <x:comment ref="K8" authorId="0">
      <x:text>
        <x:r>
          <x:t>INPUT AUDIT: nilai ini dapat diedit. Seluruh hasil simulasi mengambil parameter dari sel ini.</x:t>
        </x:r>
      </x:text>
    </x:comment>
    <x:comment ref="L8" authorId="0">
      <x:text>
        <x:r>
          <x:t>INPUT AUDIT: nilai ini dapat diedit. Seluruh hasil simulasi mengambil parameter dari sel ini.</x:t>
        </x:r>
      </x:text>
    </x:comment>
    <x:comment ref="E9" authorId="0">
      <x:text>
        <x:r>
          <x:t>INPUT AUDIT: nilai ini dapat diedit. Seluruh hasil simulasi mengambil parameter dari sel ini.</x:t>
        </x:r>
      </x:text>
    </x:comment>
    <x:comment ref="F9" authorId="0">
      <x:text>
        <x:r>
          <x:t>INPUT AUDIT: nilai ini dapat diedit. Seluruh hasil simulasi mengambil parameter dari sel ini.</x:t>
        </x:r>
      </x:text>
    </x:comment>
    <x:comment ref="G9" authorId="0">
      <x:text>
        <x:r>
          <x:t>INPUT AUDIT: nilai ini dapat diedit. Seluruh hasil simulasi mengambil parameter dari sel ini.</x:t>
        </x:r>
      </x:text>
    </x:comment>
    <x:comment ref="H9" authorId="0">
      <x:text>
        <x:r>
          <x:t>INPUT AUDIT: nilai ini dapat diedit. Seluruh hasil simulasi mengambil parameter dari sel ini.</x:t>
        </x:r>
      </x:text>
    </x:comment>
    <x:comment ref="I9" authorId="0">
      <x:text>
        <x:r>
          <x:t>INPUT AUDIT: nilai ini dapat diedit. Seluruh hasil simulasi mengambil parameter dari sel ini.</x:t>
        </x:r>
      </x:text>
    </x:comment>
    <x:comment ref="J9" authorId="0">
      <x:text>
        <x:r>
          <x:t>INPUT AUDIT: nilai ini dapat diedit. Seluruh hasil simulasi mengambil parameter dari sel ini.</x:t>
        </x:r>
      </x:text>
    </x:comment>
    <x:comment ref="K9" authorId="0">
      <x:text>
        <x:r>
          <x:t>INPUT AUDIT: nilai ini dapat diedit. Seluruh hasil simulasi mengambil parameter dari sel ini.</x:t>
        </x:r>
      </x:text>
    </x:comment>
    <x:comment ref="L9" authorId="0">
      <x:text>
        <x:r>
          <x:t>INPUT AUDIT: nilai ini dapat diedit. Seluruh hasil simulasi mengambil parameter dari sel ini.</x:t>
        </x:r>
      </x:text>
    </x:comment>
    <x:comment ref="E10" authorId="0">
      <x:text>
        <x:r>
          <x:t>INPUT AUDIT: nilai ini dapat diedit. Seluruh hasil simulasi mengambil parameter dari sel ini.</x:t>
        </x:r>
      </x:text>
    </x:comment>
    <x:comment ref="F10" authorId="0">
      <x:text>
        <x:r>
          <x:t>INPUT AUDIT: nilai ini dapat diedit. Seluruh hasil simulasi mengambil parameter dari sel ini.</x:t>
        </x:r>
      </x:text>
    </x:comment>
    <x:comment ref="G10" authorId="0">
      <x:text>
        <x:r>
          <x:t>INPUT AUDIT: nilai ini dapat diedit. Seluruh hasil simulasi mengambil parameter dari sel ini.</x:t>
        </x:r>
      </x:text>
    </x:comment>
    <x:comment ref="H10" authorId="0">
      <x:text>
        <x:r>
          <x:t>INPUT AUDIT: nilai ini dapat diedit. Seluruh hasil simulasi mengambil parameter dari sel ini.</x:t>
        </x:r>
      </x:text>
    </x:comment>
    <x:comment ref="I10" authorId="0">
      <x:text>
        <x:r>
          <x:t>INPUT AUDIT: nilai ini dapat diedit. Seluruh hasil simulasi mengambil parameter dari sel ini.</x:t>
        </x:r>
      </x:text>
    </x:comment>
    <x:comment ref="J10" authorId="0">
      <x:text>
        <x:r>
          <x:t>INPUT AUDIT: nilai ini dapat diedit. Seluruh hasil simulasi mengambil parameter dari sel ini.</x:t>
        </x:r>
      </x:text>
    </x:comment>
    <x:comment ref="K10" authorId="0">
      <x:text>
        <x:r>
          <x:t>INPUT AUDIT: nilai ini dapat diedit. Seluruh hasil simulasi mengambil parameter dari sel ini.</x:t>
        </x:r>
      </x:text>
    </x:comment>
    <x:comment ref="L10" authorId="0">
      <x:text>
        <x:r>
          <x:t>INPUT AUDIT: nilai ini dapat diedit. Seluruh hasil simulasi mengambil parameter dari sel ini.</x:t>
        </x:r>
      </x:text>
    </x:comment>
    <x:comment ref="E11" authorId="0">
      <x:text>
        <x:r>
          <x:t>INPUT AUDIT: nilai ini dapat diedit. Seluruh hasil simulasi mengambil parameter dari sel ini.</x:t>
        </x:r>
      </x:text>
    </x:comment>
    <x:comment ref="F11" authorId="0">
      <x:text>
        <x:r>
          <x:t>INPUT AUDIT: nilai ini dapat diedit. Seluruh hasil simulasi mengambil parameter dari sel ini.</x:t>
        </x:r>
      </x:text>
    </x:comment>
    <x:comment ref="G11" authorId="0">
      <x:text>
        <x:r>
          <x:t>INPUT AUDIT: nilai ini dapat diedit. Seluruh hasil simulasi mengambil parameter dari sel ini.</x:t>
        </x:r>
      </x:text>
    </x:comment>
    <x:comment ref="H11" authorId="0">
      <x:text>
        <x:r>
          <x:t>INPUT AUDIT: nilai ini dapat diedit. Seluruh hasil simulasi mengambil parameter dari sel ini.</x:t>
        </x:r>
      </x:text>
    </x:comment>
    <x:comment ref="I11" authorId="0">
      <x:text>
        <x:r>
          <x:t>INPUT AUDIT: nilai ini dapat diedit. Seluruh hasil simulasi mengambil parameter dari sel ini.</x:t>
        </x:r>
      </x:text>
    </x:comment>
    <x:comment ref="J11" authorId="0">
      <x:text>
        <x:r>
          <x:t>INPUT AUDIT: nilai ini dapat diedit. Seluruh hasil simulasi mengambil parameter dari sel ini.</x:t>
        </x:r>
      </x:text>
    </x:comment>
    <x:comment ref="K11" authorId="0">
      <x:text>
        <x:r>
          <x:t>INPUT AUDIT: nilai ini dapat diedit. Seluruh hasil simulasi mengambil parameter dari sel ini.</x:t>
        </x:r>
      </x:text>
    </x:comment>
    <x:comment ref="L11" authorId="0">
      <x:text>
        <x:r>
          <x:t>INPUT AUDIT: nilai ini dapat diedit. Seluruh hasil simulasi mengambil parameter dari sel ini.</x:t>
        </x:r>
      </x:text>
    </x:comment>
    <x:comment ref="E12" authorId="0">
      <x:text>
        <x:r>
          <x:t>INPUT AUDIT: nilai ini dapat diedit. Seluruh hasil simulasi mengambil parameter dari sel ini.</x:t>
        </x:r>
      </x:text>
    </x:comment>
    <x:comment ref="F12" authorId="0">
      <x:text>
        <x:r>
          <x:t>INPUT AUDIT: nilai ini dapat diedit. Seluruh hasil simulasi mengambil parameter dari sel ini.</x:t>
        </x:r>
      </x:text>
    </x:comment>
    <x:comment ref="G12" authorId="0">
      <x:text>
        <x:r>
          <x:t>INPUT AUDIT: nilai ini dapat diedit. Seluruh hasil simulasi mengambil parameter dari sel ini.</x:t>
        </x:r>
      </x:text>
    </x:comment>
    <x:comment ref="H12" authorId="0">
      <x:text>
        <x:r>
          <x:t>INPUT AUDIT: nilai ini dapat diedit. Seluruh hasil simulasi mengambil parameter dari sel ini.</x:t>
        </x:r>
      </x:text>
    </x:comment>
    <x:comment ref="I12" authorId="0">
      <x:text>
        <x:r>
          <x:t>INPUT AUDIT: nilai ini dapat diedit. Seluruh hasil simulasi mengambil parameter dari sel ini.</x:t>
        </x:r>
      </x:text>
    </x:comment>
    <x:comment ref="J12" authorId="0">
      <x:text>
        <x:r>
          <x:t>INPUT AUDIT: nilai ini dapat diedit. Seluruh hasil simulasi mengambil parameter dari sel ini.</x:t>
        </x:r>
      </x:text>
    </x:comment>
    <x:comment ref="K12" authorId="0">
      <x:text>
        <x:r>
          <x:t>INPUT AUDIT: nilai ini dapat diedit. Seluruh hasil simulasi mengambil parameter dari sel ini.</x:t>
        </x:r>
      </x:text>
    </x:comment>
    <x:comment ref="L12" authorId="0">
      <x:text>
        <x:r>
          <x:t>INPUT AUDIT: nilai ini dapat diedit. Seluruh hasil simulasi mengambil parameter dari sel ini.</x:t>
        </x:r>
      </x:text>
    </x:comment>
    <x:comment ref="E13" authorId="0">
      <x:text>
        <x:r>
          <x:t>INPUT AUDIT: nilai ini dapat diedit. Seluruh hasil simulasi mengambil parameter dari sel ini.</x:t>
        </x:r>
      </x:text>
    </x:comment>
    <x:comment ref="F13" authorId="0">
      <x:text>
        <x:r>
          <x:t>INPUT AUDIT: nilai ini dapat diedit. Seluruh hasil simulasi mengambil parameter dari sel ini.</x:t>
        </x:r>
      </x:text>
    </x:comment>
    <x:comment ref="G13" authorId="0">
      <x:text>
        <x:r>
          <x:t>INPUT AUDIT: nilai ini dapat diedit. Seluruh hasil simulasi mengambil parameter dari sel ini.</x:t>
        </x:r>
      </x:text>
    </x:comment>
    <x:comment ref="H13" authorId="0">
      <x:text>
        <x:r>
          <x:t>INPUT AUDIT: nilai ini dapat diedit. Seluruh hasil simulasi mengambil parameter dari sel ini.</x:t>
        </x:r>
      </x:text>
    </x:comment>
    <x:comment ref="I13" authorId="0">
      <x:text>
        <x:r>
          <x:t>INPUT AUDIT: nilai ini dapat diedit. Seluruh hasil simulasi mengambil parameter dari sel ini.</x:t>
        </x:r>
      </x:text>
    </x:comment>
    <x:comment ref="J13" authorId="0">
      <x:text>
        <x:r>
          <x:t>INPUT AUDIT: nilai ini dapat diedit. Seluruh hasil simulasi mengambil parameter dari sel ini.</x:t>
        </x:r>
      </x:text>
    </x:comment>
    <x:comment ref="K13" authorId="0">
      <x:text>
        <x:r>
          <x:t>INPUT AUDIT: nilai ini dapat diedit. Seluruh hasil simulasi mengambil parameter dari sel ini.</x:t>
        </x:r>
      </x:text>
    </x:comment>
    <x:comment ref="L13" authorId="0">
      <x:text>
        <x:r>
          <x:t>INPUT AUDIT: nilai ini dapat diedit. Seluruh hasil simulasi mengambil parameter dari sel ini.</x:t>
        </x:r>
      </x:text>
    </x:comment>
    <x:comment ref="E14" authorId="0">
      <x:text>
        <x:r>
          <x:t>INPUT AUDIT: nilai ini dapat diedit. Seluruh hasil simulasi mengambil parameter dari sel ini.</x:t>
        </x:r>
      </x:text>
    </x:comment>
    <x:comment ref="F14" authorId="0">
      <x:text>
        <x:r>
          <x:t>INPUT AUDIT: nilai ini dapat diedit. Seluruh hasil simulasi mengambil parameter dari sel ini.</x:t>
        </x:r>
      </x:text>
    </x:comment>
    <x:comment ref="G14" authorId="0">
      <x:text>
        <x:r>
          <x:t>INPUT AUDIT: nilai ini dapat diedit. Seluruh hasil simulasi mengambil parameter dari sel ini.</x:t>
        </x:r>
      </x:text>
    </x:comment>
    <x:comment ref="H14" authorId="0">
      <x:text>
        <x:r>
          <x:t>INPUT AUDIT: nilai ini dapat diedit. Seluruh hasil simulasi mengambil parameter dari sel ini.</x:t>
        </x:r>
      </x:text>
    </x:comment>
    <x:comment ref="I14" authorId="0">
      <x:text>
        <x:r>
          <x:t>INPUT AUDIT: nilai ini dapat diedit. Seluruh hasil simulasi mengambil parameter dari sel ini.</x:t>
        </x:r>
      </x:text>
    </x:comment>
    <x:comment ref="J14" authorId="0">
      <x:text>
        <x:r>
          <x:t>INPUT AUDIT: nilai ini dapat diedit. Seluruh hasil simulasi mengambil parameter dari sel ini.</x:t>
        </x:r>
      </x:text>
    </x:comment>
    <x:comment ref="K14" authorId="0">
      <x:text>
        <x:r>
          <x:t>INPUT AUDIT: nilai ini dapat diedit. Seluruh hasil simulasi mengambil parameter dari sel ini.</x:t>
        </x:r>
      </x:text>
    </x:comment>
    <x:comment ref="L14" authorId="0">
      <x:text>
        <x:r>
          <x:t>INPUT AUDIT: nilai ini dapat diedit. Seluruh hasil simulasi mengambil parameter dari sel ini.</x:t>
        </x:r>
      </x:text>
    </x:comment>
    <x:comment ref="E15" authorId="0">
      <x:text>
        <x:r>
          <x:t>INPUT AUDIT: nilai ini dapat diedit. Seluruh hasil simulasi mengambil parameter dari sel ini.</x:t>
        </x:r>
      </x:text>
    </x:comment>
    <x:comment ref="F15" authorId="0">
      <x:text>
        <x:r>
          <x:t>INPUT AUDIT: nilai ini dapat diedit. Seluruh hasil simulasi mengambil parameter dari sel ini.</x:t>
        </x:r>
      </x:text>
    </x:comment>
    <x:comment ref="G15" authorId="0">
      <x:text>
        <x:r>
          <x:t>INPUT AUDIT: nilai ini dapat diedit. Seluruh hasil simulasi mengambil parameter dari sel ini.</x:t>
        </x:r>
      </x:text>
    </x:comment>
    <x:comment ref="H15" authorId="0">
      <x:text>
        <x:r>
          <x:t>INPUT AUDIT: nilai ini dapat diedit. Seluruh hasil simulasi mengambil parameter dari sel ini.</x:t>
        </x:r>
      </x:text>
    </x:comment>
    <x:comment ref="I15" authorId="0">
      <x:text>
        <x:r>
          <x:t>INPUT AUDIT: nilai ini dapat diedit. Seluruh hasil simulasi mengambil parameter dari sel ini.</x:t>
        </x:r>
      </x:text>
    </x:comment>
    <x:comment ref="J15" authorId="0">
      <x:text>
        <x:r>
          <x:t>INPUT AUDIT: nilai ini dapat diedit. Seluruh hasil simulasi mengambil parameter dari sel ini.</x:t>
        </x:r>
      </x:text>
    </x:comment>
    <x:comment ref="K15" authorId="0">
      <x:text>
        <x:r>
          <x:t>INPUT AUDIT: nilai ini dapat diedit. Seluruh hasil simulasi mengambil parameter dari sel ini.</x:t>
        </x:r>
      </x:text>
    </x:comment>
    <x:comment ref="L15" authorId="0">
      <x:text>
        <x:r>
          <x:t>INPUT AUDIT: nilai ini dapat diedit. Seluruh hasil simulasi mengambil parameter dari sel ini.</x:t>
        </x:r>
      </x:text>
    </x:comment>
    <x:comment ref="E16" authorId="0">
      <x:text>
        <x:r>
          <x:t>INPUT AUDIT: nilai ini dapat diedit. Seluruh hasil simulasi mengambil parameter dari sel ini.</x:t>
        </x:r>
      </x:text>
    </x:comment>
    <x:comment ref="F16" authorId="0">
      <x:text>
        <x:r>
          <x:t>INPUT AUDIT: nilai ini dapat diedit. Seluruh hasil simulasi mengambil parameter dari sel ini.</x:t>
        </x:r>
      </x:text>
    </x:comment>
    <x:comment ref="G16" authorId="0">
      <x:text>
        <x:r>
          <x:t>INPUT AUDIT: nilai ini dapat diedit. Seluruh hasil simulasi mengambil parameter dari sel ini.</x:t>
        </x:r>
      </x:text>
    </x:comment>
    <x:comment ref="H16" authorId="0">
      <x:text>
        <x:r>
          <x:t>INPUT AUDIT: nilai ini dapat diedit. Seluruh hasil simulasi mengambil parameter dari sel ini.</x:t>
        </x:r>
      </x:text>
    </x:comment>
    <x:comment ref="I16" authorId="0">
      <x:text>
        <x:r>
          <x:t>INPUT AUDIT: nilai ini dapat diedit. Seluruh hasil simulasi mengambil parameter dari sel ini.</x:t>
        </x:r>
      </x:text>
    </x:comment>
    <x:comment ref="J16" authorId="0">
      <x:text>
        <x:r>
          <x:t>INPUT AUDIT: nilai ini dapat diedit. Seluruh hasil simulasi mengambil parameter dari sel ini.</x:t>
        </x:r>
      </x:text>
    </x:comment>
    <x:comment ref="K16" authorId="0">
      <x:text>
        <x:r>
          <x:t>INPUT AUDIT: nilai ini dapat diedit. Seluruh hasil simulasi mengambil parameter dari sel ini.</x:t>
        </x:r>
      </x:text>
    </x:comment>
    <x:comment ref="L16" authorId="0">
      <x:text>
        <x:r>
          <x:t>INPUT AUDIT: nilai ini dapat diedit. Seluruh hasil simulasi mengambil parameter dari sel ini.</x:t>
        </x:r>
      </x:text>
    </x:comment>
    <x:comment ref="E17" authorId="0">
      <x:text>
        <x:r>
          <x:t>INPUT AUDIT: nilai ini dapat diedit. Seluruh hasil simulasi mengambil parameter dari sel ini.</x:t>
        </x:r>
      </x:text>
    </x:comment>
    <x:comment ref="F17" authorId="0">
      <x:text>
        <x:r>
          <x:t>INPUT AUDIT: nilai ini dapat diedit. Seluruh hasil simulasi mengambil parameter dari sel ini.</x:t>
        </x:r>
      </x:text>
    </x:comment>
    <x:comment ref="G17" authorId="0">
      <x:text>
        <x:r>
          <x:t>INPUT AUDIT: nilai ini dapat diedit. Seluruh hasil simulasi mengambil parameter dari sel ini.</x:t>
        </x:r>
      </x:text>
    </x:comment>
    <x:comment ref="H17" authorId="0">
      <x:text>
        <x:r>
          <x:t>INPUT AUDIT: nilai ini dapat diedit. Seluruh hasil simulasi mengambil parameter dari sel ini.</x:t>
        </x:r>
      </x:text>
    </x:comment>
    <x:comment ref="I17" authorId="0">
      <x:text>
        <x:r>
          <x:t>INPUT AUDIT: nilai ini dapat diedit. Seluruh hasil simulasi mengambil parameter dari sel ini.</x:t>
        </x:r>
      </x:text>
    </x:comment>
    <x:comment ref="J17" authorId="0">
      <x:text>
        <x:r>
          <x:t>INPUT AUDIT: nilai ini dapat diedit. Seluruh hasil simulasi mengambil parameter dari sel ini.</x:t>
        </x:r>
      </x:text>
    </x:comment>
    <x:comment ref="K17" authorId="0">
      <x:text>
        <x:r>
          <x:t>INPUT AUDIT: nilai ini dapat diedit. Seluruh hasil simulasi mengambil parameter dari sel ini.</x:t>
        </x:r>
      </x:text>
    </x:comment>
    <x:comment ref="L17" authorId="0">
      <x:text>
        <x:r>
          <x:t>INPUT AUDIT: nilai ini dapat diedit. Seluruh hasil simulasi mengambil parameter dari sel ini.</x:t>
        </x:r>
      </x:text>
    </x:comment>
    <x:comment ref="E18" authorId="0">
      <x:text>
        <x:r>
          <x:t>INPUT AUDIT: nilai ini dapat diedit. Seluruh hasil simulasi mengambil parameter dari sel ini.</x:t>
        </x:r>
      </x:text>
    </x:comment>
    <x:comment ref="F18" authorId="0">
      <x:text>
        <x:r>
          <x:t>INPUT AUDIT: nilai ini dapat diedit. Seluruh hasil simulasi mengambil parameter dari sel ini.</x:t>
        </x:r>
      </x:text>
    </x:comment>
    <x:comment ref="G18" authorId="0">
      <x:text>
        <x:r>
          <x:t>INPUT AUDIT: nilai ini dapat diedit. Seluruh hasil simulasi mengambil parameter dari sel ini.</x:t>
        </x:r>
      </x:text>
    </x:comment>
    <x:comment ref="H18" authorId="0">
      <x:text>
        <x:r>
          <x:t>INPUT AUDIT: nilai ini dapat diedit. Seluruh hasil simulasi mengambil parameter dari sel ini.</x:t>
        </x:r>
      </x:text>
    </x:comment>
    <x:comment ref="I18" authorId="0">
      <x:text>
        <x:r>
          <x:t>INPUT AUDIT: nilai ini dapat diedit. Seluruh hasil simulasi mengambil parameter dari sel ini.</x:t>
        </x:r>
      </x:text>
    </x:comment>
    <x:comment ref="J18" authorId="0">
      <x:text>
        <x:r>
          <x:t>INPUT AUDIT: nilai ini dapat diedit. Seluruh hasil simulasi mengambil parameter dari sel ini.</x:t>
        </x:r>
      </x:text>
    </x:comment>
    <x:comment ref="K18" authorId="0">
      <x:text>
        <x:r>
          <x:t>INPUT AUDIT: nilai ini dapat diedit. Seluruh hasil simulasi mengambil parameter dari sel ini.</x:t>
        </x:r>
      </x:text>
    </x:comment>
    <x:comment ref="L18" authorId="0">
      <x:text>
        <x:r>
          <x:t>INPUT AUDIT: nilai ini dapat diedit. Seluruh hasil simulasi mengambil parameter dari sel ini.</x:t>
        </x:r>
      </x:text>
    </x:comment>
    <x:comment ref="E19" authorId="0">
      <x:text>
        <x:r>
          <x:t>INPUT AUDIT: nilai ini dapat diedit. Seluruh hasil simulasi mengambil parameter dari sel ini.</x:t>
        </x:r>
      </x:text>
    </x:comment>
    <x:comment ref="F19" authorId="0">
      <x:text>
        <x:r>
          <x:t>INPUT AUDIT: nilai ini dapat diedit. Seluruh hasil simulasi mengambil parameter dari sel ini.</x:t>
        </x:r>
      </x:text>
    </x:comment>
    <x:comment ref="G19" authorId="0">
      <x:text>
        <x:r>
          <x:t>INPUT AUDIT: nilai ini dapat diedit. Seluruh hasil simulasi mengambil parameter dari sel ini.</x:t>
        </x:r>
      </x:text>
    </x:comment>
    <x:comment ref="H19" authorId="0">
      <x:text>
        <x:r>
          <x:t>INPUT AUDIT: nilai ini dapat diedit. Seluruh hasil simulasi mengambil parameter dari sel ini.</x:t>
        </x:r>
      </x:text>
    </x:comment>
    <x:comment ref="I19" authorId="0">
      <x:text>
        <x:r>
          <x:t>INPUT AUDIT: nilai ini dapat diedit. Seluruh hasil simulasi mengambil parameter dari sel ini.</x:t>
        </x:r>
      </x:text>
    </x:comment>
    <x:comment ref="J19" authorId="0">
      <x:text>
        <x:r>
          <x:t>INPUT AUDIT: nilai ini dapat diedit. Seluruh hasil simulasi mengambil parameter dari sel ini.</x:t>
        </x:r>
      </x:text>
    </x:comment>
    <x:comment ref="K19" authorId="0">
      <x:text>
        <x:r>
          <x:t>INPUT AUDIT: nilai ini dapat diedit. Seluruh hasil simulasi mengambil parameter dari sel ini.</x:t>
        </x:r>
      </x:text>
    </x:comment>
    <x:comment ref="L19" authorId="0">
      <x:text>
        <x:r>
          <x:t>INPUT AUDIT: nilai ini dapat diedit. Seluruh hasil simulasi mengambil parameter dari sel ini.</x:t>
        </x:r>
      </x:text>
    </x:comment>
    <x:comment ref="E20" authorId="0">
      <x:text>
        <x:r>
          <x:t>INPUT AUDIT: nilai ini dapat diedit. Seluruh hasil simulasi mengambil parameter dari sel ini.</x:t>
        </x:r>
      </x:text>
    </x:comment>
    <x:comment ref="F20" authorId="0">
      <x:text>
        <x:r>
          <x:t>INPUT AUDIT: nilai ini dapat diedit. Seluruh hasil simulasi mengambil parameter dari sel ini.</x:t>
        </x:r>
      </x:text>
    </x:comment>
    <x:comment ref="G20" authorId="0">
      <x:text>
        <x:r>
          <x:t>INPUT AUDIT: nilai ini dapat diedit. Seluruh hasil simulasi mengambil parameter dari sel ini.</x:t>
        </x:r>
      </x:text>
    </x:comment>
    <x:comment ref="H20" authorId="0">
      <x:text>
        <x:r>
          <x:t>INPUT AUDIT: nilai ini dapat diedit. Seluruh hasil simulasi mengambil parameter dari sel ini.</x:t>
        </x:r>
      </x:text>
    </x:comment>
    <x:comment ref="I20" authorId="0">
      <x:text>
        <x:r>
          <x:t>INPUT AUDIT: nilai ini dapat diedit. Seluruh hasil simulasi mengambil parameter dari sel ini.</x:t>
        </x:r>
      </x:text>
    </x:comment>
    <x:comment ref="J20" authorId="0">
      <x:text>
        <x:r>
          <x:t>INPUT AUDIT: nilai ini dapat diedit. Seluruh hasil simulasi mengambil parameter dari sel ini.</x:t>
        </x:r>
      </x:text>
    </x:comment>
    <x:comment ref="K20" authorId="0">
      <x:text>
        <x:r>
          <x:t>INPUT AUDIT: nilai ini dapat diedit. Seluruh hasil simulasi mengambil parameter dari sel ini.</x:t>
        </x:r>
      </x:text>
    </x:comment>
    <x:comment ref="L20" authorId="0">
      <x:text>
        <x:r>
          <x:t>INPUT AUDIT: nilai ini dapat diedit. Seluruh hasil simulasi mengambil parameter dari sel ini.</x:t>
        </x:r>
      </x:text>
    </x:comment>
    <x:comment ref="E21" authorId="0">
      <x:text>
        <x:r>
          <x:t>INPUT AUDIT: nilai ini dapat diedit. Seluruh hasil simulasi mengambil parameter dari sel ini.</x:t>
        </x:r>
      </x:text>
    </x:comment>
    <x:comment ref="F21" authorId="0">
      <x:text>
        <x:r>
          <x:t>INPUT AUDIT: nilai ini dapat diedit. Seluruh hasil simulasi mengambil parameter dari sel ini.</x:t>
        </x:r>
      </x:text>
    </x:comment>
    <x:comment ref="G21" authorId="0">
      <x:text>
        <x:r>
          <x:t>INPUT AUDIT: nilai ini dapat diedit. Seluruh hasil simulasi mengambil parameter dari sel ini.</x:t>
        </x:r>
      </x:text>
    </x:comment>
    <x:comment ref="H21" authorId="0">
      <x:text>
        <x:r>
          <x:t>INPUT AUDIT: nilai ini dapat diedit. Seluruh hasil simulasi mengambil parameter dari sel ini.</x:t>
        </x:r>
      </x:text>
    </x:comment>
    <x:comment ref="I21" authorId="0">
      <x:text>
        <x:r>
          <x:t>INPUT AUDIT: nilai ini dapat diedit. Seluruh hasil simulasi mengambil parameter dari sel ini.</x:t>
        </x:r>
      </x:text>
    </x:comment>
    <x:comment ref="J21" authorId="0">
      <x:text>
        <x:r>
          <x:t>INPUT AUDIT: nilai ini dapat diedit. Seluruh hasil simulasi mengambil parameter dari sel ini.</x:t>
        </x:r>
      </x:text>
    </x:comment>
    <x:comment ref="K21" authorId="0">
      <x:text>
        <x:r>
          <x:t>INPUT AUDIT: nilai ini dapat diedit. Seluruh hasil simulasi mengambil parameter dari sel ini.</x:t>
        </x:r>
      </x:text>
    </x:comment>
    <x:comment ref="L21" authorId="0">
      <x:text>
        <x:r>
          <x:t>INPUT AUDIT: nilai ini dapat diedit. Seluruh hasil simulasi mengambil parameter dari sel ini.</x:t>
        </x:r>
      </x:text>
    </x:comment>
    <x:comment ref="E22" authorId="0">
      <x:text>
        <x:r>
          <x:t>INPUT AUDIT: nilai ini dapat diedit. Seluruh hasil simulasi mengambil parameter dari sel ini.</x:t>
        </x:r>
      </x:text>
    </x:comment>
    <x:comment ref="F22" authorId="0">
      <x:text>
        <x:r>
          <x:t>INPUT AUDIT: nilai ini dapat diedit. Seluruh hasil simulasi mengambil parameter dari sel ini.</x:t>
        </x:r>
      </x:text>
    </x:comment>
    <x:comment ref="G22" authorId="0">
      <x:text>
        <x:r>
          <x:t>INPUT AUDIT: nilai ini dapat diedit. Seluruh hasil simulasi mengambil parameter dari sel ini.</x:t>
        </x:r>
      </x:text>
    </x:comment>
    <x:comment ref="H22" authorId="0">
      <x:text>
        <x:r>
          <x:t>INPUT AUDIT: nilai ini dapat diedit. Seluruh hasil simulasi mengambil parameter dari sel ini.</x:t>
        </x:r>
      </x:text>
    </x:comment>
    <x:comment ref="I22" authorId="0">
      <x:text>
        <x:r>
          <x:t>INPUT AUDIT: nilai ini dapat diedit. Seluruh hasil simulasi mengambil parameter dari sel ini.</x:t>
        </x:r>
      </x:text>
    </x:comment>
    <x:comment ref="J22" authorId="0">
      <x:text>
        <x:r>
          <x:t>INPUT AUDIT: nilai ini dapat diedit. Seluruh hasil simulasi mengambil parameter dari sel ini.</x:t>
        </x:r>
      </x:text>
    </x:comment>
    <x:comment ref="K22" authorId="0">
      <x:text>
        <x:r>
          <x:t>INPUT AUDIT: nilai ini dapat diedit. Seluruh hasil simulasi mengambil parameter dari sel ini.</x:t>
        </x:r>
      </x:text>
    </x:comment>
    <x:comment ref="L22" authorId="0">
      <x:text>
        <x:r>
          <x:t>INPUT AUDIT: nilai ini dapat diedit. Seluruh hasil simulasi mengambil parameter dari sel ini.</x:t>
        </x:r>
      </x:text>
    </x:comment>
    <x:comment ref="E23" authorId="0">
      <x:text>
        <x:r>
          <x:t>INPUT AUDIT: nilai ini dapat diedit. Seluruh hasil simulasi mengambil parameter dari sel ini.</x:t>
        </x:r>
      </x:text>
    </x:comment>
    <x:comment ref="F23" authorId="0">
      <x:text>
        <x:r>
          <x:t>INPUT AUDIT: nilai ini dapat diedit. Seluruh hasil simulasi mengambil parameter dari sel ini.</x:t>
        </x:r>
      </x:text>
    </x:comment>
    <x:comment ref="G23" authorId="0">
      <x:text>
        <x:r>
          <x:t>INPUT AUDIT: nilai ini dapat diedit. Seluruh hasil simulasi mengambil parameter dari sel ini.</x:t>
        </x:r>
      </x:text>
    </x:comment>
    <x:comment ref="H23" authorId="0">
      <x:text>
        <x:r>
          <x:t>INPUT AUDIT: nilai ini dapat diedit. Seluruh hasil simulasi mengambil parameter dari sel ini.</x:t>
        </x:r>
      </x:text>
    </x:comment>
    <x:comment ref="I23" authorId="0">
      <x:text>
        <x:r>
          <x:t>INPUT AUDIT: nilai ini dapat diedit. Seluruh hasil simulasi mengambil parameter dari sel ini.</x:t>
        </x:r>
      </x:text>
    </x:comment>
    <x:comment ref="J23" authorId="0">
      <x:text>
        <x:r>
          <x:t>INPUT AUDIT: nilai ini dapat diedit. Seluruh hasil simulasi mengambil parameter dari sel ini.</x:t>
        </x:r>
      </x:text>
    </x:comment>
    <x:comment ref="K23" authorId="0">
      <x:text>
        <x:r>
          <x:t>INPUT AUDIT: nilai ini dapat diedit. Seluruh hasil simulasi mengambil parameter dari sel ini.</x:t>
        </x:r>
      </x:text>
    </x:comment>
    <x:comment ref="L23" authorId="0">
      <x:text>
        <x:r>
          <x:t>INPUT AUDIT: nilai ini dapat diedit. Seluruh hasil simulasi mengambil parameter dari sel ini.</x:t>
        </x:r>
      </x:text>
    </x:comment>
    <x:comment ref="E24" authorId="0">
      <x:text>
        <x:r>
          <x:t>INPUT AUDIT: nilai ini dapat diedit. Seluruh hasil simulasi mengambil parameter dari sel ini.</x:t>
        </x:r>
      </x:text>
    </x:comment>
    <x:comment ref="F24" authorId="0">
      <x:text>
        <x:r>
          <x:t>INPUT AUDIT: nilai ini dapat diedit. Seluruh hasil simulasi mengambil parameter dari sel ini.</x:t>
        </x:r>
      </x:text>
    </x:comment>
    <x:comment ref="G24" authorId="0">
      <x:text>
        <x:r>
          <x:t>INPUT AUDIT: nilai ini dapat diedit. Seluruh hasil simulasi mengambil parameter dari sel ini.</x:t>
        </x:r>
      </x:text>
    </x:comment>
    <x:comment ref="H24" authorId="0">
      <x:text>
        <x:r>
          <x:t>INPUT AUDIT: nilai ini dapat diedit. Seluruh hasil simulasi mengambil parameter dari sel ini.</x:t>
        </x:r>
      </x:text>
    </x:comment>
    <x:comment ref="I24" authorId="0">
      <x:text>
        <x:r>
          <x:t>INPUT AUDIT: nilai ini dapat diedit. Seluruh hasil simulasi mengambil parameter dari sel ini.</x:t>
        </x:r>
      </x:text>
    </x:comment>
    <x:comment ref="J24" authorId="0">
      <x:text>
        <x:r>
          <x:t>INPUT AUDIT: nilai ini dapat diedit. Seluruh hasil simulasi mengambil parameter dari sel ini.</x:t>
        </x:r>
      </x:text>
    </x:comment>
    <x:comment ref="K24" authorId="0">
      <x:text>
        <x:r>
          <x:t>INPUT AUDIT: nilai ini dapat diedit. Seluruh hasil simulasi mengambil parameter dari sel ini.</x:t>
        </x:r>
      </x:text>
    </x:comment>
    <x:comment ref="L24" authorId="0">
      <x:text>
        <x:r>
          <x:t>INPUT AUDIT: nilai ini dapat diedit. Seluruh hasil simulasi mengambil parameter dari sel ini.</x:t>
        </x:r>
      </x:text>
    </x:comment>
    <x:comment ref="E25" authorId="0">
      <x:text>
        <x:r>
          <x:t>INPUT AUDIT: nilai ini dapat diedit. Seluruh hasil simulasi mengambil parameter dari sel ini.</x:t>
        </x:r>
      </x:text>
    </x:comment>
    <x:comment ref="F25" authorId="0">
      <x:text>
        <x:r>
          <x:t>INPUT AUDIT: nilai ini dapat diedit. Seluruh hasil simulasi mengambil parameter dari sel ini.</x:t>
        </x:r>
      </x:text>
    </x:comment>
    <x:comment ref="G25" authorId="0">
      <x:text>
        <x:r>
          <x:t>INPUT AUDIT: nilai ini dapat diedit. Seluruh hasil simulasi mengambil parameter dari sel ini.</x:t>
        </x:r>
      </x:text>
    </x:comment>
    <x:comment ref="H25" authorId="0">
      <x:text>
        <x:r>
          <x:t>INPUT AUDIT: nilai ini dapat diedit. Seluruh hasil simulasi mengambil parameter dari sel ini.</x:t>
        </x:r>
      </x:text>
    </x:comment>
    <x:comment ref="I25" authorId="0">
      <x:text>
        <x:r>
          <x:t>INPUT AUDIT: nilai ini dapat diedit. Seluruh hasil simulasi mengambil parameter dari sel ini.</x:t>
        </x:r>
      </x:text>
    </x:comment>
    <x:comment ref="J25" authorId="0">
      <x:text>
        <x:r>
          <x:t>INPUT AUDIT: nilai ini dapat diedit. Seluruh hasil simulasi mengambil parameter dari sel ini.</x:t>
        </x:r>
      </x:text>
    </x:comment>
    <x:comment ref="K25" authorId="0">
      <x:text>
        <x:r>
          <x:t>INPUT AUDIT: nilai ini dapat diedit. Seluruh hasil simulasi mengambil parameter dari sel ini.</x:t>
        </x:r>
      </x:text>
    </x:comment>
    <x:comment ref="L25" authorId="0">
      <x:text>
        <x:r>
          <x:t>INPUT AUDIT: nilai ini dapat diedit. Seluruh hasil simulasi mengambil parameter dari sel ini.</x:t>
        </x:r>
      </x:text>
    </x:comment>
    <x:comment ref="E26" authorId="0">
      <x:text>
        <x:r>
          <x:t>INPUT AUDIT: nilai ini dapat diedit. Seluruh hasil simulasi mengambil parameter dari sel ini.</x:t>
        </x:r>
      </x:text>
    </x:comment>
    <x:comment ref="F26" authorId="0">
      <x:text>
        <x:r>
          <x:t>INPUT AUDIT: nilai ini dapat diedit. Seluruh hasil simulasi mengambil parameter dari sel ini.</x:t>
        </x:r>
      </x:text>
    </x:comment>
    <x:comment ref="G26" authorId="0">
      <x:text>
        <x:r>
          <x:t>INPUT AUDIT: nilai ini dapat diedit. Seluruh hasil simulasi mengambil parameter dari sel ini.</x:t>
        </x:r>
      </x:text>
    </x:comment>
    <x:comment ref="H26" authorId="0">
      <x:text>
        <x:r>
          <x:t>INPUT AUDIT: nilai ini dapat diedit. Seluruh hasil simulasi mengambil parameter dari sel ini.</x:t>
        </x:r>
      </x:text>
    </x:comment>
    <x:comment ref="I26" authorId="0">
      <x:text>
        <x:r>
          <x:t>INPUT AUDIT: nilai ini dapat diedit. Seluruh hasil simulasi mengambil parameter dari sel ini.</x:t>
        </x:r>
      </x:text>
    </x:comment>
    <x:comment ref="J26" authorId="0">
      <x:text>
        <x:r>
          <x:t>INPUT AUDIT: nilai ini dapat diedit. Seluruh hasil simulasi mengambil parameter dari sel ini.</x:t>
        </x:r>
      </x:text>
    </x:comment>
    <x:comment ref="K26" authorId="0">
      <x:text>
        <x:r>
          <x:t>INPUT AUDIT: nilai ini dapat diedit. Seluruh hasil simulasi mengambil parameter dari sel ini.</x:t>
        </x:r>
      </x:text>
    </x:comment>
    <x:comment ref="L26" authorId="0">
      <x:text>
        <x:r>
          <x:t>INPUT AUDIT: nilai ini dapat diedit. Seluruh hasil simulasi mengambil parameter dari sel ini.</x:t>
        </x:r>
      </x:text>
    </x:comment>
    <x:comment ref="E27" authorId="0">
      <x:text>
        <x:r>
          <x:t>INPUT AUDIT: nilai ini dapat diedit. Seluruh hasil simulasi mengambil parameter dari sel ini.</x:t>
        </x:r>
      </x:text>
    </x:comment>
    <x:comment ref="F27" authorId="0">
      <x:text>
        <x:r>
          <x:t>INPUT AUDIT: nilai ini dapat diedit. Seluruh hasil simulasi mengambil parameter dari sel ini.</x:t>
        </x:r>
      </x:text>
    </x:comment>
    <x:comment ref="G27" authorId="0">
      <x:text>
        <x:r>
          <x:t>INPUT AUDIT: nilai ini dapat diedit. Seluruh hasil simulasi mengambil parameter dari sel ini.</x:t>
        </x:r>
      </x:text>
    </x:comment>
    <x:comment ref="H27" authorId="0">
      <x:text>
        <x:r>
          <x:t>INPUT AUDIT: nilai ini dapat diedit. Seluruh hasil simulasi mengambil parameter dari sel ini.</x:t>
        </x:r>
      </x:text>
    </x:comment>
    <x:comment ref="I27" authorId="0">
      <x:text>
        <x:r>
          <x:t>INPUT AUDIT: nilai ini dapat diedit. Seluruh hasil simulasi mengambil parameter dari sel ini.</x:t>
        </x:r>
      </x:text>
    </x:comment>
    <x:comment ref="J27" authorId="0">
      <x:text>
        <x:r>
          <x:t>INPUT AUDIT: nilai ini dapat diedit. Seluruh hasil simulasi mengambil parameter dari sel ini.</x:t>
        </x:r>
      </x:text>
    </x:comment>
    <x:comment ref="K27" authorId="0">
      <x:text>
        <x:r>
          <x:t>INPUT AUDIT: nilai ini dapat diedit. Seluruh hasil simulasi mengambil parameter dari sel ini.</x:t>
        </x:r>
      </x:text>
    </x:comment>
    <x:comment ref="L27" authorId="0">
      <x:text>
        <x:r>
          <x:t>INPUT AUDIT: nilai ini dapat diedit. Seluruh hasil simulasi mengambil parameter dari sel ini.</x:t>
        </x:r>
      </x:text>
    </x:comment>
    <x:comment ref="E28" authorId="0">
      <x:text>
        <x:r>
          <x:t>INPUT AUDIT: nilai ini dapat diedit. Seluruh hasil simulasi mengambil parameter dari sel ini.</x:t>
        </x:r>
      </x:text>
    </x:comment>
    <x:comment ref="F28" authorId="0">
      <x:text>
        <x:r>
          <x:t>INPUT AUDIT: nilai ini dapat diedit. Seluruh hasil simulasi mengambil parameter dari sel ini.</x:t>
        </x:r>
      </x:text>
    </x:comment>
    <x:comment ref="G28" authorId="0">
      <x:text>
        <x:r>
          <x:t>INPUT AUDIT: nilai ini dapat diedit. Seluruh hasil simulasi mengambil parameter dari sel ini.</x:t>
        </x:r>
      </x:text>
    </x:comment>
    <x:comment ref="H28" authorId="0">
      <x:text>
        <x:r>
          <x:t>INPUT AUDIT: nilai ini dapat diedit. Seluruh hasil simulasi mengambil parameter dari sel ini.</x:t>
        </x:r>
      </x:text>
    </x:comment>
    <x:comment ref="I28" authorId="0">
      <x:text>
        <x:r>
          <x:t>INPUT AUDIT: nilai ini dapat diedit. Seluruh hasil simulasi mengambil parameter dari sel ini.</x:t>
        </x:r>
      </x:text>
    </x:comment>
    <x:comment ref="J28" authorId="0">
      <x:text>
        <x:r>
          <x:t>INPUT AUDIT: nilai ini dapat diedit. Seluruh hasil simulasi mengambil parameter dari sel ini.</x:t>
        </x:r>
      </x:text>
    </x:comment>
    <x:comment ref="K28" authorId="0">
      <x:text>
        <x:r>
          <x:t>INPUT AUDIT: nilai ini dapat diedit. Seluruh hasil simulasi mengambil parameter dari sel ini.</x:t>
        </x:r>
      </x:text>
    </x:comment>
    <x:comment ref="L28" authorId="0">
      <x:text>
        <x:r>
          <x:t>INPUT AUDIT: nilai ini dapat diedit. Seluruh hasil simulasi mengambil parameter dari sel ini.</x:t>
        </x:r>
      </x:text>
    </x:comment>
    <x:comment ref="E29" authorId="0">
      <x:text>
        <x:r>
          <x:t>INPUT AUDIT: nilai ini dapat diedit. Seluruh hasil simulasi mengambil parameter dari sel ini.</x:t>
        </x:r>
      </x:text>
    </x:comment>
    <x:comment ref="F29" authorId="0">
      <x:text>
        <x:r>
          <x:t>INPUT AUDIT: nilai ini dapat diedit. Seluruh hasil simulasi mengambil parameter dari sel ini.</x:t>
        </x:r>
      </x:text>
    </x:comment>
    <x:comment ref="G29" authorId="0">
      <x:text>
        <x:r>
          <x:t>INPUT AUDIT: nilai ini dapat diedit. Seluruh hasil simulasi mengambil parameter dari sel ini.</x:t>
        </x:r>
      </x:text>
    </x:comment>
    <x:comment ref="H29" authorId="0">
      <x:text>
        <x:r>
          <x:t>INPUT AUDIT: nilai ini dapat diedit. Seluruh hasil simulasi mengambil parameter dari sel ini.</x:t>
        </x:r>
      </x:text>
    </x:comment>
    <x:comment ref="I29" authorId="0">
      <x:text>
        <x:r>
          <x:t>INPUT AUDIT: nilai ini dapat diedit. Seluruh hasil simulasi mengambil parameter dari sel ini.</x:t>
        </x:r>
      </x:text>
    </x:comment>
    <x:comment ref="J29" authorId="0">
      <x:text>
        <x:r>
          <x:t>INPUT AUDIT: nilai ini dapat diedit. Seluruh hasil simulasi mengambil parameter dari sel ini.</x:t>
        </x:r>
      </x:text>
    </x:comment>
    <x:comment ref="K29" authorId="0">
      <x:text>
        <x:r>
          <x:t>INPUT AUDIT: nilai ini dapat diedit. Seluruh hasil simulasi mengambil parameter dari sel ini.</x:t>
        </x:r>
      </x:text>
    </x:comment>
    <x:comment ref="L29" authorId="0">
      <x:text>
        <x:r>
          <x:t>INPUT AUDIT: nilai ini dapat diedit. Seluruh hasil simulasi mengambil parameter dari sel ini.</x:t>
        </x:r>
      </x:text>
    </x:comment>
    <x:comment ref="E30" authorId="0">
      <x:text>
        <x:r>
          <x:t>INPUT AUDIT: nilai ini dapat diedit. Seluruh hasil simulasi mengambil parameter dari sel ini.</x:t>
        </x:r>
      </x:text>
    </x:comment>
    <x:comment ref="F30" authorId="0">
      <x:text>
        <x:r>
          <x:t>INPUT AUDIT: nilai ini dapat diedit. Seluruh hasil simulasi mengambil parameter dari sel ini.</x:t>
        </x:r>
      </x:text>
    </x:comment>
    <x:comment ref="G30" authorId="0">
      <x:text>
        <x:r>
          <x:t>INPUT AUDIT: nilai ini dapat diedit. Seluruh hasil simulasi mengambil parameter dari sel ini.</x:t>
        </x:r>
      </x:text>
    </x:comment>
    <x:comment ref="H30" authorId="0">
      <x:text>
        <x:r>
          <x:t>INPUT AUDIT: nilai ini dapat diedit. Seluruh hasil simulasi mengambil parameter dari sel ini.</x:t>
        </x:r>
      </x:text>
    </x:comment>
    <x:comment ref="I30" authorId="0">
      <x:text>
        <x:r>
          <x:t>INPUT AUDIT: nilai ini dapat diedit. Seluruh hasil simulasi mengambil parameter dari sel ini.</x:t>
        </x:r>
      </x:text>
    </x:comment>
    <x:comment ref="J30" authorId="0">
      <x:text>
        <x:r>
          <x:t>INPUT AUDIT: nilai ini dapat diedit. Seluruh hasil simulasi mengambil parameter dari sel ini.</x:t>
        </x:r>
      </x:text>
    </x:comment>
    <x:comment ref="K30" authorId="0">
      <x:text>
        <x:r>
          <x:t>INPUT AUDIT: nilai ini dapat diedit. Seluruh hasil simulasi mengambil parameter dari sel ini.</x:t>
        </x:r>
      </x:text>
    </x:comment>
    <x:comment ref="L30" authorId="0">
      <x:text>
        <x:r>
          <x:t>INPUT AUDIT: nilai ini dapat diedit. Seluruh hasil simulasi mengambil parameter dari sel ini.</x:t>
        </x:r>
      </x:text>
    </x:comment>
    <x:comment ref="E31" authorId="0">
      <x:text>
        <x:r>
          <x:t>INPUT AUDIT: nilai ini dapat diedit. Seluruh hasil simulasi mengambil parameter dari sel ini.</x:t>
        </x:r>
      </x:text>
    </x:comment>
    <x:comment ref="F31" authorId="0">
      <x:text>
        <x:r>
          <x:t>INPUT AUDIT: nilai ini dapat diedit. Seluruh hasil simulasi mengambil parameter dari sel ini.</x:t>
        </x:r>
      </x:text>
    </x:comment>
    <x:comment ref="G31" authorId="0">
      <x:text>
        <x:r>
          <x:t>INPUT AUDIT: nilai ini dapat diedit. Seluruh hasil simulasi mengambil parameter dari sel ini.</x:t>
        </x:r>
      </x:text>
    </x:comment>
    <x:comment ref="H31" authorId="0">
      <x:text>
        <x:r>
          <x:t>INPUT AUDIT: nilai ini dapat diedit. Seluruh hasil simulasi mengambil parameter dari sel ini.</x:t>
        </x:r>
      </x:text>
    </x:comment>
    <x:comment ref="I31" authorId="0">
      <x:text>
        <x:r>
          <x:t>INPUT AUDIT: nilai ini dapat diedit. Seluruh hasil simulasi mengambil parameter dari sel ini.</x:t>
        </x:r>
      </x:text>
    </x:comment>
    <x:comment ref="J31" authorId="0">
      <x:text>
        <x:r>
          <x:t>INPUT AUDIT: nilai ini dapat diedit. Seluruh hasil simulasi mengambil parameter dari sel ini.</x:t>
        </x:r>
      </x:text>
    </x:comment>
    <x:comment ref="K31" authorId="0">
      <x:text>
        <x:r>
          <x:t>INPUT AUDIT: nilai ini dapat diedit. Seluruh hasil simulasi mengambil parameter dari sel ini.</x:t>
        </x:r>
      </x:text>
    </x:comment>
    <x:comment ref="L31" authorId="0">
      <x:text>
        <x:r>
          <x:t>INPUT AUDIT: nilai ini dapat diedit. Seluruh hasil simulasi mengambil parameter dari sel ini.</x:t>
        </x:r>
      </x:text>
    </x:comment>
    <x:comment ref="E32" authorId="0">
      <x:text>
        <x:r>
          <x:t>INPUT AUDIT: nilai ini dapat diedit. Seluruh hasil simulasi mengambil parameter dari sel ini.</x:t>
        </x:r>
      </x:text>
    </x:comment>
    <x:comment ref="F32" authorId="0">
      <x:text>
        <x:r>
          <x:t>INPUT AUDIT: nilai ini dapat diedit. Seluruh hasil simulasi mengambil parameter dari sel ini.</x:t>
        </x:r>
      </x:text>
    </x:comment>
    <x:comment ref="G32" authorId="0">
      <x:text>
        <x:r>
          <x:t>INPUT AUDIT: nilai ini dapat diedit. Seluruh hasil simulasi mengambil parameter dari sel ini.</x:t>
        </x:r>
      </x:text>
    </x:comment>
    <x:comment ref="H32" authorId="0">
      <x:text>
        <x:r>
          <x:t>INPUT AUDIT: nilai ini dapat diedit. Seluruh hasil simulasi mengambil parameter dari sel ini.</x:t>
        </x:r>
      </x:text>
    </x:comment>
    <x:comment ref="I32" authorId="0">
      <x:text>
        <x:r>
          <x:t>INPUT AUDIT: nilai ini dapat diedit. Seluruh hasil simulasi mengambil parameter dari sel ini.</x:t>
        </x:r>
      </x:text>
    </x:comment>
    <x:comment ref="J32" authorId="0">
      <x:text>
        <x:r>
          <x:t>INPUT AUDIT: nilai ini dapat diedit. Seluruh hasil simulasi mengambil parameter dari sel ini.</x:t>
        </x:r>
      </x:text>
    </x:comment>
    <x:comment ref="K32" authorId="0">
      <x:text>
        <x:r>
          <x:t>INPUT AUDIT: nilai ini dapat diedit. Seluruh hasil simulasi mengambil parameter dari sel ini.</x:t>
        </x:r>
      </x:text>
    </x:comment>
    <x:comment ref="L32" authorId="0">
      <x:text>
        <x:r>
          <x:t>INPUT AUDIT: nilai ini dapat diedit. Seluruh hasil simulasi mengambil parameter dari sel ini.</x:t>
        </x:r>
      </x:text>
    </x:comment>
    <x:comment ref="E33" authorId="0">
      <x:text>
        <x:r>
          <x:t>INPUT AUDIT: nilai ini dapat diedit. Seluruh hasil simulasi mengambil parameter dari sel ini.</x:t>
        </x:r>
      </x:text>
    </x:comment>
    <x:comment ref="F33" authorId="0">
      <x:text>
        <x:r>
          <x:t>INPUT AUDIT: nilai ini dapat diedit. Seluruh hasil simulasi mengambil parameter dari sel ini.</x:t>
        </x:r>
      </x:text>
    </x:comment>
    <x:comment ref="G33" authorId="0">
      <x:text>
        <x:r>
          <x:t>INPUT AUDIT: nilai ini dapat diedit. Seluruh hasil simulasi mengambil parameter dari sel ini.</x:t>
        </x:r>
      </x:text>
    </x:comment>
    <x:comment ref="H33" authorId="0">
      <x:text>
        <x:r>
          <x:t>INPUT AUDIT: nilai ini dapat diedit. Seluruh hasil simulasi mengambil parameter dari sel ini.</x:t>
        </x:r>
      </x:text>
    </x:comment>
    <x:comment ref="I33" authorId="0">
      <x:text>
        <x:r>
          <x:t>INPUT AUDIT: nilai ini dapat diedit. Seluruh hasil simulasi mengambil parameter dari sel ini.</x:t>
        </x:r>
      </x:text>
    </x:comment>
    <x:comment ref="J33" authorId="0">
      <x:text>
        <x:r>
          <x:t>INPUT AUDIT: nilai ini dapat diedit. Seluruh hasil simulasi mengambil parameter dari sel ini.</x:t>
        </x:r>
      </x:text>
    </x:comment>
    <x:comment ref="K33" authorId="0">
      <x:text>
        <x:r>
          <x:t>INPUT AUDIT: nilai ini dapat diedit. Seluruh hasil simulasi mengambil parameter dari sel ini.</x:t>
        </x:r>
      </x:text>
    </x:comment>
    <x:comment ref="L33" authorId="0">
      <x:text>
        <x:r>
          <x:t>INPUT AUDIT: nilai ini dapat diedit. Seluruh hasil simulasi mengambil parameter dari sel ini.</x:t>
        </x:r>
      </x:text>
    </x:comment>
    <x:comment ref="E34" authorId="0">
      <x:text>
        <x:r>
          <x:t>INPUT AUDIT: nilai ini dapat diedit. Seluruh hasil simulasi mengambil parameter dari sel ini.</x:t>
        </x:r>
      </x:text>
    </x:comment>
    <x:comment ref="F34" authorId="0">
      <x:text>
        <x:r>
          <x:t>INPUT AUDIT: nilai ini dapat diedit. Seluruh hasil simulasi mengambil parameter dari sel ini.</x:t>
        </x:r>
      </x:text>
    </x:comment>
    <x:comment ref="G34" authorId="0">
      <x:text>
        <x:r>
          <x:t>INPUT AUDIT: nilai ini dapat diedit. Seluruh hasil simulasi mengambil parameter dari sel ini.</x:t>
        </x:r>
      </x:text>
    </x:comment>
    <x:comment ref="H34" authorId="0">
      <x:text>
        <x:r>
          <x:t>INPUT AUDIT: nilai ini dapat diedit. Seluruh hasil simulasi mengambil parameter dari sel ini.</x:t>
        </x:r>
      </x:text>
    </x:comment>
    <x:comment ref="I34" authorId="0">
      <x:text>
        <x:r>
          <x:t>INPUT AUDIT: nilai ini dapat diedit. Seluruh hasil simulasi mengambil parameter dari sel ini.</x:t>
        </x:r>
      </x:text>
    </x:comment>
    <x:comment ref="J34" authorId="0">
      <x:text>
        <x:r>
          <x:t>INPUT AUDIT: nilai ini dapat diedit. Seluruh hasil simulasi mengambil parameter dari sel ini.</x:t>
        </x:r>
      </x:text>
    </x:comment>
    <x:comment ref="K34" authorId="0">
      <x:text>
        <x:r>
          <x:t>INPUT AUDIT: nilai ini dapat diedit. Seluruh hasil simulasi mengambil parameter dari sel ini.</x:t>
        </x:r>
      </x:text>
    </x:comment>
    <x:comment ref="L34" authorId="0">
      <x:text>
        <x:r>
          <x:t>INPUT AUDIT: nilai ini dapat diedit. Seluruh hasil simulasi mengambil parameter dari sel ini.</x:t>
        </x:r>
      </x:text>
    </x:comment>
    <x:comment ref="E35" authorId="0">
      <x:text>
        <x:r>
          <x:t>INPUT AUDIT: nilai ini dapat diedit. Seluruh hasil simulasi mengambil parameter dari sel ini.</x:t>
        </x:r>
      </x:text>
    </x:comment>
    <x:comment ref="F35" authorId="0">
      <x:text>
        <x:r>
          <x:t>INPUT AUDIT: nilai ini dapat diedit. Seluruh hasil simulasi mengambil parameter dari sel ini.</x:t>
        </x:r>
      </x:text>
    </x:comment>
    <x:comment ref="G35" authorId="0">
      <x:text>
        <x:r>
          <x:t>INPUT AUDIT: nilai ini dapat diedit. Seluruh hasil simulasi mengambil parameter dari sel ini.</x:t>
        </x:r>
      </x:text>
    </x:comment>
    <x:comment ref="H35" authorId="0">
      <x:text>
        <x:r>
          <x:t>INPUT AUDIT: nilai ini dapat diedit. Seluruh hasil simulasi mengambil parameter dari sel ini.</x:t>
        </x:r>
      </x:text>
    </x:comment>
    <x:comment ref="I35" authorId="0">
      <x:text>
        <x:r>
          <x:t>INPUT AUDIT: nilai ini dapat diedit. Seluruh hasil simulasi mengambil parameter dari sel ini.</x:t>
        </x:r>
      </x:text>
    </x:comment>
    <x:comment ref="J35" authorId="0">
      <x:text>
        <x:r>
          <x:t>INPUT AUDIT: nilai ini dapat diedit. Seluruh hasil simulasi mengambil parameter dari sel ini.</x:t>
        </x:r>
      </x:text>
    </x:comment>
    <x:comment ref="K35" authorId="0">
      <x:text>
        <x:r>
          <x:t>INPUT AUDIT: nilai ini dapat diedit. Seluruh hasil simulasi mengambil parameter dari sel ini.</x:t>
        </x:r>
      </x:text>
    </x:comment>
    <x:comment ref="L35" authorId="0">
      <x:text>
        <x:r>
          <x:t>INPUT AUDIT: nilai ini dapat diedit. Seluruh hasil simulasi mengambil parameter dari sel ini.</x:t>
        </x:r>
      </x:text>
    </x:comment>
    <x:comment ref="E36" authorId="0">
      <x:text>
        <x:r>
          <x:t>INPUT AUDIT: nilai ini dapat diedit. Seluruh hasil simulasi mengambil parameter dari sel ini.</x:t>
        </x:r>
      </x:text>
    </x:comment>
    <x:comment ref="F36" authorId="0">
      <x:text>
        <x:r>
          <x:t>INPUT AUDIT: nilai ini dapat diedit. Seluruh hasil simulasi mengambil parameter dari sel ini.</x:t>
        </x:r>
      </x:text>
    </x:comment>
    <x:comment ref="G36" authorId="0">
      <x:text>
        <x:r>
          <x:t>INPUT AUDIT: nilai ini dapat diedit. Seluruh hasil simulasi mengambil parameter dari sel ini.</x:t>
        </x:r>
      </x:text>
    </x:comment>
    <x:comment ref="H36" authorId="0">
      <x:text>
        <x:r>
          <x:t>INPUT AUDIT: nilai ini dapat diedit. Seluruh hasil simulasi mengambil parameter dari sel ini.</x:t>
        </x:r>
      </x:text>
    </x:comment>
    <x:comment ref="I36" authorId="0">
      <x:text>
        <x:r>
          <x:t>INPUT AUDIT: nilai ini dapat diedit. Seluruh hasil simulasi mengambil parameter dari sel ini.</x:t>
        </x:r>
      </x:text>
    </x:comment>
    <x:comment ref="J36" authorId="0">
      <x:text>
        <x:r>
          <x:t>INPUT AUDIT: nilai ini dapat diedit. Seluruh hasil simulasi mengambil parameter dari sel ini.</x:t>
        </x:r>
      </x:text>
    </x:comment>
    <x:comment ref="K36" authorId="0">
      <x:text>
        <x:r>
          <x:t>INPUT AUDIT: nilai ini dapat diedit. Seluruh hasil simulasi mengambil parameter dari sel ini.</x:t>
        </x:r>
      </x:text>
    </x:comment>
    <x:comment ref="L36" authorId="0">
      <x:text>
        <x:r>
          <x:t>INPUT AUDIT: nilai ini dapat diedit. Seluruh hasil simulasi mengambil parameter dari sel ini.</x:t>
        </x:r>
      </x:text>
    </x:comment>
    <x:comment ref="E37" authorId="0">
      <x:text>
        <x:r>
          <x:t>INPUT AUDIT: nilai ini dapat diedit. Seluruh hasil simulasi mengambil parameter dari sel ini.</x:t>
        </x:r>
      </x:text>
    </x:comment>
    <x:comment ref="F37" authorId="0">
      <x:text>
        <x:r>
          <x:t>INPUT AUDIT: nilai ini dapat diedit. Seluruh hasil simulasi mengambil parameter dari sel ini.</x:t>
        </x:r>
      </x:text>
    </x:comment>
    <x:comment ref="G37" authorId="0">
      <x:text>
        <x:r>
          <x:t>INPUT AUDIT: nilai ini dapat diedit. Seluruh hasil simulasi mengambil parameter dari sel ini.</x:t>
        </x:r>
      </x:text>
    </x:comment>
    <x:comment ref="H37" authorId="0">
      <x:text>
        <x:r>
          <x:t>INPUT AUDIT: nilai ini dapat diedit. Seluruh hasil simulasi mengambil parameter dari sel ini.</x:t>
        </x:r>
      </x:text>
    </x:comment>
    <x:comment ref="I37" authorId="0">
      <x:text>
        <x:r>
          <x:t>INPUT AUDIT: nilai ini dapat diedit. Seluruh hasil simulasi mengambil parameter dari sel ini.</x:t>
        </x:r>
      </x:text>
    </x:comment>
    <x:comment ref="J37" authorId="0">
      <x:text>
        <x:r>
          <x:t>INPUT AUDIT: nilai ini dapat diedit. Seluruh hasil simulasi mengambil parameter dari sel ini.</x:t>
        </x:r>
      </x:text>
    </x:comment>
    <x:comment ref="K37" authorId="0">
      <x:text>
        <x:r>
          <x:t>INPUT AUDIT: nilai ini dapat diedit. Seluruh hasil simulasi mengambil parameter dari sel ini.</x:t>
        </x:r>
      </x:text>
    </x:comment>
    <x:comment ref="L37" authorId="0">
      <x:text>
        <x:r>
          <x:t>INPUT AUDIT: nilai ini dapat diedit. Seluruh hasil simulasi mengambil parameter dari sel ini.</x:t>
        </x:r>
      </x:text>
    </x:comment>
    <x:comment ref="E38" authorId="0">
      <x:text>
        <x:r>
          <x:t>INPUT AUDIT: nilai ini dapat diedit. Seluruh hasil simulasi mengambil parameter dari sel ini.</x:t>
        </x:r>
      </x:text>
    </x:comment>
    <x:comment ref="F38" authorId="0">
      <x:text>
        <x:r>
          <x:t>INPUT AUDIT: nilai ini dapat diedit. Seluruh hasil simulasi mengambil parameter dari sel ini.</x:t>
        </x:r>
      </x:text>
    </x:comment>
    <x:comment ref="G38" authorId="0">
      <x:text>
        <x:r>
          <x:t>INPUT AUDIT: nilai ini dapat diedit. Seluruh hasil simulasi mengambil parameter dari sel ini.</x:t>
        </x:r>
      </x:text>
    </x:comment>
    <x:comment ref="H38" authorId="0">
      <x:text>
        <x:r>
          <x:t>INPUT AUDIT: nilai ini dapat diedit. Seluruh hasil simulasi mengambil parameter dari sel ini.</x:t>
        </x:r>
      </x:text>
    </x:comment>
    <x:comment ref="I38" authorId="0">
      <x:text>
        <x:r>
          <x:t>INPUT AUDIT: nilai ini dapat diedit. Seluruh hasil simulasi mengambil parameter dari sel ini.</x:t>
        </x:r>
      </x:text>
    </x:comment>
    <x:comment ref="J38" authorId="0">
      <x:text>
        <x:r>
          <x:t>INPUT AUDIT: nilai ini dapat diedit. Seluruh hasil simulasi mengambil parameter dari sel ini.</x:t>
        </x:r>
      </x:text>
    </x:comment>
    <x:comment ref="K38" authorId="0">
      <x:text>
        <x:r>
          <x:t>INPUT AUDIT: nilai ini dapat diedit. Seluruh hasil simulasi mengambil parameter dari sel ini.</x:t>
        </x:r>
      </x:text>
    </x:comment>
    <x:comment ref="L38" authorId="0">
      <x:text>
        <x:r>
          <x:t>INPUT AUDIT: nilai ini dapat diedit. Seluruh hasil simulasi mengambil parameter dari sel ini.</x:t>
        </x:r>
      </x:text>
    </x:comment>
    <x:comment ref="E39" authorId="0">
      <x:text>
        <x:r>
          <x:t>INPUT AUDIT: nilai ini dapat diedit. Seluruh hasil simulasi mengambil parameter dari sel ini.</x:t>
        </x:r>
      </x:text>
    </x:comment>
    <x:comment ref="F39" authorId="0">
      <x:text>
        <x:r>
          <x:t>INPUT AUDIT: nilai ini dapat diedit. Seluruh hasil simulasi mengambil parameter dari sel ini.</x:t>
        </x:r>
      </x:text>
    </x:comment>
    <x:comment ref="G39" authorId="0">
      <x:text>
        <x:r>
          <x:t>INPUT AUDIT: nilai ini dapat diedit. Seluruh hasil simulasi mengambil parameter dari sel ini.</x:t>
        </x:r>
      </x:text>
    </x:comment>
    <x:comment ref="H39" authorId="0">
      <x:text>
        <x:r>
          <x:t>INPUT AUDIT: nilai ini dapat diedit. Seluruh hasil simulasi mengambil parameter dari sel ini.</x:t>
        </x:r>
      </x:text>
    </x:comment>
    <x:comment ref="I39" authorId="0">
      <x:text>
        <x:r>
          <x:t>INPUT AUDIT: nilai ini dapat diedit. Seluruh hasil simulasi mengambil parameter dari sel ini.</x:t>
        </x:r>
      </x:text>
    </x:comment>
    <x:comment ref="J39" authorId="0">
      <x:text>
        <x:r>
          <x:t>INPUT AUDIT: nilai ini dapat diedit. Seluruh hasil simulasi mengambil parameter dari sel ini.</x:t>
        </x:r>
      </x:text>
    </x:comment>
    <x:comment ref="K39" authorId="0">
      <x:text>
        <x:r>
          <x:t>INPUT AUDIT: nilai ini dapat diedit. Seluruh hasil simulasi mengambil parameter dari sel ini.</x:t>
        </x:r>
      </x:text>
    </x:comment>
    <x:comment ref="L39" authorId="0">
      <x:text>
        <x:r>
          <x:t>INPUT AUDIT: nilai ini dapat diedit. Seluruh hasil simulasi mengambil parameter dari sel ini.</x:t>
        </x:r>
      </x:text>
    </x:comment>
    <x:comment ref="E40" authorId="0">
      <x:text>
        <x:r>
          <x:t>INPUT AUDIT: nilai ini dapat diedit. Seluruh hasil simulasi mengambil parameter dari sel ini.</x:t>
        </x:r>
      </x:text>
    </x:comment>
    <x:comment ref="F40" authorId="0">
      <x:text>
        <x:r>
          <x:t>INPUT AUDIT: nilai ini dapat diedit. Seluruh hasil simulasi mengambil parameter dari sel ini.</x:t>
        </x:r>
      </x:text>
    </x:comment>
    <x:comment ref="G40" authorId="0">
      <x:text>
        <x:r>
          <x:t>INPUT AUDIT: nilai ini dapat diedit. Seluruh hasil simulasi mengambil parameter dari sel ini.</x:t>
        </x:r>
      </x:text>
    </x:comment>
    <x:comment ref="H40" authorId="0">
      <x:text>
        <x:r>
          <x:t>INPUT AUDIT: nilai ini dapat diedit. Seluruh hasil simulasi mengambil parameter dari sel ini.</x:t>
        </x:r>
      </x:text>
    </x:comment>
    <x:comment ref="I40" authorId="0">
      <x:text>
        <x:r>
          <x:t>INPUT AUDIT: nilai ini dapat diedit. Seluruh hasil simulasi mengambil parameter dari sel ini.</x:t>
        </x:r>
      </x:text>
    </x:comment>
    <x:comment ref="J40" authorId="0">
      <x:text>
        <x:r>
          <x:t>INPUT AUDIT: nilai ini dapat diedit. Seluruh hasil simulasi mengambil parameter dari sel ini.</x:t>
        </x:r>
      </x:text>
    </x:comment>
    <x:comment ref="K40" authorId="0">
      <x:text>
        <x:r>
          <x:t>INPUT AUDIT: nilai ini dapat diedit. Seluruh hasil simulasi mengambil parameter dari sel ini.</x:t>
        </x:r>
      </x:text>
    </x:comment>
    <x:comment ref="L40" authorId="0">
      <x:text>
        <x:r>
          <x:t>INPUT AUDIT: nilai ini dapat diedit. Seluruh hasil simulasi mengambil parameter dari sel ini.</x:t>
        </x:r>
      </x:text>
    </x:comment>
    <x:comment ref="E41" authorId="0">
      <x:text>
        <x:r>
          <x:t>INPUT AUDIT: nilai ini dapat diedit. Seluruh hasil simulasi mengambil parameter dari sel ini.</x:t>
        </x:r>
      </x:text>
    </x:comment>
    <x:comment ref="F41" authorId="0">
      <x:text>
        <x:r>
          <x:t>INPUT AUDIT: nilai ini dapat diedit. Seluruh hasil simulasi mengambil parameter dari sel ini.</x:t>
        </x:r>
      </x:text>
    </x:comment>
    <x:comment ref="G41" authorId="0">
      <x:text>
        <x:r>
          <x:t>INPUT AUDIT: nilai ini dapat diedit. Seluruh hasil simulasi mengambil parameter dari sel ini.</x:t>
        </x:r>
      </x:text>
    </x:comment>
    <x:comment ref="H41" authorId="0">
      <x:text>
        <x:r>
          <x:t>INPUT AUDIT: nilai ini dapat diedit. Seluruh hasil simulasi mengambil parameter dari sel ini.</x:t>
        </x:r>
      </x:text>
    </x:comment>
    <x:comment ref="I41" authorId="0">
      <x:text>
        <x:r>
          <x:t>INPUT AUDIT: nilai ini dapat diedit. Seluruh hasil simulasi mengambil parameter dari sel ini.</x:t>
        </x:r>
      </x:text>
    </x:comment>
    <x:comment ref="J41" authorId="0">
      <x:text>
        <x:r>
          <x:t>INPUT AUDIT: nilai ini dapat diedit. Seluruh hasil simulasi mengambil parameter dari sel ini.</x:t>
        </x:r>
      </x:text>
    </x:comment>
    <x:comment ref="K41" authorId="0">
      <x:text>
        <x:r>
          <x:t>INPUT AUDIT: nilai ini dapat diedit. Seluruh hasil simulasi mengambil parameter dari sel ini.</x:t>
        </x:r>
      </x:text>
    </x:comment>
    <x:comment ref="L41" authorId="0">
      <x:text>
        <x:r>
          <x:t>INPUT AUDIT: nilai ini dapat diedit. Seluruh hasil simulasi mengambil parameter dari sel ini.</x:t>
        </x:r>
      </x:text>
    </x:comment>
    <x:comment ref="E42" authorId="0">
      <x:text>
        <x:r>
          <x:t>INPUT AUDIT: nilai ini dapat diedit. Seluruh hasil simulasi mengambil parameter dari sel ini.</x:t>
        </x:r>
      </x:text>
    </x:comment>
    <x:comment ref="F42" authorId="0">
      <x:text>
        <x:r>
          <x:t>INPUT AUDIT: nilai ini dapat diedit. Seluruh hasil simulasi mengambil parameter dari sel ini.</x:t>
        </x:r>
      </x:text>
    </x:comment>
    <x:comment ref="G42" authorId="0">
      <x:text>
        <x:r>
          <x:t>INPUT AUDIT: nilai ini dapat diedit. Seluruh hasil simulasi mengambil parameter dari sel ini.</x:t>
        </x:r>
      </x:text>
    </x:comment>
    <x:comment ref="H42" authorId="0">
      <x:text>
        <x:r>
          <x:t>INPUT AUDIT: nilai ini dapat diedit. Seluruh hasil simulasi mengambil parameter dari sel ini.</x:t>
        </x:r>
      </x:text>
    </x:comment>
    <x:comment ref="I42" authorId="0">
      <x:text>
        <x:r>
          <x:t>INPUT AUDIT: nilai ini dapat diedit. Seluruh hasil simulasi mengambil parameter dari sel ini.</x:t>
        </x:r>
      </x:text>
    </x:comment>
    <x:comment ref="J42" authorId="0">
      <x:text>
        <x:r>
          <x:t>INPUT AUDIT: nilai ini dapat diedit. Seluruh hasil simulasi mengambil parameter dari sel ini.</x:t>
        </x:r>
      </x:text>
    </x:comment>
    <x:comment ref="K42" authorId="0">
      <x:text>
        <x:r>
          <x:t>INPUT AUDIT: nilai ini dapat diedit. Seluruh hasil simulasi mengambil parameter dari sel ini.</x:t>
        </x:r>
      </x:text>
    </x:comment>
    <x:comment ref="L42" authorId="0">
      <x:text>
        <x:r>
          <x:t>INPUT AUDIT: nilai ini dapat diedit. Seluruh hasil simulasi mengambil parameter dari sel ini.</x:t>
        </x:r>
      </x:text>
    </x:comment>
    <x:comment ref="E43" authorId="0">
      <x:text>
        <x:r>
          <x:t>INPUT AUDIT: nilai ini dapat diedit. Seluruh hasil simulasi mengambil parameter dari sel ini.</x:t>
        </x:r>
      </x:text>
    </x:comment>
    <x:comment ref="F43" authorId="0">
      <x:text>
        <x:r>
          <x:t>INPUT AUDIT: nilai ini dapat diedit. Seluruh hasil simulasi mengambil parameter dari sel ini.</x:t>
        </x:r>
      </x:text>
    </x:comment>
    <x:comment ref="G43" authorId="0">
      <x:text>
        <x:r>
          <x:t>INPUT AUDIT: nilai ini dapat diedit. Seluruh hasil simulasi mengambil parameter dari sel ini.</x:t>
        </x:r>
      </x:text>
    </x:comment>
    <x:comment ref="H43" authorId="0">
      <x:text>
        <x:r>
          <x:t>INPUT AUDIT: nilai ini dapat diedit. Seluruh hasil simulasi mengambil parameter dari sel ini.</x:t>
        </x:r>
      </x:text>
    </x:comment>
    <x:comment ref="I43" authorId="0">
      <x:text>
        <x:r>
          <x:t>INPUT AUDIT: nilai ini dapat diedit. Seluruh hasil simulasi mengambil parameter dari sel ini.</x:t>
        </x:r>
      </x:text>
    </x:comment>
    <x:comment ref="J43" authorId="0">
      <x:text>
        <x:r>
          <x:t>INPUT AUDIT: nilai ini dapat diedit. Seluruh hasil simulasi mengambil parameter dari sel ini.</x:t>
        </x:r>
      </x:text>
    </x:comment>
    <x:comment ref="K43" authorId="0">
      <x:text>
        <x:r>
          <x:t>INPUT AUDIT: nilai ini dapat diedit. Seluruh hasil simulasi mengambil parameter dari sel ini.</x:t>
        </x:r>
      </x:text>
    </x:comment>
    <x:comment ref="L43" authorId="0">
      <x:text>
        <x:r>
          <x:t>INPUT AUDIT: nilai ini dapat diedit. Seluruh hasil simulasi mengambil parameter dari sel ini.</x:t>
        </x:r>
      </x:text>
    </x:comment>
    <x:comment ref="E44" authorId="0">
      <x:text>
        <x:r>
          <x:t>INPUT AUDIT: nilai ini dapat diedit. Seluruh hasil simulasi mengambil parameter dari sel ini.</x:t>
        </x:r>
      </x:text>
    </x:comment>
    <x:comment ref="F44" authorId="0">
      <x:text>
        <x:r>
          <x:t>INPUT AUDIT: nilai ini dapat diedit. Seluruh hasil simulasi mengambil parameter dari sel ini.</x:t>
        </x:r>
      </x:text>
    </x:comment>
    <x:comment ref="G44" authorId="0">
      <x:text>
        <x:r>
          <x:t>INPUT AUDIT: nilai ini dapat diedit. Seluruh hasil simulasi mengambil parameter dari sel ini.</x:t>
        </x:r>
      </x:text>
    </x:comment>
    <x:comment ref="H44" authorId="0">
      <x:text>
        <x:r>
          <x:t>INPUT AUDIT: nilai ini dapat diedit. Seluruh hasil simulasi mengambil parameter dari sel ini.</x:t>
        </x:r>
      </x:text>
    </x:comment>
    <x:comment ref="I44" authorId="0">
      <x:text>
        <x:r>
          <x:t>INPUT AUDIT: nilai ini dapat diedit. Seluruh hasil simulasi mengambil parameter dari sel ini.</x:t>
        </x:r>
      </x:text>
    </x:comment>
    <x:comment ref="J44" authorId="0">
      <x:text>
        <x:r>
          <x:t>INPUT AUDIT: nilai ini dapat diedit. Seluruh hasil simulasi mengambil parameter dari sel ini.</x:t>
        </x:r>
      </x:text>
    </x:comment>
    <x:comment ref="K44" authorId="0">
      <x:text>
        <x:r>
          <x:t>INPUT AUDIT: nilai ini dapat diedit. Seluruh hasil simulasi mengambil parameter dari sel ini.</x:t>
        </x:r>
      </x:text>
    </x:comment>
    <x:comment ref="L44" authorId="0">
      <x:text>
        <x:r>
          <x:t>INPUT AUDIT: nilai ini dapat diedit. Seluruh hasil simulasi mengambil parameter dari sel ini.</x:t>
        </x:r>
      </x:text>
    </x:comment>
    <x:comment ref="E45" authorId="0">
      <x:text>
        <x:r>
          <x:t>INPUT AUDIT: nilai ini dapat diedit. Seluruh hasil simulasi mengambil parameter dari sel ini.</x:t>
        </x:r>
      </x:text>
    </x:comment>
    <x:comment ref="F45" authorId="0">
      <x:text>
        <x:r>
          <x:t>INPUT AUDIT: nilai ini dapat diedit. Seluruh hasil simulasi mengambil parameter dari sel ini.</x:t>
        </x:r>
      </x:text>
    </x:comment>
    <x:comment ref="G45" authorId="0">
      <x:text>
        <x:r>
          <x:t>INPUT AUDIT: nilai ini dapat diedit. Seluruh hasil simulasi mengambil parameter dari sel ini.</x:t>
        </x:r>
      </x:text>
    </x:comment>
    <x:comment ref="H45" authorId="0">
      <x:text>
        <x:r>
          <x:t>INPUT AUDIT: nilai ini dapat diedit. Seluruh hasil simulasi mengambil parameter dari sel ini.</x:t>
        </x:r>
      </x:text>
    </x:comment>
    <x:comment ref="I45" authorId="0">
      <x:text>
        <x:r>
          <x:t>INPUT AUDIT: nilai ini dapat diedit. Seluruh hasil simulasi mengambil parameter dari sel ini.</x:t>
        </x:r>
      </x:text>
    </x:comment>
    <x:comment ref="J45" authorId="0">
      <x:text>
        <x:r>
          <x:t>INPUT AUDIT: nilai ini dapat diedit. Seluruh hasil simulasi mengambil parameter dari sel ini.</x:t>
        </x:r>
      </x:text>
    </x:comment>
    <x:comment ref="K45" authorId="0">
      <x:text>
        <x:r>
          <x:t>INPUT AUDIT: nilai ini dapat diedit. Seluruh hasil simulasi mengambil parameter dari sel ini.</x:t>
        </x:r>
      </x:text>
    </x:comment>
    <x:comment ref="L45" authorId="0">
      <x:text>
        <x:r>
          <x:t>INPUT AUDIT: nilai ini dapat diedit. Seluruh hasil simulasi mengambil parameter dari sel ini.</x:t>
        </x:r>
      </x:text>
    </x:comment>
    <x:comment ref="E46" authorId="0">
      <x:text>
        <x:r>
          <x:t>INPUT AUDIT: nilai ini dapat diedit. Seluruh hasil simulasi mengambil parameter dari sel ini.</x:t>
        </x:r>
      </x:text>
    </x:comment>
    <x:comment ref="F46" authorId="0">
      <x:text>
        <x:r>
          <x:t>INPUT AUDIT: nilai ini dapat diedit. Seluruh hasil simulasi mengambil parameter dari sel ini.</x:t>
        </x:r>
      </x:text>
    </x:comment>
    <x:comment ref="G46" authorId="0">
      <x:text>
        <x:r>
          <x:t>INPUT AUDIT: nilai ini dapat diedit. Seluruh hasil simulasi mengambil parameter dari sel ini.</x:t>
        </x:r>
      </x:text>
    </x:comment>
    <x:comment ref="H46" authorId="0">
      <x:text>
        <x:r>
          <x:t>INPUT AUDIT: nilai ini dapat diedit. Seluruh hasil simulasi mengambil parameter dari sel ini.</x:t>
        </x:r>
      </x:text>
    </x:comment>
    <x:comment ref="I46" authorId="0">
      <x:text>
        <x:r>
          <x:t>INPUT AUDIT: nilai ini dapat diedit. Seluruh hasil simulasi mengambil parameter dari sel ini.</x:t>
        </x:r>
      </x:text>
    </x:comment>
    <x:comment ref="J46" authorId="0">
      <x:text>
        <x:r>
          <x:t>INPUT AUDIT: nilai ini dapat diedit. Seluruh hasil simulasi mengambil parameter dari sel ini.</x:t>
        </x:r>
      </x:text>
    </x:comment>
    <x:comment ref="K46" authorId="0">
      <x:text>
        <x:r>
          <x:t>INPUT AUDIT: nilai ini dapat diedit. Seluruh hasil simulasi mengambil parameter dari sel ini.</x:t>
        </x:r>
      </x:text>
    </x:comment>
    <x:comment ref="L46" authorId="0">
      <x:text>
        <x:r>
          <x:t>INPUT AUDIT: nilai ini dapat diedit. Seluruh hasil simulasi mengambil parameter dari sel ini.</x:t>
        </x:r>
      </x:text>
    </x:comment>
    <x:comment ref="E47" authorId="0">
      <x:text>
        <x:r>
          <x:t>INPUT AUDIT: nilai ini dapat diedit. Seluruh hasil simulasi mengambil parameter dari sel ini.</x:t>
        </x:r>
      </x:text>
    </x:comment>
    <x:comment ref="F47" authorId="0">
      <x:text>
        <x:r>
          <x:t>INPUT AUDIT: nilai ini dapat diedit. Seluruh hasil simulasi mengambil parameter dari sel ini.</x:t>
        </x:r>
      </x:text>
    </x:comment>
    <x:comment ref="G47" authorId="0">
      <x:text>
        <x:r>
          <x:t>INPUT AUDIT: nilai ini dapat diedit. Seluruh hasil simulasi mengambil parameter dari sel ini.</x:t>
        </x:r>
      </x:text>
    </x:comment>
    <x:comment ref="H47" authorId="0">
      <x:text>
        <x:r>
          <x:t>INPUT AUDIT: nilai ini dapat diedit. Seluruh hasil simulasi mengambil parameter dari sel ini.</x:t>
        </x:r>
      </x:text>
    </x:comment>
    <x:comment ref="I47" authorId="0">
      <x:text>
        <x:r>
          <x:t>INPUT AUDIT: nilai ini dapat diedit. Seluruh hasil simulasi mengambil parameter dari sel ini.</x:t>
        </x:r>
      </x:text>
    </x:comment>
    <x:comment ref="J47" authorId="0">
      <x:text>
        <x:r>
          <x:t>INPUT AUDIT: nilai ini dapat diedit. Seluruh hasil simulasi mengambil parameter dari sel ini.</x:t>
        </x:r>
      </x:text>
    </x:comment>
    <x:comment ref="K47" authorId="0">
      <x:text>
        <x:r>
          <x:t>INPUT AUDIT: nilai ini dapat diedit. Seluruh hasil simulasi mengambil parameter dari sel ini.</x:t>
        </x:r>
      </x:text>
    </x:comment>
    <x:comment ref="L47" authorId="0">
      <x:text>
        <x:r>
          <x:t>INPUT AUDIT: nilai ini dapat diedit. Seluruh hasil simulasi mengambil parameter dari sel ini.</x:t>
        </x:r>
      </x:text>
    </x:comment>
    <x:comment ref="E48" authorId="0">
      <x:text>
        <x:r>
          <x:t>INPUT AUDIT: nilai ini dapat diedit. Seluruh hasil simulasi mengambil parameter dari sel ini.</x:t>
        </x:r>
      </x:text>
    </x:comment>
    <x:comment ref="F48" authorId="0">
      <x:text>
        <x:r>
          <x:t>INPUT AUDIT: nilai ini dapat diedit. Seluruh hasil simulasi mengambil parameter dari sel ini.</x:t>
        </x:r>
      </x:text>
    </x:comment>
    <x:comment ref="G48" authorId="0">
      <x:text>
        <x:r>
          <x:t>INPUT AUDIT: nilai ini dapat diedit. Seluruh hasil simulasi mengambil parameter dari sel ini.</x:t>
        </x:r>
      </x:text>
    </x:comment>
    <x:comment ref="H48" authorId="0">
      <x:text>
        <x:r>
          <x:t>INPUT AUDIT: nilai ini dapat diedit. Seluruh hasil simulasi mengambil parameter dari sel ini.</x:t>
        </x:r>
      </x:text>
    </x:comment>
    <x:comment ref="I48" authorId="0">
      <x:text>
        <x:r>
          <x:t>INPUT AUDIT: nilai ini dapat diedit. Seluruh hasil simulasi mengambil parameter dari sel ini.</x:t>
        </x:r>
      </x:text>
    </x:comment>
    <x:comment ref="J48" authorId="0">
      <x:text>
        <x:r>
          <x:t>INPUT AUDIT: nilai ini dapat diedit. Seluruh hasil simulasi mengambil parameter dari sel ini.</x:t>
        </x:r>
      </x:text>
    </x:comment>
    <x:comment ref="K48" authorId="0">
      <x:text>
        <x:r>
          <x:t>INPUT AUDIT: nilai ini dapat diedit. Seluruh hasil simulasi mengambil parameter dari sel ini.</x:t>
        </x:r>
      </x:text>
    </x:comment>
    <x:comment ref="L48" authorId="0">
      <x:text>
        <x:r>
          <x:t>INPUT AUDIT: nilai ini dapat diedit. Seluruh hasil simulasi mengambil parameter dari sel ini.</x:t>
        </x:r>
      </x:text>
    </x:comment>
    <x:comment ref="E49" authorId="0">
      <x:text>
        <x:r>
          <x:t>INPUT AUDIT: nilai ini dapat diedit. Seluruh hasil simulasi mengambil parameter dari sel ini.</x:t>
        </x:r>
      </x:text>
    </x:comment>
    <x:comment ref="F49" authorId="0">
      <x:text>
        <x:r>
          <x:t>INPUT AUDIT: nilai ini dapat diedit. Seluruh hasil simulasi mengambil parameter dari sel ini.</x:t>
        </x:r>
      </x:text>
    </x:comment>
    <x:comment ref="G49" authorId="0">
      <x:text>
        <x:r>
          <x:t>INPUT AUDIT: nilai ini dapat diedit. Seluruh hasil simulasi mengambil parameter dari sel ini.</x:t>
        </x:r>
      </x:text>
    </x:comment>
    <x:comment ref="H49" authorId="0">
      <x:text>
        <x:r>
          <x:t>INPUT AUDIT: nilai ini dapat diedit. Seluruh hasil simulasi mengambil parameter dari sel ini.</x:t>
        </x:r>
      </x:text>
    </x:comment>
    <x:comment ref="I49" authorId="0">
      <x:text>
        <x:r>
          <x:t>INPUT AUDIT: nilai ini dapat diedit. Seluruh hasil simulasi mengambil parameter dari sel ini.</x:t>
        </x:r>
      </x:text>
    </x:comment>
    <x:comment ref="J49" authorId="0">
      <x:text>
        <x:r>
          <x:t>INPUT AUDIT: nilai ini dapat diedit. Seluruh hasil simulasi mengambil parameter dari sel ini.</x:t>
        </x:r>
      </x:text>
    </x:comment>
    <x:comment ref="K49" authorId="0">
      <x:text>
        <x:r>
          <x:t>INPUT AUDIT: nilai ini dapat diedit. Seluruh hasil simulasi mengambil parameter dari sel ini.</x:t>
        </x:r>
      </x:text>
    </x:comment>
    <x:comment ref="L49" authorId="0">
      <x:text>
        <x:r>
          <x:t>INPUT AUDIT: nilai ini dapat diedit. Seluruh hasil simulasi mengambil parameter dari sel ini.</x:t>
        </x:r>
      </x:text>
    </x:comment>
    <x:comment ref="E50" authorId="0">
      <x:text>
        <x:r>
          <x:t>INPUT AUDIT: nilai ini dapat diedit. Seluruh hasil simulasi mengambil parameter dari sel ini.</x:t>
        </x:r>
      </x:text>
    </x:comment>
    <x:comment ref="F50" authorId="0">
      <x:text>
        <x:r>
          <x:t>INPUT AUDIT: nilai ini dapat diedit. Seluruh hasil simulasi mengambil parameter dari sel ini.</x:t>
        </x:r>
      </x:text>
    </x:comment>
    <x:comment ref="G50" authorId="0">
      <x:text>
        <x:r>
          <x:t>INPUT AUDIT: nilai ini dapat diedit. Seluruh hasil simulasi mengambil parameter dari sel ini.</x:t>
        </x:r>
      </x:text>
    </x:comment>
    <x:comment ref="H50" authorId="0">
      <x:text>
        <x:r>
          <x:t>INPUT AUDIT: nilai ini dapat diedit. Seluruh hasil simulasi mengambil parameter dari sel ini.</x:t>
        </x:r>
      </x:text>
    </x:comment>
    <x:comment ref="I50" authorId="0">
      <x:text>
        <x:r>
          <x:t>INPUT AUDIT: nilai ini dapat diedit. Seluruh hasil simulasi mengambil parameter dari sel ini.</x:t>
        </x:r>
      </x:text>
    </x:comment>
    <x:comment ref="J50" authorId="0">
      <x:text>
        <x:r>
          <x:t>INPUT AUDIT: nilai ini dapat diedit. Seluruh hasil simulasi mengambil parameter dari sel ini.</x:t>
        </x:r>
      </x:text>
    </x:comment>
    <x:comment ref="K50" authorId="0">
      <x:text>
        <x:r>
          <x:t>INPUT AUDIT: nilai ini dapat diedit. Seluruh hasil simulasi mengambil parameter dari sel ini.</x:t>
        </x:r>
      </x:text>
    </x:comment>
    <x:comment ref="L50" authorId="0">
      <x:text>
        <x:r>
          <x:t>INPUT AUDIT: nilai ini dapat diedit. Seluruh hasil simulasi mengambil parameter dari sel ini.</x:t>
        </x:r>
      </x:text>
    </x:comment>
    <x:comment ref="E51" authorId="0">
      <x:text>
        <x:r>
          <x:t>INPUT AUDIT: nilai ini dapat diedit. Seluruh hasil simulasi mengambil parameter dari sel ini.</x:t>
        </x:r>
      </x:text>
    </x:comment>
    <x:comment ref="F51" authorId="0">
      <x:text>
        <x:r>
          <x:t>INPUT AUDIT: nilai ini dapat diedit. Seluruh hasil simulasi mengambil parameter dari sel ini.</x:t>
        </x:r>
      </x:text>
    </x:comment>
    <x:comment ref="G51" authorId="0">
      <x:text>
        <x:r>
          <x:t>INPUT AUDIT: nilai ini dapat diedit. Seluruh hasil simulasi mengambil parameter dari sel ini.</x:t>
        </x:r>
      </x:text>
    </x:comment>
    <x:comment ref="H51" authorId="0">
      <x:text>
        <x:r>
          <x:t>INPUT AUDIT: nilai ini dapat diedit. Seluruh hasil simulasi mengambil parameter dari sel ini.</x:t>
        </x:r>
      </x:text>
    </x:comment>
    <x:comment ref="I51" authorId="0">
      <x:text>
        <x:r>
          <x:t>INPUT AUDIT: nilai ini dapat diedit. Seluruh hasil simulasi mengambil parameter dari sel ini.</x:t>
        </x:r>
      </x:text>
    </x:comment>
    <x:comment ref="J51" authorId="0">
      <x:text>
        <x:r>
          <x:t>INPUT AUDIT: nilai ini dapat diedit. Seluruh hasil simulasi mengambil parameter dari sel ini.</x:t>
        </x:r>
      </x:text>
    </x:comment>
    <x:comment ref="K51" authorId="0">
      <x:text>
        <x:r>
          <x:t>INPUT AUDIT: nilai ini dapat diedit. Seluruh hasil simulasi mengambil parameter dari sel ini.</x:t>
        </x:r>
      </x:text>
    </x:comment>
    <x:comment ref="L51" authorId="0">
      <x:text>
        <x:r>
          <x:t>INPUT AUDIT: nilai ini dapat diedit. Seluruh hasil simulasi mengambil parameter dari sel ini.</x:t>
        </x:r>
      </x:text>
    </x:comment>
    <x:comment ref="E52" authorId="0">
      <x:text>
        <x:r>
          <x:t>INPUT AUDIT: nilai ini dapat diedit. Seluruh hasil simulasi mengambil parameter dari sel ini.</x:t>
        </x:r>
      </x:text>
    </x:comment>
    <x:comment ref="F52" authorId="0">
      <x:text>
        <x:r>
          <x:t>INPUT AUDIT: nilai ini dapat diedit. Seluruh hasil simulasi mengambil parameter dari sel ini.</x:t>
        </x:r>
      </x:text>
    </x:comment>
    <x:comment ref="G52" authorId="0">
      <x:text>
        <x:r>
          <x:t>INPUT AUDIT: nilai ini dapat diedit. Seluruh hasil simulasi mengambil parameter dari sel ini.</x:t>
        </x:r>
      </x:text>
    </x:comment>
    <x:comment ref="H52" authorId="0">
      <x:text>
        <x:r>
          <x:t>INPUT AUDIT: nilai ini dapat diedit. Seluruh hasil simulasi mengambil parameter dari sel ini.</x:t>
        </x:r>
      </x:text>
    </x:comment>
    <x:comment ref="I52" authorId="0">
      <x:text>
        <x:r>
          <x:t>INPUT AUDIT: nilai ini dapat diedit. Seluruh hasil simulasi mengambil parameter dari sel ini.</x:t>
        </x:r>
      </x:text>
    </x:comment>
    <x:comment ref="J52" authorId="0">
      <x:text>
        <x:r>
          <x:t>INPUT AUDIT: nilai ini dapat diedit. Seluruh hasil simulasi mengambil parameter dari sel ini.</x:t>
        </x:r>
      </x:text>
    </x:comment>
    <x:comment ref="K52" authorId="0">
      <x:text>
        <x:r>
          <x:t>INPUT AUDIT: nilai ini dapat diedit. Seluruh hasil simulasi mengambil parameter dari sel ini.</x:t>
        </x:r>
      </x:text>
    </x:comment>
    <x:comment ref="L52" authorId="0">
      <x:text>
        <x:r>
          <x:t>INPUT AUDIT: nilai ini dapat diedit. Seluruh hasil simulasi mengambil parameter dari sel ini.</x:t>
        </x:r>
      </x:text>
    </x:comment>
    <x:comment ref="E53" authorId="0">
      <x:text>
        <x:r>
          <x:t>INPUT AUDIT: nilai ini dapat diedit. Seluruh hasil simulasi mengambil parameter dari sel ini.</x:t>
        </x:r>
      </x:text>
    </x:comment>
    <x:comment ref="F53" authorId="0">
      <x:text>
        <x:r>
          <x:t>INPUT AUDIT: nilai ini dapat diedit. Seluruh hasil simulasi mengambil parameter dari sel ini.</x:t>
        </x:r>
      </x:text>
    </x:comment>
    <x:comment ref="G53" authorId="0">
      <x:text>
        <x:r>
          <x:t>INPUT AUDIT: nilai ini dapat diedit. Seluruh hasil simulasi mengambil parameter dari sel ini.</x:t>
        </x:r>
      </x:text>
    </x:comment>
    <x:comment ref="H53" authorId="0">
      <x:text>
        <x:r>
          <x:t>INPUT AUDIT: nilai ini dapat diedit. Seluruh hasil simulasi mengambil parameter dari sel ini.</x:t>
        </x:r>
      </x:text>
    </x:comment>
    <x:comment ref="I53" authorId="0">
      <x:text>
        <x:r>
          <x:t>INPUT AUDIT: nilai ini dapat diedit. Seluruh hasil simulasi mengambil parameter dari sel ini.</x:t>
        </x:r>
      </x:text>
    </x:comment>
    <x:comment ref="J53" authorId="0">
      <x:text>
        <x:r>
          <x:t>INPUT AUDIT: nilai ini dapat diedit. Seluruh hasil simulasi mengambil parameter dari sel ini.</x:t>
        </x:r>
      </x:text>
    </x:comment>
    <x:comment ref="K53" authorId="0">
      <x:text>
        <x:r>
          <x:t>INPUT AUDIT: nilai ini dapat diedit. Seluruh hasil simulasi mengambil parameter dari sel ini.</x:t>
        </x:r>
      </x:text>
    </x:comment>
    <x:comment ref="L53" authorId="0">
      <x:text>
        <x:r>
          <x:t>INPUT AUDIT: nilai ini dapat diedit. Seluruh hasil simulasi mengambil parameter dari sel ini.</x:t>
        </x:r>
      </x:text>
    </x:comment>
    <x:comment ref="E54" authorId="0">
      <x:text>
        <x:r>
          <x:t>INPUT AUDIT: nilai ini dapat diedit. Seluruh hasil simulasi mengambil parameter dari sel ini.</x:t>
        </x:r>
      </x:text>
    </x:comment>
    <x:comment ref="F54" authorId="0">
      <x:text>
        <x:r>
          <x:t>INPUT AUDIT: nilai ini dapat diedit. Seluruh hasil simulasi mengambil parameter dari sel ini.</x:t>
        </x:r>
      </x:text>
    </x:comment>
    <x:comment ref="G54" authorId="0">
      <x:text>
        <x:r>
          <x:t>INPUT AUDIT: nilai ini dapat diedit. Seluruh hasil simulasi mengambil parameter dari sel ini.</x:t>
        </x:r>
      </x:text>
    </x:comment>
    <x:comment ref="H54" authorId="0">
      <x:text>
        <x:r>
          <x:t>INPUT AUDIT: nilai ini dapat diedit. Seluruh hasil simulasi mengambil parameter dari sel ini.</x:t>
        </x:r>
      </x:text>
    </x:comment>
    <x:comment ref="I54" authorId="0">
      <x:text>
        <x:r>
          <x:t>INPUT AUDIT: nilai ini dapat diedit. Seluruh hasil simulasi mengambil parameter dari sel ini.</x:t>
        </x:r>
      </x:text>
    </x:comment>
    <x:comment ref="J54" authorId="0">
      <x:text>
        <x:r>
          <x:t>INPUT AUDIT: nilai ini dapat diedit. Seluruh hasil simulasi mengambil parameter dari sel ini.</x:t>
        </x:r>
      </x:text>
    </x:comment>
    <x:comment ref="K54" authorId="0">
      <x:text>
        <x:r>
          <x:t>INPUT AUDIT: nilai ini dapat diedit. Seluruh hasil simulasi mengambil parameter dari sel ini.</x:t>
        </x:r>
      </x:text>
    </x:comment>
    <x:comment ref="L54" authorId="0">
      <x:text>
        <x:r>
          <x:t>INPUT AUDIT: nilai ini dapat diedit. Seluruh hasil simulasi mengambil parameter dari sel ini.</x:t>
        </x:r>
      </x:text>
    </x:comment>
    <x:comment ref="E55" authorId="0">
      <x:text>
        <x:r>
          <x:t>INPUT AUDIT: nilai ini dapat diedit. Seluruh hasil simulasi mengambil parameter dari sel ini.</x:t>
        </x:r>
      </x:text>
    </x:comment>
    <x:comment ref="F55" authorId="0">
      <x:text>
        <x:r>
          <x:t>INPUT AUDIT: nilai ini dapat diedit. Seluruh hasil simulasi mengambil parameter dari sel ini.</x:t>
        </x:r>
      </x:text>
    </x:comment>
    <x:comment ref="G55" authorId="0">
      <x:text>
        <x:r>
          <x:t>INPUT AUDIT: nilai ini dapat diedit. Seluruh hasil simulasi mengambil parameter dari sel ini.</x:t>
        </x:r>
      </x:text>
    </x:comment>
    <x:comment ref="H55" authorId="0">
      <x:text>
        <x:r>
          <x:t>INPUT AUDIT: nilai ini dapat diedit. Seluruh hasil simulasi mengambil parameter dari sel ini.</x:t>
        </x:r>
      </x:text>
    </x:comment>
    <x:comment ref="I55" authorId="0">
      <x:text>
        <x:r>
          <x:t>INPUT AUDIT: nilai ini dapat diedit. Seluruh hasil simulasi mengambil parameter dari sel ini.</x:t>
        </x:r>
      </x:text>
    </x:comment>
    <x:comment ref="J55" authorId="0">
      <x:text>
        <x:r>
          <x:t>INPUT AUDIT: nilai ini dapat diedit. Seluruh hasil simulasi mengambil parameter dari sel ini.</x:t>
        </x:r>
      </x:text>
    </x:comment>
    <x:comment ref="K55" authorId="0">
      <x:text>
        <x:r>
          <x:t>INPUT AUDIT: nilai ini dapat diedit. Seluruh hasil simulasi mengambil parameter dari sel ini.</x:t>
        </x:r>
      </x:text>
    </x:comment>
    <x:comment ref="L55" authorId="0">
      <x:text>
        <x:r>
          <x:t>INPUT AUDIT: nilai ini dapat diedit. Seluruh hasil simulasi mengambil parameter dari sel ini.</x:t>
        </x:r>
      </x:text>
    </x:comment>
    <x:comment ref="E56" authorId="0">
      <x:text>
        <x:r>
          <x:t>INPUT AUDIT: nilai ini dapat diedit. Seluruh hasil simulasi mengambil parameter dari sel ini.</x:t>
        </x:r>
      </x:text>
    </x:comment>
    <x:comment ref="F56" authorId="0">
      <x:text>
        <x:r>
          <x:t>INPUT AUDIT: nilai ini dapat diedit. Seluruh hasil simulasi mengambil parameter dari sel ini.</x:t>
        </x:r>
      </x:text>
    </x:comment>
    <x:comment ref="G56" authorId="0">
      <x:text>
        <x:r>
          <x:t>INPUT AUDIT: nilai ini dapat diedit. Seluruh hasil simulasi mengambil parameter dari sel ini.</x:t>
        </x:r>
      </x:text>
    </x:comment>
    <x:comment ref="H56" authorId="0">
      <x:text>
        <x:r>
          <x:t>INPUT AUDIT: nilai ini dapat diedit. Seluruh hasil simulasi mengambil parameter dari sel ini.</x:t>
        </x:r>
      </x:text>
    </x:comment>
    <x:comment ref="I56" authorId="0">
      <x:text>
        <x:r>
          <x:t>INPUT AUDIT: nilai ini dapat diedit. Seluruh hasil simulasi mengambil parameter dari sel ini.</x:t>
        </x:r>
      </x:text>
    </x:comment>
    <x:comment ref="J56" authorId="0">
      <x:text>
        <x:r>
          <x:t>INPUT AUDIT: nilai ini dapat diedit. Seluruh hasil simulasi mengambil parameter dari sel ini.</x:t>
        </x:r>
      </x:text>
    </x:comment>
    <x:comment ref="K56" authorId="0">
      <x:text>
        <x:r>
          <x:t>INPUT AUDIT: nilai ini dapat diedit. Seluruh hasil simulasi mengambil parameter dari sel ini.</x:t>
        </x:r>
      </x:text>
    </x:comment>
    <x:comment ref="L56" authorId="0">
      <x:text>
        <x:r>
          <x:t>INPUT AUDIT: nilai ini dapat diedit. Seluruh hasil simulasi mengambil parameter dari sel ini.</x:t>
        </x:r>
      </x:text>
    </x:comment>
    <x:comment ref="E57" authorId="0">
      <x:text>
        <x:r>
          <x:t>INPUT AUDIT: nilai ini dapat diedit. Seluruh hasil simulasi mengambil parameter dari sel ini.</x:t>
        </x:r>
      </x:text>
    </x:comment>
    <x:comment ref="F57" authorId="0">
      <x:text>
        <x:r>
          <x:t>INPUT AUDIT: nilai ini dapat diedit. Seluruh hasil simulasi mengambil parameter dari sel ini.</x:t>
        </x:r>
      </x:text>
    </x:comment>
    <x:comment ref="G57" authorId="0">
      <x:text>
        <x:r>
          <x:t>INPUT AUDIT: nilai ini dapat diedit. Seluruh hasil simulasi mengambil parameter dari sel ini.</x:t>
        </x:r>
      </x:text>
    </x:comment>
    <x:comment ref="H57" authorId="0">
      <x:text>
        <x:r>
          <x:t>INPUT AUDIT: nilai ini dapat diedit. Seluruh hasil simulasi mengambil parameter dari sel ini.</x:t>
        </x:r>
      </x:text>
    </x:comment>
    <x:comment ref="I57" authorId="0">
      <x:text>
        <x:r>
          <x:t>INPUT AUDIT: nilai ini dapat diedit. Seluruh hasil simulasi mengambil parameter dari sel ini.</x:t>
        </x:r>
      </x:text>
    </x:comment>
    <x:comment ref="J57" authorId="0">
      <x:text>
        <x:r>
          <x:t>INPUT AUDIT: nilai ini dapat diedit. Seluruh hasil simulasi mengambil parameter dari sel ini.</x:t>
        </x:r>
      </x:text>
    </x:comment>
    <x:comment ref="K57" authorId="0">
      <x:text>
        <x:r>
          <x:t>INPUT AUDIT: nilai ini dapat diedit. Seluruh hasil simulasi mengambil parameter dari sel ini.</x:t>
        </x:r>
      </x:text>
    </x:comment>
    <x:comment ref="L57" authorId="0">
      <x:text>
        <x:r>
          <x:t>INPUT AUDIT: nilai ini dapat diedit. Seluruh hasil simulasi mengambil parameter dari sel ini.</x:t>
        </x:r>
      </x:text>
    </x:comment>
    <x:comment ref="E58" authorId="0">
      <x:text>
        <x:r>
          <x:t>INPUT AUDIT: nilai ini dapat diedit. Seluruh hasil simulasi mengambil parameter dari sel ini.</x:t>
        </x:r>
      </x:text>
    </x:comment>
    <x:comment ref="F58" authorId="0">
      <x:text>
        <x:r>
          <x:t>INPUT AUDIT: nilai ini dapat diedit. Seluruh hasil simulasi mengambil parameter dari sel ini.</x:t>
        </x:r>
      </x:text>
    </x:comment>
    <x:comment ref="G58" authorId="0">
      <x:text>
        <x:r>
          <x:t>INPUT AUDIT: nilai ini dapat diedit. Seluruh hasil simulasi mengambil parameter dari sel ini.</x:t>
        </x:r>
      </x:text>
    </x:comment>
    <x:comment ref="H58" authorId="0">
      <x:text>
        <x:r>
          <x:t>INPUT AUDIT: nilai ini dapat diedit. Seluruh hasil simulasi mengambil parameter dari sel ini.</x:t>
        </x:r>
      </x:text>
    </x:comment>
    <x:comment ref="I58" authorId="0">
      <x:text>
        <x:r>
          <x:t>INPUT AUDIT: nilai ini dapat diedit. Seluruh hasil simulasi mengambil parameter dari sel ini.</x:t>
        </x:r>
      </x:text>
    </x:comment>
    <x:comment ref="J58" authorId="0">
      <x:text>
        <x:r>
          <x:t>INPUT AUDIT: nilai ini dapat diedit. Seluruh hasil simulasi mengambil parameter dari sel ini.</x:t>
        </x:r>
      </x:text>
    </x:comment>
    <x:comment ref="K58" authorId="0">
      <x:text>
        <x:r>
          <x:t>INPUT AUDIT: nilai ini dapat diedit. Seluruh hasil simulasi mengambil parameter dari sel ini.</x:t>
        </x:r>
      </x:text>
    </x:comment>
    <x:comment ref="L58" authorId="0">
      <x:text>
        <x:r>
          <x:t>INPUT AUDIT: nilai ini dapat diedit. Seluruh hasil simulasi mengambil parameter dari sel ini.</x:t>
        </x:r>
      </x:text>
    </x:comment>
    <x:comment ref="E59" authorId="0">
      <x:text>
        <x:r>
          <x:t>INPUT AUDIT: nilai ini dapat diedit. Seluruh hasil simulasi mengambil parameter dari sel ini.</x:t>
        </x:r>
      </x:text>
    </x:comment>
    <x:comment ref="F59" authorId="0">
      <x:text>
        <x:r>
          <x:t>INPUT AUDIT: nilai ini dapat diedit. Seluruh hasil simulasi mengambil parameter dari sel ini.</x:t>
        </x:r>
      </x:text>
    </x:comment>
    <x:comment ref="G59" authorId="0">
      <x:text>
        <x:r>
          <x:t>INPUT AUDIT: nilai ini dapat diedit. Seluruh hasil simulasi mengambil parameter dari sel ini.</x:t>
        </x:r>
      </x:text>
    </x:comment>
    <x:comment ref="H59" authorId="0">
      <x:text>
        <x:r>
          <x:t>INPUT AUDIT: nilai ini dapat diedit. Seluruh hasil simulasi mengambil parameter dari sel ini.</x:t>
        </x:r>
      </x:text>
    </x:comment>
    <x:comment ref="I59" authorId="0">
      <x:text>
        <x:r>
          <x:t>INPUT AUDIT: nilai ini dapat diedit. Seluruh hasil simulasi mengambil parameter dari sel ini.</x:t>
        </x:r>
      </x:text>
    </x:comment>
    <x:comment ref="J59" authorId="0">
      <x:text>
        <x:r>
          <x:t>INPUT AUDIT: nilai ini dapat diedit. Seluruh hasil simulasi mengambil parameter dari sel ini.</x:t>
        </x:r>
      </x:text>
    </x:comment>
    <x:comment ref="K59" authorId="0">
      <x:text>
        <x:r>
          <x:t>INPUT AUDIT: nilai ini dapat diedit. Seluruh hasil simulasi mengambil parameter dari sel ini.</x:t>
        </x:r>
      </x:text>
    </x:comment>
    <x:comment ref="L59" authorId="0">
      <x:text>
        <x:r>
          <x:t>INPUT AUDIT: nilai ini dapat diedit. Seluruh hasil simulasi mengambil parameter dari sel ini.</x:t>
        </x:r>
      </x:text>
    </x:comment>
    <x:comment ref="E60" authorId="0">
      <x:text>
        <x:r>
          <x:t>INPUT AUDIT: nilai ini dapat diedit. Seluruh hasil simulasi mengambil parameter dari sel ini.</x:t>
        </x:r>
      </x:text>
    </x:comment>
    <x:comment ref="F60" authorId="0">
      <x:text>
        <x:r>
          <x:t>INPUT AUDIT: nilai ini dapat diedit. Seluruh hasil simulasi mengambil parameter dari sel ini.</x:t>
        </x:r>
      </x:text>
    </x:comment>
    <x:comment ref="G60" authorId="0">
      <x:text>
        <x:r>
          <x:t>INPUT AUDIT: nilai ini dapat diedit. Seluruh hasil simulasi mengambil parameter dari sel ini.</x:t>
        </x:r>
      </x:text>
    </x:comment>
    <x:comment ref="H60" authorId="0">
      <x:text>
        <x:r>
          <x:t>INPUT AUDIT: nilai ini dapat diedit. Seluruh hasil simulasi mengambil parameter dari sel ini.</x:t>
        </x:r>
      </x:text>
    </x:comment>
    <x:comment ref="I60" authorId="0">
      <x:text>
        <x:r>
          <x:t>INPUT AUDIT: nilai ini dapat diedit. Seluruh hasil simulasi mengambil parameter dari sel ini.</x:t>
        </x:r>
      </x:text>
    </x:comment>
    <x:comment ref="J60" authorId="0">
      <x:text>
        <x:r>
          <x:t>INPUT AUDIT: nilai ini dapat diedit. Seluruh hasil simulasi mengambil parameter dari sel ini.</x:t>
        </x:r>
      </x:text>
    </x:comment>
    <x:comment ref="K60" authorId="0">
      <x:text>
        <x:r>
          <x:t>INPUT AUDIT: nilai ini dapat diedit. Seluruh hasil simulasi mengambil parameter dari sel ini.</x:t>
        </x:r>
      </x:text>
    </x:comment>
    <x:comment ref="L60" authorId="0">
      <x:text>
        <x:r>
          <x:t>INPUT AUDIT: nilai ini dapat diedit. Seluruh hasil simulasi mengambil parameter dari sel ini.</x:t>
        </x:r>
      </x:text>
    </x:comment>
    <x:comment ref="E61" authorId="0">
      <x:text>
        <x:r>
          <x:t>INPUT AUDIT: nilai ini dapat diedit. Seluruh hasil simulasi mengambil parameter dari sel ini.</x:t>
        </x:r>
      </x:text>
    </x:comment>
    <x:comment ref="F61" authorId="0">
      <x:text>
        <x:r>
          <x:t>INPUT AUDIT: nilai ini dapat diedit. Seluruh hasil simulasi mengambil parameter dari sel ini.</x:t>
        </x:r>
      </x:text>
    </x:comment>
    <x:comment ref="G61" authorId="0">
      <x:text>
        <x:r>
          <x:t>INPUT AUDIT: nilai ini dapat diedit. Seluruh hasil simulasi mengambil parameter dari sel ini.</x:t>
        </x:r>
      </x:text>
    </x:comment>
    <x:comment ref="H61" authorId="0">
      <x:text>
        <x:r>
          <x:t>INPUT AUDIT: nilai ini dapat diedit. Seluruh hasil simulasi mengambil parameter dari sel ini.</x:t>
        </x:r>
      </x:text>
    </x:comment>
    <x:comment ref="I61" authorId="0">
      <x:text>
        <x:r>
          <x:t>INPUT AUDIT: nilai ini dapat diedit. Seluruh hasil simulasi mengambil parameter dari sel ini.</x:t>
        </x:r>
      </x:text>
    </x:comment>
    <x:comment ref="J61" authorId="0">
      <x:text>
        <x:r>
          <x:t>INPUT AUDIT: nilai ini dapat diedit. Seluruh hasil simulasi mengambil parameter dari sel ini.</x:t>
        </x:r>
      </x:text>
    </x:comment>
    <x:comment ref="K61" authorId="0">
      <x:text>
        <x:r>
          <x:t>INPUT AUDIT: nilai ini dapat diedit. Seluruh hasil simulasi mengambil parameter dari sel ini.</x:t>
        </x:r>
      </x:text>
    </x:comment>
    <x:comment ref="L61" authorId="0">
      <x:text>
        <x:r>
          <x:t>INPUT AUDIT: nilai ini dapat diedit. Seluruh hasil simulasi mengambil parameter dari sel ini.</x:t>
        </x:r>
      </x:text>
    </x:comment>
    <x:comment ref="E62" authorId="0">
      <x:text>
        <x:r>
          <x:t>INPUT AUDIT: nilai ini dapat diedit. Seluruh hasil simulasi mengambil parameter dari sel ini.</x:t>
        </x:r>
      </x:text>
    </x:comment>
    <x:comment ref="F62" authorId="0">
      <x:text>
        <x:r>
          <x:t>INPUT AUDIT: nilai ini dapat diedit. Seluruh hasil simulasi mengambil parameter dari sel ini.</x:t>
        </x:r>
      </x:text>
    </x:comment>
    <x:comment ref="G62" authorId="0">
      <x:text>
        <x:r>
          <x:t>INPUT AUDIT: nilai ini dapat diedit. Seluruh hasil simulasi mengambil parameter dari sel ini.</x:t>
        </x:r>
      </x:text>
    </x:comment>
    <x:comment ref="H62" authorId="0">
      <x:text>
        <x:r>
          <x:t>INPUT AUDIT: nilai ini dapat diedit. Seluruh hasil simulasi mengambil parameter dari sel ini.</x:t>
        </x:r>
      </x:text>
    </x:comment>
    <x:comment ref="I62" authorId="0">
      <x:text>
        <x:r>
          <x:t>INPUT AUDIT: nilai ini dapat diedit. Seluruh hasil simulasi mengambil parameter dari sel ini.</x:t>
        </x:r>
      </x:text>
    </x:comment>
    <x:comment ref="J62" authorId="0">
      <x:text>
        <x:r>
          <x:t>INPUT AUDIT: nilai ini dapat diedit. Seluruh hasil simulasi mengambil parameter dari sel ini.</x:t>
        </x:r>
      </x:text>
    </x:comment>
    <x:comment ref="K62" authorId="0">
      <x:text>
        <x:r>
          <x:t>INPUT AUDIT: nilai ini dapat diedit. Seluruh hasil simulasi mengambil parameter dari sel ini.</x:t>
        </x:r>
      </x:text>
    </x:comment>
    <x:comment ref="L62" authorId="0">
      <x:text>
        <x:r>
          <x:t>INPUT AUDIT: nilai ini dapat diedit. Seluruh hasil simulasi mengambil parameter dari sel ini.</x:t>
        </x:r>
      </x:text>
    </x:comment>
    <x:comment ref="E63" authorId="0">
      <x:text>
        <x:r>
          <x:t>INPUT AUDIT: nilai ini dapat diedit. Seluruh hasil simulasi mengambil parameter dari sel ini.</x:t>
        </x:r>
      </x:text>
    </x:comment>
    <x:comment ref="F63" authorId="0">
      <x:text>
        <x:r>
          <x:t>INPUT AUDIT: nilai ini dapat diedit. Seluruh hasil simulasi mengambil parameter dari sel ini.</x:t>
        </x:r>
      </x:text>
    </x:comment>
    <x:comment ref="G63" authorId="0">
      <x:text>
        <x:r>
          <x:t>INPUT AUDIT: nilai ini dapat diedit. Seluruh hasil simulasi mengambil parameter dari sel ini.</x:t>
        </x:r>
      </x:text>
    </x:comment>
    <x:comment ref="H63" authorId="0">
      <x:text>
        <x:r>
          <x:t>INPUT AUDIT: nilai ini dapat diedit. Seluruh hasil simulasi mengambil parameter dari sel ini.</x:t>
        </x:r>
      </x:text>
    </x:comment>
    <x:comment ref="I63" authorId="0">
      <x:text>
        <x:r>
          <x:t>INPUT AUDIT: nilai ini dapat diedit. Seluruh hasil simulasi mengambil parameter dari sel ini.</x:t>
        </x:r>
      </x:text>
    </x:comment>
    <x:comment ref="J63" authorId="0">
      <x:text>
        <x:r>
          <x:t>INPUT AUDIT: nilai ini dapat diedit. Seluruh hasil simulasi mengambil parameter dari sel ini.</x:t>
        </x:r>
      </x:text>
    </x:comment>
    <x:comment ref="K63" authorId="0">
      <x:text>
        <x:r>
          <x:t>INPUT AUDIT: nilai ini dapat diedit. Seluruh hasil simulasi mengambil parameter dari sel ini.</x:t>
        </x:r>
      </x:text>
    </x:comment>
    <x:comment ref="L63" authorId="0">
      <x:text>
        <x:r>
          <x:t>INPUT AUDIT: nilai ini dapat diedit. Seluruh hasil simulasi mengambil parameter dari sel ini.</x:t>
        </x:r>
      </x:text>
    </x:comment>
    <x:comment ref="E64" authorId="0">
      <x:text>
        <x:r>
          <x:t>INPUT AUDIT: nilai ini dapat diedit. Seluruh hasil simulasi mengambil parameter dari sel ini.</x:t>
        </x:r>
      </x:text>
    </x:comment>
    <x:comment ref="F64" authorId="0">
      <x:text>
        <x:r>
          <x:t>INPUT AUDIT: nilai ini dapat diedit. Seluruh hasil simulasi mengambil parameter dari sel ini.</x:t>
        </x:r>
      </x:text>
    </x:comment>
    <x:comment ref="G64" authorId="0">
      <x:text>
        <x:r>
          <x:t>INPUT AUDIT: nilai ini dapat diedit. Seluruh hasil simulasi mengambil parameter dari sel ini.</x:t>
        </x:r>
      </x:text>
    </x:comment>
    <x:comment ref="H64" authorId="0">
      <x:text>
        <x:r>
          <x:t>INPUT AUDIT: nilai ini dapat diedit. Seluruh hasil simulasi mengambil parameter dari sel ini.</x:t>
        </x:r>
      </x:text>
    </x:comment>
    <x:comment ref="I64" authorId="0">
      <x:text>
        <x:r>
          <x:t>INPUT AUDIT: nilai ini dapat diedit. Seluruh hasil simulasi mengambil parameter dari sel ini.</x:t>
        </x:r>
      </x:text>
    </x:comment>
    <x:comment ref="J64" authorId="0">
      <x:text>
        <x:r>
          <x:t>INPUT AUDIT: nilai ini dapat diedit. Seluruh hasil simulasi mengambil parameter dari sel ini.</x:t>
        </x:r>
      </x:text>
    </x:comment>
    <x:comment ref="K64" authorId="0">
      <x:text>
        <x:r>
          <x:t>INPUT AUDIT: nilai ini dapat diedit. Seluruh hasil simulasi mengambil parameter dari sel ini.</x:t>
        </x:r>
      </x:text>
    </x:comment>
    <x:comment ref="L64" authorId="0">
      <x:text>
        <x:r>
          <x:t>INPUT AUDIT: nilai ini dapat diedit. Seluruh hasil simulasi mengambil parameter dari sel ini.</x:t>
        </x:r>
      </x:text>
    </x:comment>
    <x:comment ref="E65" authorId="0">
      <x:text>
        <x:r>
          <x:t>INPUT AUDIT: nilai ini dapat diedit. Seluruh hasil simulasi mengambil parameter dari sel ini.</x:t>
        </x:r>
      </x:text>
    </x:comment>
    <x:comment ref="F65" authorId="0">
      <x:text>
        <x:r>
          <x:t>INPUT AUDIT: nilai ini dapat diedit. Seluruh hasil simulasi mengambil parameter dari sel ini.</x:t>
        </x:r>
      </x:text>
    </x:comment>
    <x:comment ref="G65" authorId="0">
      <x:text>
        <x:r>
          <x:t>INPUT AUDIT: nilai ini dapat diedit. Seluruh hasil simulasi mengambil parameter dari sel ini.</x:t>
        </x:r>
      </x:text>
    </x:comment>
    <x:comment ref="H65" authorId="0">
      <x:text>
        <x:r>
          <x:t>INPUT AUDIT: nilai ini dapat diedit. Seluruh hasil simulasi mengambil parameter dari sel ini.</x:t>
        </x:r>
      </x:text>
    </x:comment>
    <x:comment ref="I65" authorId="0">
      <x:text>
        <x:r>
          <x:t>INPUT AUDIT: nilai ini dapat diedit. Seluruh hasil simulasi mengambil parameter dari sel ini.</x:t>
        </x:r>
      </x:text>
    </x:comment>
    <x:comment ref="J65" authorId="0">
      <x:text>
        <x:r>
          <x:t>INPUT AUDIT: nilai ini dapat diedit. Seluruh hasil simulasi mengambil parameter dari sel ini.</x:t>
        </x:r>
      </x:text>
    </x:comment>
    <x:comment ref="K65" authorId="0">
      <x:text>
        <x:r>
          <x:t>INPUT AUDIT: nilai ini dapat diedit. Seluruh hasil simulasi mengambil parameter dari sel ini.</x:t>
        </x:r>
      </x:text>
    </x:comment>
    <x:comment ref="L65" authorId="0">
      <x:text>
        <x:r>
          <x:t>INPUT AUDIT: nilai ini dapat diedit. Seluruh hasil simulasi mengambil parameter dari sel ini.</x:t>
        </x:r>
      </x:text>
    </x:comment>
    <x:comment ref="E66" authorId="0">
      <x:text>
        <x:r>
          <x:t>INPUT AUDIT: nilai ini dapat diedit. Seluruh hasil simulasi mengambil parameter dari sel ini.</x:t>
        </x:r>
      </x:text>
    </x:comment>
    <x:comment ref="F66" authorId="0">
      <x:text>
        <x:r>
          <x:t>INPUT AUDIT: nilai ini dapat diedit. Seluruh hasil simulasi mengambil parameter dari sel ini.</x:t>
        </x:r>
      </x:text>
    </x:comment>
    <x:comment ref="G66" authorId="0">
      <x:text>
        <x:r>
          <x:t>INPUT AUDIT: nilai ini dapat diedit. Seluruh hasil simulasi mengambil parameter dari sel ini.</x:t>
        </x:r>
      </x:text>
    </x:comment>
    <x:comment ref="H66" authorId="0">
      <x:text>
        <x:r>
          <x:t>INPUT AUDIT: nilai ini dapat diedit. Seluruh hasil simulasi mengambil parameter dari sel ini.</x:t>
        </x:r>
      </x:text>
    </x:comment>
    <x:comment ref="I66" authorId="0">
      <x:text>
        <x:r>
          <x:t>INPUT AUDIT: nilai ini dapat diedit. Seluruh hasil simulasi mengambil parameter dari sel ini.</x:t>
        </x:r>
      </x:text>
    </x:comment>
    <x:comment ref="J66" authorId="0">
      <x:text>
        <x:r>
          <x:t>INPUT AUDIT: nilai ini dapat diedit. Seluruh hasil simulasi mengambil parameter dari sel ini.</x:t>
        </x:r>
      </x:text>
    </x:comment>
    <x:comment ref="K66" authorId="0">
      <x:text>
        <x:r>
          <x:t>INPUT AUDIT: nilai ini dapat diedit. Seluruh hasil simulasi mengambil parameter dari sel ini.</x:t>
        </x:r>
      </x:text>
    </x:comment>
    <x:comment ref="L66" authorId="0">
      <x:text>
        <x:r>
          <x:t>INPUT AUDIT: nilai ini dapat diedit. Seluruh hasil simulasi mengambil parameter dari sel ini.</x:t>
        </x:r>
      </x:text>
    </x:comment>
    <x:comment ref="E67" authorId="0">
      <x:text>
        <x:r>
          <x:t>INPUT AUDIT: nilai ini dapat diedit. Seluruh hasil simulasi mengambil parameter dari sel ini.</x:t>
        </x:r>
      </x:text>
    </x:comment>
    <x:comment ref="F67" authorId="0">
      <x:text>
        <x:r>
          <x:t>INPUT AUDIT: nilai ini dapat diedit. Seluruh hasil simulasi mengambil parameter dari sel ini.</x:t>
        </x:r>
      </x:text>
    </x:comment>
    <x:comment ref="G67" authorId="0">
      <x:text>
        <x:r>
          <x:t>INPUT AUDIT: nilai ini dapat diedit. Seluruh hasil simulasi mengambil parameter dari sel ini.</x:t>
        </x:r>
      </x:text>
    </x:comment>
    <x:comment ref="H67" authorId="0">
      <x:text>
        <x:r>
          <x:t>INPUT AUDIT: nilai ini dapat diedit. Seluruh hasil simulasi mengambil parameter dari sel ini.</x:t>
        </x:r>
      </x:text>
    </x:comment>
    <x:comment ref="I67" authorId="0">
      <x:text>
        <x:r>
          <x:t>INPUT AUDIT: nilai ini dapat diedit. Seluruh hasil simulasi mengambil parameter dari sel ini.</x:t>
        </x:r>
      </x:text>
    </x:comment>
    <x:comment ref="J67" authorId="0">
      <x:text>
        <x:r>
          <x:t>INPUT AUDIT: nilai ini dapat diedit. Seluruh hasil simulasi mengambil parameter dari sel ini.</x:t>
        </x:r>
      </x:text>
    </x:comment>
    <x:comment ref="K67" authorId="0">
      <x:text>
        <x:r>
          <x:t>INPUT AUDIT: nilai ini dapat diedit. Seluruh hasil simulasi mengambil parameter dari sel ini.</x:t>
        </x:r>
      </x:text>
    </x:comment>
    <x:comment ref="L67" authorId="0">
      <x:text>
        <x:r>
          <x:t>INPUT AUDIT: nilai ini dapat diedit. Seluruh hasil simulasi mengambil parameter dari sel ini.</x:t>
        </x:r>
      </x:text>
    </x:comment>
    <x:comment ref="E68" authorId="0">
      <x:text>
        <x:r>
          <x:t>INPUT AUDIT: nilai ini dapat diedit. Seluruh hasil simulasi mengambil parameter dari sel ini.</x:t>
        </x:r>
      </x:text>
    </x:comment>
    <x:comment ref="F68" authorId="0">
      <x:text>
        <x:r>
          <x:t>INPUT AUDIT: nilai ini dapat diedit. Seluruh hasil simulasi mengambil parameter dari sel ini.</x:t>
        </x:r>
      </x:text>
    </x:comment>
    <x:comment ref="G68" authorId="0">
      <x:text>
        <x:r>
          <x:t>INPUT AUDIT: nilai ini dapat diedit. Seluruh hasil simulasi mengambil parameter dari sel ini.</x:t>
        </x:r>
      </x:text>
    </x:comment>
    <x:comment ref="H68" authorId="0">
      <x:text>
        <x:r>
          <x:t>INPUT AUDIT: nilai ini dapat diedit. Seluruh hasil simulasi mengambil parameter dari sel ini.</x:t>
        </x:r>
      </x:text>
    </x:comment>
    <x:comment ref="I68" authorId="0">
      <x:text>
        <x:r>
          <x:t>INPUT AUDIT: nilai ini dapat diedit. Seluruh hasil simulasi mengambil parameter dari sel ini.</x:t>
        </x:r>
      </x:text>
    </x:comment>
    <x:comment ref="J68" authorId="0">
      <x:text>
        <x:r>
          <x:t>INPUT AUDIT: nilai ini dapat diedit. Seluruh hasil simulasi mengambil parameter dari sel ini.</x:t>
        </x:r>
      </x:text>
    </x:comment>
    <x:comment ref="K68" authorId="0">
      <x:text>
        <x:r>
          <x:t>INPUT AUDIT: nilai ini dapat diedit. Seluruh hasil simulasi mengambil parameter dari sel ini.</x:t>
        </x:r>
      </x:text>
    </x:comment>
    <x:comment ref="L68" authorId="0">
      <x:text>
        <x:r>
          <x:t>INPUT AUDIT: nilai ini dapat diedit. Seluruh hasil simulasi mengambil parameter dari sel ini.</x:t>
        </x:r>
      </x:text>
    </x:comment>
    <x:comment ref="E69" authorId="0">
      <x:text>
        <x:r>
          <x:t>INPUT AUDIT: nilai ini dapat diedit. Seluruh hasil simulasi mengambil parameter dari sel ini.</x:t>
        </x:r>
      </x:text>
    </x:comment>
    <x:comment ref="F69" authorId="0">
      <x:text>
        <x:r>
          <x:t>INPUT AUDIT: nilai ini dapat diedit. Seluruh hasil simulasi mengambil parameter dari sel ini.</x:t>
        </x:r>
      </x:text>
    </x:comment>
    <x:comment ref="G69" authorId="0">
      <x:text>
        <x:r>
          <x:t>INPUT AUDIT: nilai ini dapat diedit. Seluruh hasil simulasi mengambil parameter dari sel ini.</x:t>
        </x:r>
      </x:text>
    </x:comment>
    <x:comment ref="H69" authorId="0">
      <x:text>
        <x:r>
          <x:t>INPUT AUDIT: nilai ini dapat diedit. Seluruh hasil simulasi mengambil parameter dari sel ini.</x:t>
        </x:r>
      </x:text>
    </x:comment>
    <x:comment ref="I69" authorId="0">
      <x:text>
        <x:r>
          <x:t>INPUT AUDIT: nilai ini dapat diedit. Seluruh hasil simulasi mengambil parameter dari sel ini.</x:t>
        </x:r>
      </x:text>
    </x:comment>
    <x:comment ref="J69" authorId="0">
      <x:text>
        <x:r>
          <x:t>INPUT AUDIT: nilai ini dapat diedit. Seluruh hasil simulasi mengambil parameter dari sel ini.</x:t>
        </x:r>
      </x:text>
    </x:comment>
    <x:comment ref="K69" authorId="0">
      <x:text>
        <x:r>
          <x:t>INPUT AUDIT: nilai ini dapat diedit. Seluruh hasil simulasi mengambil parameter dari sel ini.</x:t>
        </x:r>
      </x:text>
    </x:comment>
    <x:comment ref="L69" authorId="0">
      <x:text>
        <x:r>
          <x:t>INPUT AUDIT: nilai ini dapat diedit. Seluruh hasil simulasi mengambil parameter dari sel ini.</x:t>
        </x:r>
      </x:text>
    </x:comment>
    <x:comment ref="E70" authorId="0">
      <x:text>
        <x:r>
          <x:t>INPUT AUDIT: nilai ini dapat diedit. Seluruh hasil simulasi mengambil parameter dari sel ini.</x:t>
        </x:r>
      </x:text>
    </x:comment>
    <x:comment ref="F70" authorId="0">
      <x:text>
        <x:r>
          <x:t>INPUT AUDIT: nilai ini dapat diedit. Seluruh hasil simulasi mengambil parameter dari sel ini.</x:t>
        </x:r>
      </x:text>
    </x:comment>
    <x:comment ref="G70" authorId="0">
      <x:text>
        <x:r>
          <x:t>INPUT AUDIT: nilai ini dapat diedit. Seluruh hasil simulasi mengambil parameter dari sel ini.</x:t>
        </x:r>
      </x:text>
    </x:comment>
    <x:comment ref="H70" authorId="0">
      <x:text>
        <x:r>
          <x:t>INPUT AUDIT: nilai ini dapat diedit. Seluruh hasil simulasi mengambil parameter dari sel ini.</x:t>
        </x:r>
      </x:text>
    </x:comment>
    <x:comment ref="I70" authorId="0">
      <x:text>
        <x:r>
          <x:t>INPUT AUDIT: nilai ini dapat diedit. Seluruh hasil simulasi mengambil parameter dari sel ini.</x:t>
        </x:r>
      </x:text>
    </x:comment>
    <x:comment ref="J70" authorId="0">
      <x:text>
        <x:r>
          <x:t>INPUT AUDIT: nilai ini dapat diedit. Seluruh hasil simulasi mengambil parameter dari sel ini.</x:t>
        </x:r>
      </x:text>
    </x:comment>
    <x:comment ref="K70" authorId="0">
      <x:text>
        <x:r>
          <x:t>INPUT AUDIT: nilai ini dapat diedit. Seluruh hasil simulasi mengambil parameter dari sel ini.</x:t>
        </x:r>
      </x:text>
    </x:comment>
    <x:comment ref="L70" authorId="0">
      <x:text>
        <x:r>
          <x:t>INPUT AUDIT: nilai ini dapat diedit. Seluruh hasil simulasi mengambil parameter dari sel ini.</x:t>
        </x:r>
      </x:text>
    </x:comment>
    <x:comment ref="E71" authorId="0">
      <x:text>
        <x:r>
          <x:t>INPUT AUDIT: nilai ini dapat diedit. Seluruh hasil simulasi mengambil parameter dari sel ini.</x:t>
        </x:r>
      </x:text>
    </x:comment>
    <x:comment ref="F71" authorId="0">
      <x:text>
        <x:r>
          <x:t>INPUT AUDIT: nilai ini dapat diedit. Seluruh hasil simulasi mengambil parameter dari sel ini.</x:t>
        </x:r>
      </x:text>
    </x:comment>
    <x:comment ref="G71" authorId="0">
      <x:text>
        <x:r>
          <x:t>INPUT AUDIT: nilai ini dapat diedit. Seluruh hasil simulasi mengambil parameter dari sel ini.</x:t>
        </x:r>
      </x:text>
    </x:comment>
    <x:comment ref="H71" authorId="0">
      <x:text>
        <x:r>
          <x:t>INPUT AUDIT: nilai ini dapat diedit. Seluruh hasil simulasi mengambil parameter dari sel ini.</x:t>
        </x:r>
      </x:text>
    </x:comment>
    <x:comment ref="I71" authorId="0">
      <x:text>
        <x:r>
          <x:t>INPUT AUDIT: nilai ini dapat diedit. Seluruh hasil simulasi mengambil parameter dari sel ini.</x:t>
        </x:r>
      </x:text>
    </x:comment>
    <x:comment ref="J71" authorId="0">
      <x:text>
        <x:r>
          <x:t>INPUT AUDIT: nilai ini dapat diedit. Seluruh hasil simulasi mengambil parameter dari sel ini.</x:t>
        </x:r>
      </x:text>
    </x:comment>
    <x:comment ref="K71" authorId="0">
      <x:text>
        <x:r>
          <x:t>INPUT AUDIT: nilai ini dapat diedit. Seluruh hasil simulasi mengambil parameter dari sel ini.</x:t>
        </x:r>
      </x:text>
    </x:comment>
    <x:comment ref="L71" authorId="0">
      <x:text>
        <x:r>
          <x:t>INPUT AUDIT: nilai ini dapat diedit. Seluruh hasil simulasi mengambil parameter dari sel ini.</x:t>
        </x:r>
      </x:text>
    </x:comment>
    <x:comment ref="E72" authorId="0">
      <x:text>
        <x:r>
          <x:t>INPUT AUDIT: nilai ini dapat diedit. Seluruh hasil simulasi mengambil parameter dari sel ini.</x:t>
        </x:r>
      </x:text>
    </x:comment>
    <x:comment ref="F72" authorId="0">
      <x:text>
        <x:r>
          <x:t>INPUT AUDIT: nilai ini dapat diedit. Seluruh hasil simulasi mengambil parameter dari sel ini.</x:t>
        </x:r>
      </x:text>
    </x:comment>
    <x:comment ref="G72" authorId="0">
      <x:text>
        <x:r>
          <x:t>INPUT AUDIT: nilai ini dapat diedit. Seluruh hasil simulasi mengambil parameter dari sel ini.</x:t>
        </x:r>
      </x:text>
    </x:comment>
    <x:comment ref="H72" authorId="0">
      <x:text>
        <x:r>
          <x:t>INPUT AUDIT: nilai ini dapat diedit. Seluruh hasil simulasi mengambil parameter dari sel ini.</x:t>
        </x:r>
      </x:text>
    </x:comment>
    <x:comment ref="I72" authorId="0">
      <x:text>
        <x:r>
          <x:t>INPUT AUDIT: nilai ini dapat diedit. Seluruh hasil simulasi mengambil parameter dari sel ini.</x:t>
        </x:r>
      </x:text>
    </x:comment>
    <x:comment ref="J72" authorId="0">
      <x:text>
        <x:r>
          <x:t>INPUT AUDIT: nilai ini dapat diedit. Seluruh hasil simulasi mengambil parameter dari sel ini.</x:t>
        </x:r>
      </x:text>
    </x:comment>
    <x:comment ref="K72" authorId="0">
      <x:text>
        <x:r>
          <x:t>INPUT AUDIT: nilai ini dapat diedit. Seluruh hasil simulasi mengambil parameter dari sel ini.</x:t>
        </x:r>
      </x:text>
    </x:comment>
    <x:comment ref="L72" authorId="0">
      <x:text>
        <x:r>
          <x:t>INPUT AUDIT: nilai ini dapat diedit. Seluruh hasil simulasi mengambil parameter dari sel ini.</x:t>
        </x:r>
      </x:text>
    </x:comment>
    <x:comment ref="E73" authorId="0">
      <x:text>
        <x:r>
          <x:t>INPUT AUDIT: nilai ini dapat diedit. Seluruh hasil simulasi mengambil parameter dari sel ini.</x:t>
        </x:r>
      </x:text>
    </x:comment>
    <x:comment ref="F73" authorId="0">
      <x:text>
        <x:r>
          <x:t>INPUT AUDIT: nilai ini dapat diedit. Seluruh hasil simulasi mengambil parameter dari sel ini.</x:t>
        </x:r>
      </x:text>
    </x:comment>
    <x:comment ref="G73" authorId="0">
      <x:text>
        <x:r>
          <x:t>INPUT AUDIT: nilai ini dapat diedit. Seluruh hasil simulasi mengambil parameter dari sel ini.</x:t>
        </x:r>
      </x:text>
    </x:comment>
    <x:comment ref="H73" authorId="0">
      <x:text>
        <x:r>
          <x:t>INPUT AUDIT: nilai ini dapat diedit. Seluruh hasil simulasi mengambil parameter dari sel ini.</x:t>
        </x:r>
      </x:text>
    </x:comment>
    <x:comment ref="I73" authorId="0">
      <x:text>
        <x:r>
          <x:t>INPUT AUDIT: nilai ini dapat diedit. Seluruh hasil simulasi mengambil parameter dari sel ini.</x:t>
        </x:r>
      </x:text>
    </x:comment>
    <x:comment ref="J73" authorId="0">
      <x:text>
        <x:r>
          <x:t>INPUT AUDIT: nilai ini dapat diedit. Seluruh hasil simulasi mengambil parameter dari sel ini.</x:t>
        </x:r>
      </x:text>
    </x:comment>
    <x:comment ref="K73" authorId="0">
      <x:text>
        <x:r>
          <x:t>INPUT AUDIT: nilai ini dapat diedit. Seluruh hasil simulasi mengambil parameter dari sel ini.</x:t>
        </x:r>
      </x:text>
    </x:comment>
    <x:comment ref="L73" authorId="0">
      <x:text>
        <x:r>
          <x:t>INPUT AUDIT: nilai ini dapat diedit. Seluruh hasil simulasi mengambil parameter dari sel ini.</x:t>
        </x:r>
      </x:text>
    </x:comment>
    <x:comment ref="E74" authorId="0">
      <x:text>
        <x:r>
          <x:t>INPUT AUDIT: nilai ini dapat diedit. Seluruh hasil simulasi mengambil parameter dari sel ini.</x:t>
        </x:r>
      </x:text>
    </x:comment>
    <x:comment ref="F74" authorId="0">
      <x:text>
        <x:r>
          <x:t>INPUT AUDIT: nilai ini dapat diedit. Seluruh hasil simulasi mengambil parameter dari sel ini.</x:t>
        </x:r>
      </x:text>
    </x:comment>
    <x:comment ref="G74" authorId="0">
      <x:text>
        <x:r>
          <x:t>INPUT AUDIT: nilai ini dapat diedit. Seluruh hasil simulasi mengambil parameter dari sel ini.</x:t>
        </x:r>
      </x:text>
    </x:comment>
    <x:comment ref="H74" authorId="0">
      <x:text>
        <x:r>
          <x:t>INPUT AUDIT: nilai ini dapat diedit. Seluruh hasil simulasi mengambil parameter dari sel ini.</x:t>
        </x:r>
      </x:text>
    </x:comment>
    <x:comment ref="I74" authorId="0">
      <x:text>
        <x:r>
          <x:t>INPUT AUDIT: nilai ini dapat diedit. Seluruh hasil simulasi mengambil parameter dari sel ini.</x:t>
        </x:r>
      </x:text>
    </x:comment>
    <x:comment ref="J74" authorId="0">
      <x:text>
        <x:r>
          <x:t>INPUT AUDIT: nilai ini dapat diedit. Seluruh hasil simulasi mengambil parameter dari sel ini.</x:t>
        </x:r>
      </x:text>
    </x:comment>
    <x:comment ref="K74" authorId="0">
      <x:text>
        <x:r>
          <x:t>INPUT AUDIT: nilai ini dapat diedit. Seluruh hasil simulasi mengambil parameter dari sel ini.</x:t>
        </x:r>
      </x:text>
    </x:comment>
    <x:comment ref="L74" authorId="0">
      <x:text>
        <x:r>
          <x:t>INPUT AUDIT: nilai ini dapat diedit. Seluruh hasil simulasi mengambil parameter dari sel ini.</x:t>
        </x:r>
      </x:text>
    </x:comment>
    <x:comment ref="E75" authorId="0">
      <x:text>
        <x:r>
          <x:t>INPUT AUDIT: nilai ini dapat diedit. Seluruh hasil simulasi mengambil parameter dari sel ini.</x:t>
        </x:r>
      </x:text>
    </x:comment>
    <x:comment ref="F75" authorId="0">
      <x:text>
        <x:r>
          <x:t>INPUT AUDIT: nilai ini dapat diedit. Seluruh hasil simulasi mengambil parameter dari sel ini.</x:t>
        </x:r>
      </x:text>
    </x:comment>
    <x:comment ref="G75" authorId="0">
      <x:text>
        <x:r>
          <x:t>INPUT AUDIT: nilai ini dapat diedit. Seluruh hasil simulasi mengambil parameter dari sel ini.</x:t>
        </x:r>
      </x:text>
    </x:comment>
    <x:comment ref="H75" authorId="0">
      <x:text>
        <x:r>
          <x:t>INPUT AUDIT: nilai ini dapat diedit. Seluruh hasil simulasi mengambil parameter dari sel ini.</x:t>
        </x:r>
      </x:text>
    </x:comment>
    <x:comment ref="I75" authorId="0">
      <x:text>
        <x:r>
          <x:t>INPUT AUDIT: nilai ini dapat diedit. Seluruh hasil simulasi mengambil parameter dari sel ini.</x:t>
        </x:r>
      </x:text>
    </x:comment>
    <x:comment ref="J75" authorId="0">
      <x:text>
        <x:r>
          <x:t>INPUT AUDIT: nilai ini dapat diedit. Seluruh hasil simulasi mengambil parameter dari sel ini.</x:t>
        </x:r>
      </x:text>
    </x:comment>
    <x:comment ref="K75" authorId="0">
      <x:text>
        <x:r>
          <x:t>INPUT AUDIT: nilai ini dapat diedit. Seluruh hasil simulasi mengambil parameter dari sel ini.</x:t>
        </x:r>
      </x:text>
    </x:comment>
    <x:comment ref="L75" authorId="0">
      <x:text>
        <x:r>
          <x:t>INPUT AUDIT: nilai ini dapat diedit. Seluruh hasil simulasi mengambil parameter dari sel ini.</x:t>
        </x:r>
      </x:text>
    </x:comment>
    <x:comment ref="E76" authorId="0">
      <x:text>
        <x:r>
          <x:t>INPUT AUDIT: nilai ini dapat diedit. Seluruh hasil simulasi mengambil parameter dari sel ini.</x:t>
        </x:r>
      </x:text>
    </x:comment>
    <x:comment ref="F76" authorId="0">
      <x:text>
        <x:r>
          <x:t>INPUT AUDIT: nilai ini dapat diedit. Seluruh hasil simulasi mengambil parameter dari sel ini.</x:t>
        </x:r>
      </x:text>
    </x:comment>
    <x:comment ref="G76" authorId="0">
      <x:text>
        <x:r>
          <x:t>INPUT AUDIT: nilai ini dapat diedit. Seluruh hasil simulasi mengambil parameter dari sel ini.</x:t>
        </x:r>
      </x:text>
    </x:comment>
    <x:comment ref="H76" authorId="0">
      <x:text>
        <x:r>
          <x:t>INPUT AUDIT: nilai ini dapat diedit. Seluruh hasil simulasi mengambil parameter dari sel ini.</x:t>
        </x:r>
      </x:text>
    </x:comment>
    <x:comment ref="I76" authorId="0">
      <x:text>
        <x:r>
          <x:t>INPUT AUDIT: nilai ini dapat diedit. Seluruh hasil simulasi mengambil parameter dari sel ini.</x:t>
        </x:r>
      </x:text>
    </x:comment>
    <x:comment ref="J76" authorId="0">
      <x:text>
        <x:r>
          <x:t>INPUT AUDIT: nilai ini dapat diedit. Seluruh hasil simulasi mengambil parameter dari sel ini.</x:t>
        </x:r>
      </x:text>
    </x:comment>
    <x:comment ref="K76" authorId="0">
      <x:text>
        <x:r>
          <x:t>INPUT AUDIT: nilai ini dapat diedit. Seluruh hasil simulasi mengambil parameter dari sel ini.</x:t>
        </x:r>
      </x:text>
    </x:comment>
    <x:comment ref="L76" authorId="0">
      <x:text>
        <x:r>
          <x:t>INPUT AUDIT: nilai ini dapat diedit. Seluruh hasil simulasi mengambil parameter dari sel ini.</x:t>
        </x:r>
      </x:text>
    </x:comment>
    <x:comment ref="E77" authorId="0">
      <x:text>
        <x:r>
          <x:t>INPUT AUDIT: nilai ini dapat diedit. Seluruh hasil simulasi mengambil parameter dari sel ini.</x:t>
        </x:r>
      </x:text>
    </x:comment>
    <x:comment ref="F77" authorId="0">
      <x:text>
        <x:r>
          <x:t>INPUT AUDIT: nilai ini dapat diedit. Seluruh hasil simulasi mengambil parameter dari sel ini.</x:t>
        </x:r>
      </x:text>
    </x:comment>
    <x:comment ref="G77" authorId="0">
      <x:text>
        <x:r>
          <x:t>INPUT AUDIT: nilai ini dapat diedit. Seluruh hasil simulasi mengambil parameter dari sel ini.</x:t>
        </x:r>
      </x:text>
    </x:comment>
    <x:comment ref="H77" authorId="0">
      <x:text>
        <x:r>
          <x:t>INPUT AUDIT: nilai ini dapat diedit. Seluruh hasil simulasi mengambil parameter dari sel ini.</x:t>
        </x:r>
      </x:text>
    </x:comment>
    <x:comment ref="I77" authorId="0">
      <x:text>
        <x:r>
          <x:t>INPUT AUDIT: nilai ini dapat diedit. Seluruh hasil simulasi mengambil parameter dari sel ini.</x:t>
        </x:r>
      </x:text>
    </x:comment>
    <x:comment ref="J77" authorId="0">
      <x:text>
        <x:r>
          <x:t>INPUT AUDIT: nilai ini dapat diedit. Seluruh hasil simulasi mengambil parameter dari sel ini.</x:t>
        </x:r>
      </x:text>
    </x:comment>
    <x:comment ref="K77" authorId="0">
      <x:text>
        <x:r>
          <x:t>INPUT AUDIT: nilai ini dapat diedit. Seluruh hasil simulasi mengambil parameter dari sel ini.</x:t>
        </x:r>
      </x:text>
    </x:comment>
    <x:comment ref="L77" authorId="0">
      <x:text>
        <x:r>
          <x:t>INPUT AUDIT: nilai ini dapat diedit. Seluruh hasil simulasi mengambil parameter dari sel ini.</x:t>
        </x:r>
      </x:text>
    </x:comment>
    <x:comment ref="E78" authorId="0">
      <x:text>
        <x:r>
          <x:t>INPUT AUDIT: nilai ini dapat diedit. Seluruh hasil simulasi mengambil parameter dari sel ini.</x:t>
        </x:r>
      </x:text>
    </x:comment>
    <x:comment ref="F78" authorId="0">
      <x:text>
        <x:r>
          <x:t>INPUT AUDIT: nilai ini dapat diedit. Seluruh hasil simulasi mengambil parameter dari sel ini.</x:t>
        </x:r>
      </x:text>
    </x:comment>
    <x:comment ref="G78" authorId="0">
      <x:text>
        <x:r>
          <x:t>INPUT AUDIT: nilai ini dapat diedit. Seluruh hasil simulasi mengambil parameter dari sel ini.</x:t>
        </x:r>
      </x:text>
    </x:comment>
    <x:comment ref="H78" authorId="0">
      <x:text>
        <x:r>
          <x:t>INPUT AUDIT: nilai ini dapat diedit. Seluruh hasil simulasi mengambil parameter dari sel ini.</x:t>
        </x:r>
      </x:text>
    </x:comment>
    <x:comment ref="I78" authorId="0">
      <x:text>
        <x:r>
          <x:t>INPUT AUDIT: nilai ini dapat diedit. Seluruh hasil simulasi mengambil parameter dari sel ini.</x:t>
        </x:r>
      </x:text>
    </x:comment>
    <x:comment ref="J78" authorId="0">
      <x:text>
        <x:r>
          <x:t>INPUT AUDIT: nilai ini dapat diedit. Seluruh hasil simulasi mengambil parameter dari sel ini.</x:t>
        </x:r>
      </x:text>
    </x:comment>
    <x:comment ref="K78" authorId="0">
      <x:text>
        <x:r>
          <x:t>INPUT AUDIT: nilai ini dapat diedit. Seluruh hasil simulasi mengambil parameter dari sel ini.</x:t>
        </x:r>
      </x:text>
    </x:comment>
    <x:comment ref="L78" authorId="0">
      <x:text>
        <x:r>
          <x:t>INPUT AUDIT: nilai ini dapat diedit. Seluruh hasil simulasi mengambil parameter dari sel ini.</x:t>
        </x:r>
      </x:text>
    </x:comment>
    <x:comment ref="E79" authorId="0">
      <x:text>
        <x:r>
          <x:t>INPUT AUDIT: nilai ini dapat diedit. Seluruh hasil simulasi mengambil parameter dari sel ini.</x:t>
        </x:r>
      </x:text>
    </x:comment>
    <x:comment ref="F79" authorId="0">
      <x:text>
        <x:r>
          <x:t>INPUT AUDIT: nilai ini dapat diedit. Seluruh hasil simulasi mengambil parameter dari sel ini.</x:t>
        </x:r>
      </x:text>
    </x:comment>
    <x:comment ref="G79" authorId="0">
      <x:text>
        <x:r>
          <x:t>INPUT AUDIT: nilai ini dapat diedit. Seluruh hasil simulasi mengambil parameter dari sel ini.</x:t>
        </x:r>
      </x:text>
    </x:comment>
    <x:comment ref="H79" authorId="0">
      <x:text>
        <x:r>
          <x:t>INPUT AUDIT: nilai ini dapat diedit. Seluruh hasil simulasi mengambil parameter dari sel ini.</x:t>
        </x:r>
      </x:text>
    </x:comment>
    <x:comment ref="I79" authorId="0">
      <x:text>
        <x:r>
          <x:t>INPUT AUDIT: nilai ini dapat diedit. Seluruh hasil simulasi mengambil parameter dari sel ini.</x:t>
        </x:r>
      </x:text>
    </x:comment>
    <x:comment ref="J79" authorId="0">
      <x:text>
        <x:r>
          <x:t>INPUT AUDIT: nilai ini dapat diedit. Seluruh hasil simulasi mengambil parameter dari sel ini.</x:t>
        </x:r>
      </x:text>
    </x:comment>
    <x:comment ref="K79" authorId="0">
      <x:text>
        <x:r>
          <x:t>INPUT AUDIT: nilai ini dapat diedit. Seluruh hasil simulasi mengambil parameter dari sel ini.</x:t>
        </x:r>
      </x:text>
    </x:comment>
    <x:comment ref="L79" authorId="0">
      <x:text>
        <x:r>
          <x:t>INPUT AUDIT: nilai ini dapat diedit. Seluruh hasil simulasi mengambil parameter dari sel ini.</x:t>
        </x:r>
      </x:text>
    </x:comment>
    <x:comment ref="E80" authorId="0">
      <x:text>
        <x:r>
          <x:t>INPUT AUDIT: nilai ini dapat diedit. Seluruh hasil simulasi mengambil parameter dari sel ini.</x:t>
        </x:r>
      </x:text>
    </x:comment>
    <x:comment ref="F80" authorId="0">
      <x:text>
        <x:r>
          <x:t>INPUT AUDIT: nilai ini dapat diedit. Seluruh hasil simulasi mengambil parameter dari sel ini.</x:t>
        </x:r>
      </x:text>
    </x:comment>
    <x:comment ref="G80" authorId="0">
      <x:text>
        <x:r>
          <x:t>INPUT AUDIT: nilai ini dapat diedit. Seluruh hasil simulasi mengambil parameter dari sel ini.</x:t>
        </x:r>
      </x:text>
    </x:comment>
    <x:comment ref="H80" authorId="0">
      <x:text>
        <x:r>
          <x:t>INPUT AUDIT: nilai ini dapat diedit. Seluruh hasil simulasi mengambil parameter dari sel ini.</x:t>
        </x:r>
      </x:text>
    </x:comment>
    <x:comment ref="I80" authorId="0">
      <x:text>
        <x:r>
          <x:t>INPUT AUDIT: nilai ini dapat diedit. Seluruh hasil simulasi mengambil parameter dari sel ini.</x:t>
        </x:r>
      </x:text>
    </x:comment>
    <x:comment ref="J80" authorId="0">
      <x:text>
        <x:r>
          <x:t>INPUT AUDIT: nilai ini dapat diedit. Seluruh hasil simulasi mengambil parameter dari sel ini.</x:t>
        </x:r>
      </x:text>
    </x:comment>
    <x:comment ref="K80" authorId="0">
      <x:text>
        <x:r>
          <x:t>INPUT AUDIT: nilai ini dapat diedit. Seluruh hasil simulasi mengambil parameter dari sel ini.</x:t>
        </x:r>
      </x:text>
    </x:comment>
    <x:comment ref="L80" authorId="0">
      <x:text>
        <x:r>
          <x:t>INPUT AUDIT: nilai ini dapat diedit. Seluruh hasil simulasi mengambil parameter dari sel ini.</x:t>
        </x:r>
      </x:text>
    </x:comment>
    <x:comment ref="E81" authorId="0">
      <x:text>
        <x:r>
          <x:t>INPUT AUDIT: nilai ini dapat diedit. Seluruh hasil simulasi mengambil parameter dari sel ini.</x:t>
        </x:r>
      </x:text>
    </x:comment>
    <x:comment ref="F81" authorId="0">
      <x:text>
        <x:r>
          <x:t>INPUT AUDIT: nilai ini dapat diedit. Seluruh hasil simulasi mengambil parameter dari sel ini.</x:t>
        </x:r>
      </x:text>
    </x:comment>
    <x:comment ref="G81" authorId="0">
      <x:text>
        <x:r>
          <x:t>INPUT AUDIT: nilai ini dapat diedit. Seluruh hasil simulasi mengambil parameter dari sel ini.</x:t>
        </x:r>
      </x:text>
    </x:comment>
    <x:comment ref="H81" authorId="0">
      <x:text>
        <x:r>
          <x:t>INPUT AUDIT: nilai ini dapat diedit. Seluruh hasil simulasi mengambil parameter dari sel ini.</x:t>
        </x:r>
      </x:text>
    </x:comment>
    <x:comment ref="I81" authorId="0">
      <x:text>
        <x:r>
          <x:t>INPUT AUDIT: nilai ini dapat diedit. Seluruh hasil simulasi mengambil parameter dari sel ini.</x:t>
        </x:r>
      </x:text>
    </x:comment>
    <x:comment ref="J81" authorId="0">
      <x:text>
        <x:r>
          <x:t>INPUT AUDIT: nilai ini dapat diedit. Seluruh hasil simulasi mengambil parameter dari sel ini.</x:t>
        </x:r>
      </x:text>
    </x:comment>
    <x:comment ref="K81" authorId="0">
      <x:text>
        <x:r>
          <x:t>INPUT AUDIT: nilai ini dapat diedit. Seluruh hasil simulasi mengambil parameter dari sel ini.</x:t>
        </x:r>
      </x:text>
    </x:comment>
    <x:comment ref="L81" authorId="0">
      <x:text>
        <x:r>
          <x:t>INPUT AUDIT: nilai ini dapat diedit. Seluruh hasil simulasi mengambil parameter dari sel ini.</x:t>
        </x:r>
      </x:text>
    </x:comment>
    <x:comment ref="E82" authorId="0">
      <x:text>
        <x:r>
          <x:t>INPUT AUDIT: nilai ini dapat diedit. Seluruh hasil simulasi mengambil parameter dari sel ini.</x:t>
        </x:r>
      </x:text>
    </x:comment>
    <x:comment ref="F82" authorId="0">
      <x:text>
        <x:r>
          <x:t>INPUT AUDIT: nilai ini dapat diedit. Seluruh hasil simulasi mengambil parameter dari sel ini.</x:t>
        </x:r>
      </x:text>
    </x:comment>
    <x:comment ref="G82" authorId="0">
      <x:text>
        <x:r>
          <x:t>INPUT AUDIT: nilai ini dapat diedit. Seluruh hasil simulasi mengambil parameter dari sel ini.</x:t>
        </x:r>
      </x:text>
    </x:comment>
    <x:comment ref="H82" authorId="0">
      <x:text>
        <x:r>
          <x:t>INPUT AUDIT: nilai ini dapat diedit. Seluruh hasil simulasi mengambil parameter dari sel ini.</x:t>
        </x:r>
      </x:text>
    </x:comment>
    <x:comment ref="I82" authorId="0">
      <x:text>
        <x:r>
          <x:t>INPUT AUDIT: nilai ini dapat diedit. Seluruh hasil simulasi mengambil parameter dari sel ini.</x:t>
        </x:r>
      </x:text>
    </x:comment>
    <x:comment ref="J82" authorId="0">
      <x:text>
        <x:r>
          <x:t>INPUT AUDIT: nilai ini dapat diedit. Seluruh hasil simulasi mengambil parameter dari sel ini.</x:t>
        </x:r>
      </x:text>
    </x:comment>
    <x:comment ref="K82" authorId="0">
      <x:text>
        <x:r>
          <x:t>INPUT AUDIT: nilai ini dapat diedit. Seluruh hasil simulasi mengambil parameter dari sel ini.</x:t>
        </x:r>
      </x:text>
    </x:comment>
    <x:comment ref="L82" authorId="0">
      <x:text>
        <x:r>
          <x:t>INPUT AUDIT: nilai ini dapat diedit. Seluruh hasil simulasi mengambil parameter dari sel ini.</x:t>
        </x:r>
      </x:text>
    </x:comment>
    <x:comment ref="E83" authorId="0">
      <x:text>
        <x:r>
          <x:t>INPUT AUDIT: nilai ini dapat diedit. Seluruh hasil simulasi mengambil parameter dari sel ini.</x:t>
        </x:r>
      </x:text>
    </x:comment>
    <x:comment ref="F83" authorId="0">
      <x:text>
        <x:r>
          <x:t>INPUT AUDIT: nilai ini dapat diedit. Seluruh hasil simulasi mengambil parameter dari sel ini.</x:t>
        </x:r>
      </x:text>
    </x:comment>
    <x:comment ref="G83" authorId="0">
      <x:text>
        <x:r>
          <x:t>INPUT AUDIT: nilai ini dapat diedit. Seluruh hasil simulasi mengambil parameter dari sel ini.</x:t>
        </x:r>
      </x:text>
    </x:comment>
    <x:comment ref="H83" authorId="0">
      <x:text>
        <x:r>
          <x:t>INPUT AUDIT: nilai ini dapat diedit. Seluruh hasil simulasi mengambil parameter dari sel ini.</x:t>
        </x:r>
      </x:text>
    </x:comment>
    <x:comment ref="I83" authorId="0">
      <x:text>
        <x:r>
          <x:t>INPUT AUDIT: nilai ini dapat diedit. Seluruh hasil simulasi mengambil parameter dari sel ini.</x:t>
        </x:r>
      </x:text>
    </x:comment>
    <x:comment ref="J83" authorId="0">
      <x:text>
        <x:r>
          <x:t>INPUT AUDIT: nilai ini dapat diedit. Seluruh hasil simulasi mengambil parameter dari sel ini.</x:t>
        </x:r>
      </x:text>
    </x:comment>
    <x:comment ref="K83" authorId="0">
      <x:text>
        <x:r>
          <x:t>INPUT AUDIT: nilai ini dapat diedit. Seluruh hasil simulasi mengambil parameter dari sel ini.</x:t>
        </x:r>
      </x:text>
    </x:comment>
    <x:comment ref="L83" authorId="0">
      <x:text>
        <x:r>
          <x:t>INPUT AUDIT: nilai ini dapat diedit. Seluruh hasil simulasi mengambil parameter dari sel ini.</x:t>
        </x:r>
      </x:text>
    </x:comment>
    <x:comment ref="E84" authorId="0">
      <x:text>
        <x:r>
          <x:t>INPUT AUDIT: nilai ini dapat diedit. Seluruh hasil simulasi mengambil parameter dari sel ini.</x:t>
        </x:r>
      </x:text>
    </x:comment>
    <x:comment ref="F84" authorId="0">
      <x:text>
        <x:r>
          <x:t>INPUT AUDIT: nilai ini dapat diedit. Seluruh hasil simulasi mengambil parameter dari sel ini.</x:t>
        </x:r>
      </x:text>
    </x:comment>
    <x:comment ref="G84" authorId="0">
      <x:text>
        <x:r>
          <x:t>INPUT AUDIT: nilai ini dapat diedit. Seluruh hasil simulasi mengambil parameter dari sel ini.</x:t>
        </x:r>
      </x:text>
    </x:comment>
    <x:comment ref="H84" authorId="0">
      <x:text>
        <x:r>
          <x:t>INPUT AUDIT: nilai ini dapat diedit. Seluruh hasil simulasi mengambil parameter dari sel ini.</x:t>
        </x:r>
      </x:text>
    </x:comment>
    <x:comment ref="I84" authorId="0">
      <x:text>
        <x:r>
          <x:t>INPUT AUDIT: nilai ini dapat diedit. Seluruh hasil simulasi mengambil parameter dari sel ini.</x:t>
        </x:r>
      </x:text>
    </x:comment>
    <x:comment ref="J84" authorId="0">
      <x:text>
        <x:r>
          <x:t>INPUT AUDIT: nilai ini dapat diedit. Seluruh hasil simulasi mengambil parameter dari sel ini.</x:t>
        </x:r>
      </x:text>
    </x:comment>
    <x:comment ref="K84" authorId="0">
      <x:text>
        <x:r>
          <x:t>INPUT AUDIT: nilai ini dapat diedit. Seluruh hasil simulasi mengambil parameter dari sel ini.</x:t>
        </x:r>
      </x:text>
    </x:comment>
    <x:comment ref="L84" authorId="0">
      <x:text>
        <x:r>
          <x:t>INPUT AUDIT: nilai ini dapat diedit. Seluruh hasil simulasi mengambil parameter dari sel ini.</x:t>
        </x:r>
      </x:text>
    </x:comment>
    <x:comment ref="E85" authorId="0">
      <x:text>
        <x:r>
          <x:t>INPUT AUDIT: nilai ini dapat diedit. Seluruh hasil simulasi mengambil parameter dari sel ini.</x:t>
        </x:r>
      </x:text>
    </x:comment>
    <x:comment ref="F85" authorId="0">
      <x:text>
        <x:r>
          <x:t>INPUT AUDIT: nilai ini dapat diedit. Seluruh hasil simulasi mengambil parameter dari sel ini.</x:t>
        </x:r>
      </x:text>
    </x:comment>
    <x:comment ref="G85" authorId="0">
      <x:text>
        <x:r>
          <x:t>INPUT AUDIT: nilai ini dapat diedit. Seluruh hasil simulasi mengambil parameter dari sel ini.</x:t>
        </x:r>
      </x:text>
    </x:comment>
    <x:comment ref="H85" authorId="0">
      <x:text>
        <x:r>
          <x:t>INPUT AUDIT: nilai ini dapat diedit. Seluruh hasil simulasi mengambil parameter dari sel ini.</x:t>
        </x:r>
      </x:text>
    </x:comment>
    <x:comment ref="I85" authorId="0">
      <x:text>
        <x:r>
          <x:t>INPUT AUDIT: nilai ini dapat diedit. Seluruh hasil simulasi mengambil parameter dari sel ini.</x:t>
        </x:r>
      </x:text>
    </x:comment>
    <x:comment ref="J85" authorId="0">
      <x:text>
        <x:r>
          <x:t>INPUT AUDIT: nilai ini dapat diedit. Seluruh hasil simulasi mengambil parameter dari sel ini.</x:t>
        </x:r>
      </x:text>
    </x:comment>
    <x:comment ref="K85" authorId="0">
      <x:text>
        <x:r>
          <x:t>INPUT AUDIT: nilai ini dapat diedit. Seluruh hasil simulasi mengambil parameter dari sel ini.</x:t>
        </x:r>
      </x:text>
    </x:comment>
    <x:comment ref="L85" authorId="0">
      <x:text>
        <x:r>
          <x:t>INPUT AUDIT: nilai ini dapat diedit. Seluruh hasil simulasi mengambil parameter dari sel ini.</x:t>
        </x:r>
      </x:text>
    </x:comment>
    <x:comment ref="E86" authorId="0">
      <x:text>
        <x:r>
          <x:t>INPUT AUDIT: nilai ini dapat diedit. Seluruh hasil simulasi mengambil parameter dari sel ini.</x:t>
        </x:r>
      </x:text>
    </x:comment>
    <x:comment ref="F86" authorId="0">
      <x:text>
        <x:r>
          <x:t>INPUT AUDIT: nilai ini dapat diedit. Seluruh hasil simulasi mengambil parameter dari sel ini.</x:t>
        </x:r>
      </x:text>
    </x:comment>
    <x:comment ref="G86" authorId="0">
      <x:text>
        <x:r>
          <x:t>INPUT AUDIT: nilai ini dapat diedit. Seluruh hasil simulasi mengambil parameter dari sel ini.</x:t>
        </x:r>
      </x:text>
    </x:comment>
    <x:comment ref="H86" authorId="0">
      <x:text>
        <x:r>
          <x:t>INPUT AUDIT: nilai ini dapat diedit. Seluruh hasil simulasi mengambil parameter dari sel ini.</x:t>
        </x:r>
      </x:text>
    </x:comment>
    <x:comment ref="I86" authorId="0">
      <x:text>
        <x:r>
          <x:t>INPUT AUDIT: nilai ini dapat diedit. Seluruh hasil simulasi mengambil parameter dari sel ini.</x:t>
        </x:r>
      </x:text>
    </x:comment>
    <x:comment ref="J86" authorId="0">
      <x:text>
        <x:r>
          <x:t>INPUT AUDIT: nilai ini dapat diedit. Seluruh hasil simulasi mengambil parameter dari sel ini.</x:t>
        </x:r>
      </x:text>
    </x:comment>
    <x:comment ref="K86" authorId="0">
      <x:text>
        <x:r>
          <x:t>INPUT AUDIT: nilai ini dapat diedit. Seluruh hasil simulasi mengambil parameter dari sel ini.</x:t>
        </x:r>
      </x:text>
    </x:comment>
    <x:comment ref="L86" authorId="0">
      <x:text>
        <x:r>
          <x:t>INPUT AUDIT: nilai ini dapat diedit. Seluruh hasil simulasi mengambil parameter dari sel ini.</x:t>
        </x:r>
      </x:text>
    </x:comment>
    <x:comment ref="E87" authorId="0">
      <x:text>
        <x:r>
          <x:t>INPUT AUDIT: nilai ini dapat diedit. Seluruh hasil simulasi mengambil parameter dari sel ini.</x:t>
        </x:r>
      </x:text>
    </x:comment>
    <x:comment ref="F87" authorId="0">
      <x:text>
        <x:r>
          <x:t>INPUT AUDIT: nilai ini dapat diedit. Seluruh hasil simulasi mengambil parameter dari sel ini.</x:t>
        </x:r>
      </x:text>
    </x:comment>
    <x:comment ref="G87" authorId="0">
      <x:text>
        <x:r>
          <x:t>INPUT AUDIT: nilai ini dapat diedit. Seluruh hasil simulasi mengambil parameter dari sel ini.</x:t>
        </x:r>
      </x:text>
    </x:comment>
    <x:comment ref="H87" authorId="0">
      <x:text>
        <x:r>
          <x:t>INPUT AUDIT: nilai ini dapat diedit. Seluruh hasil simulasi mengambil parameter dari sel ini.</x:t>
        </x:r>
      </x:text>
    </x:comment>
    <x:comment ref="I87" authorId="0">
      <x:text>
        <x:r>
          <x:t>INPUT AUDIT: nilai ini dapat diedit. Seluruh hasil simulasi mengambil parameter dari sel ini.</x:t>
        </x:r>
      </x:text>
    </x:comment>
    <x:comment ref="J87" authorId="0">
      <x:text>
        <x:r>
          <x:t>INPUT AUDIT: nilai ini dapat diedit. Seluruh hasil simulasi mengambil parameter dari sel ini.</x:t>
        </x:r>
      </x:text>
    </x:comment>
    <x:comment ref="K87" authorId="0">
      <x:text>
        <x:r>
          <x:t>INPUT AUDIT: nilai ini dapat diedit. Seluruh hasil simulasi mengambil parameter dari sel ini.</x:t>
        </x:r>
      </x:text>
    </x:comment>
    <x:comment ref="L87" authorId="0">
      <x:text>
        <x:r>
          <x:t>INPUT AUDIT: nilai ini dapat diedit. Seluruh hasil simulasi mengambil parameter dari sel ini.</x:t>
        </x:r>
      </x:text>
    </x:comment>
    <x:comment ref="E88" authorId="0">
      <x:text>
        <x:r>
          <x:t>INPUT AUDIT: nilai ini dapat diedit. Seluruh hasil simulasi mengambil parameter dari sel ini.</x:t>
        </x:r>
      </x:text>
    </x:comment>
    <x:comment ref="F88" authorId="0">
      <x:text>
        <x:r>
          <x:t>INPUT AUDIT: nilai ini dapat diedit. Seluruh hasil simulasi mengambil parameter dari sel ini.</x:t>
        </x:r>
      </x:text>
    </x:comment>
    <x:comment ref="G88" authorId="0">
      <x:text>
        <x:r>
          <x:t>INPUT AUDIT: nilai ini dapat diedit. Seluruh hasil simulasi mengambil parameter dari sel ini.</x:t>
        </x:r>
      </x:text>
    </x:comment>
    <x:comment ref="H88" authorId="0">
      <x:text>
        <x:r>
          <x:t>INPUT AUDIT: nilai ini dapat diedit. Seluruh hasil simulasi mengambil parameter dari sel ini.</x:t>
        </x:r>
      </x:text>
    </x:comment>
    <x:comment ref="I88" authorId="0">
      <x:text>
        <x:r>
          <x:t>INPUT AUDIT: nilai ini dapat diedit. Seluruh hasil simulasi mengambil parameter dari sel ini.</x:t>
        </x:r>
      </x:text>
    </x:comment>
    <x:comment ref="J88" authorId="0">
      <x:text>
        <x:r>
          <x:t>INPUT AUDIT: nilai ini dapat diedit. Seluruh hasil simulasi mengambil parameter dari sel ini.</x:t>
        </x:r>
      </x:text>
    </x:comment>
    <x:comment ref="K88" authorId="0">
      <x:text>
        <x:r>
          <x:t>INPUT AUDIT: nilai ini dapat diedit. Seluruh hasil simulasi mengambil parameter dari sel ini.</x:t>
        </x:r>
      </x:text>
    </x:comment>
    <x:comment ref="L88" authorId="0">
      <x:text>
        <x:r>
          <x:t>INPUT AUDIT: nilai ini dapat diedit. Seluruh hasil simulasi mengambil parameter dari sel ini.</x:t>
        </x:r>
      </x:text>
    </x:comment>
    <x:comment ref="E89" authorId="0">
      <x:text>
        <x:r>
          <x:t>INPUT AUDIT: nilai ini dapat diedit. Seluruh hasil simulasi mengambil parameter dari sel ini.</x:t>
        </x:r>
      </x:text>
    </x:comment>
    <x:comment ref="F89" authorId="0">
      <x:text>
        <x:r>
          <x:t>INPUT AUDIT: nilai ini dapat diedit. Seluruh hasil simulasi mengambil parameter dari sel ini.</x:t>
        </x:r>
      </x:text>
    </x:comment>
    <x:comment ref="G89" authorId="0">
      <x:text>
        <x:r>
          <x:t>INPUT AUDIT: nilai ini dapat diedit. Seluruh hasil simulasi mengambil parameter dari sel ini.</x:t>
        </x:r>
      </x:text>
    </x:comment>
    <x:comment ref="H89" authorId="0">
      <x:text>
        <x:r>
          <x:t>INPUT AUDIT: nilai ini dapat diedit. Seluruh hasil simulasi mengambil parameter dari sel ini.</x:t>
        </x:r>
      </x:text>
    </x:comment>
    <x:comment ref="I89" authorId="0">
      <x:text>
        <x:r>
          <x:t>INPUT AUDIT: nilai ini dapat diedit. Seluruh hasil simulasi mengambil parameter dari sel ini.</x:t>
        </x:r>
      </x:text>
    </x:comment>
    <x:comment ref="J89" authorId="0">
      <x:text>
        <x:r>
          <x:t>INPUT AUDIT: nilai ini dapat diedit. Seluruh hasil simulasi mengambil parameter dari sel ini.</x:t>
        </x:r>
      </x:text>
    </x:comment>
    <x:comment ref="K89" authorId="0">
      <x:text>
        <x:r>
          <x:t>INPUT AUDIT: nilai ini dapat diedit. Seluruh hasil simulasi mengambil parameter dari sel ini.</x:t>
        </x:r>
      </x:text>
    </x:comment>
    <x:comment ref="L89" authorId="0">
      <x:text>
        <x:r>
          <x:t>INPUT AUDIT: nilai ini dapat diedit. Seluruh hasil simulasi mengambil parameter dari sel ini.</x:t>
        </x:r>
      </x:text>
    </x:comment>
    <x:comment ref="E90" authorId="0">
      <x:text>
        <x:r>
          <x:t>INPUT AUDIT: nilai ini dapat diedit. Seluruh hasil simulasi mengambil parameter dari sel ini.</x:t>
        </x:r>
      </x:text>
    </x:comment>
    <x:comment ref="F90" authorId="0">
      <x:text>
        <x:r>
          <x:t>INPUT AUDIT: nilai ini dapat diedit. Seluruh hasil simulasi mengambil parameter dari sel ini.</x:t>
        </x:r>
      </x:text>
    </x:comment>
    <x:comment ref="G90" authorId="0">
      <x:text>
        <x:r>
          <x:t>INPUT AUDIT: nilai ini dapat diedit. Seluruh hasil simulasi mengambil parameter dari sel ini.</x:t>
        </x:r>
      </x:text>
    </x:comment>
    <x:comment ref="H90" authorId="0">
      <x:text>
        <x:r>
          <x:t>INPUT AUDIT: nilai ini dapat diedit. Seluruh hasil simulasi mengambil parameter dari sel ini.</x:t>
        </x:r>
      </x:text>
    </x:comment>
    <x:comment ref="I90" authorId="0">
      <x:text>
        <x:r>
          <x:t>INPUT AUDIT: nilai ini dapat diedit. Seluruh hasil simulasi mengambil parameter dari sel ini.</x:t>
        </x:r>
      </x:text>
    </x:comment>
    <x:comment ref="J90" authorId="0">
      <x:text>
        <x:r>
          <x:t>INPUT AUDIT: nilai ini dapat diedit. Seluruh hasil simulasi mengambil parameter dari sel ini.</x:t>
        </x:r>
      </x:text>
    </x:comment>
    <x:comment ref="K90" authorId="0">
      <x:text>
        <x:r>
          <x:t>INPUT AUDIT: nilai ini dapat diedit. Seluruh hasil simulasi mengambil parameter dari sel ini.</x:t>
        </x:r>
      </x:text>
    </x:comment>
    <x:comment ref="L90" authorId="0">
      <x:text>
        <x:r>
          <x:t>INPUT AUDIT: nilai ini dapat diedit. Seluruh hasil simulasi mengambil parameter dari sel ini.</x:t>
        </x:r>
      </x:text>
    </x:comment>
    <x:comment ref="E91" authorId="0">
      <x:text>
        <x:r>
          <x:t>INPUT AUDIT: nilai ini dapat diedit. Seluruh hasil simulasi mengambil parameter dari sel ini.</x:t>
        </x:r>
      </x:text>
    </x:comment>
    <x:comment ref="F91" authorId="0">
      <x:text>
        <x:r>
          <x:t>INPUT AUDIT: nilai ini dapat diedit. Seluruh hasil simulasi mengambil parameter dari sel ini.</x:t>
        </x:r>
      </x:text>
    </x:comment>
    <x:comment ref="G91" authorId="0">
      <x:text>
        <x:r>
          <x:t>INPUT AUDIT: nilai ini dapat diedit. Seluruh hasil simulasi mengambil parameter dari sel ini.</x:t>
        </x:r>
      </x:text>
    </x:comment>
    <x:comment ref="H91" authorId="0">
      <x:text>
        <x:r>
          <x:t>INPUT AUDIT: nilai ini dapat diedit. Seluruh hasil simulasi mengambil parameter dari sel ini.</x:t>
        </x:r>
      </x:text>
    </x:comment>
    <x:comment ref="I91" authorId="0">
      <x:text>
        <x:r>
          <x:t>INPUT AUDIT: nilai ini dapat diedit. Seluruh hasil simulasi mengambil parameter dari sel ini.</x:t>
        </x:r>
      </x:text>
    </x:comment>
    <x:comment ref="J91" authorId="0">
      <x:text>
        <x:r>
          <x:t>INPUT AUDIT: nilai ini dapat diedit. Seluruh hasil simulasi mengambil parameter dari sel ini.</x:t>
        </x:r>
      </x:text>
    </x:comment>
    <x:comment ref="K91" authorId="0">
      <x:text>
        <x:r>
          <x:t>INPUT AUDIT: nilai ini dapat diedit. Seluruh hasil simulasi mengambil parameter dari sel ini.</x:t>
        </x:r>
      </x:text>
    </x:comment>
    <x:comment ref="L91" authorId="0">
      <x:text>
        <x:r>
          <x:t>INPUT AUDIT: nilai ini dapat diedit. Seluruh hasil simulasi mengambil parameter dari sel ini.</x:t>
        </x:r>
      </x:text>
    </x:comment>
    <x:comment ref="E92" authorId="0">
      <x:text>
        <x:r>
          <x:t>INPUT AUDIT: nilai ini dapat diedit. Seluruh hasil simulasi mengambil parameter dari sel ini.</x:t>
        </x:r>
      </x:text>
    </x:comment>
    <x:comment ref="F92" authorId="0">
      <x:text>
        <x:r>
          <x:t>INPUT AUDIT: nilai ini dapat diedit. Seluruh hasil simulasi mengambil parameter dari sel ini.</x:t>
        </x:r>
      </x:text>
    </x:comment>
    <x:comment ref="G92" authorId="0">
      <x:text>
        <x:r>
          <x:t>INPUT AUDIT: nilai ini dapat diedit. Seluruh hasil simulasi mengambil parameter dari sel ini.</x:t>
        </x:r>
      </x:text>
    </x:comment>
    <x:comment ref="H92" authorId="0">
      <x:text>
        <x:r>
          <x:t>INPUT AUDIT: nilai ini dapat diedit. Seluruh hasil simulasi mengambil parameter dari sel ini.</x:t>
        </x:r>
      </x:text>
    </x:comment>
    <x:comment ref="I92" authorId="0">
      <x:text>
        <x:r>
          <x:t>INPUT AUDIT: nilai ini dapat diedit. Seluruh hasil simulasi mengambil parameter dari sel ini.</x:t>
        </x:r>
      </x:text>
    </x:comment>
    <x:comment ref="J92" authorId="0">
      <x:text>
        <x:r>
          <x:t>INPUT AUDIT: nilai ini dapat diedit. Seluruh hasil simulasi mengambil parameter dari sel ini.</x:t>
        </x:r>
      </x:text>
    </x:comment>
    <x:comment ref="K92" authorId="0">
      <x:text>
        <x:r>
          <x:t>INPUT AUDIT: nilai ini dapat diedit. Seluruh hasil simulasi mengambil parameter dari sel ini.</x:t>
        </x:r>
      </x:text>
    </x:comment>
    <x:comment ref="L92" authorId="0">
      <x:text>
        <x:r>
          <x:t>INPUT AUDIT: nilai ini dapat diedit. Seluruh hasil simulasi mengambil parameter dari sel ini.</x:t>
        </x:r>
      </x:text>
    </x:comment>
    <x:comment ref="E93" authorId="0">
      <x:text>
        <x:r>
          <x:t>INPUT AUDIT: nilai ini dapat diedit. Seluruh hasil simulasi mengambil parameter dari sel ini.</x:t>
        </x:r>
      </x:text>
    </x:comment>
    <x:comment ref="F93" authorId="0">
      <x:text>
        <x:r>
          <x:t>INPUT AUDIT: nilai ini dapat diedit. Seluruh hasil simulasi mengambil parameter dari sel ini.</x:t>
        </x:r>
      </x:text>
    </x:comment>
    <x:comment ref="G93" authorId="0">
      <x:text>
        <x:r>
          <x:t>INPUT AUDIT: nilai ini dapat diedit. Seluruh hasil simulasi mengambil parameter dari sel ini.</x:t>
        </x:r>
      </x:text>
    </x:comment>
    <x:comment ref="H93" authorId="0">
      <x:text>
        <x:r>
          <x:t>INPUT AUDIT: nilai ini dapat diedit. Seluruh hasil simulasi mengambil parameter dari sel ini.</x:t>
        </x:r>
      </x:text>
    </x:comment>
    <x:comment ref="I93" authorId="0">
      <x:text>
        <x:r>
          <x:t>INPUT AUDIT: nilai ini dapat diedit. Seluruh hasil simulasi mengambil parameter dari sel ini.</x:t>
        </x:r>
      </x:text>
    </x:comment>
    <x:comment ref="J93" authorId="0">
      <x:text>
        <x:r>
          <x:t>INPUT AUDIT: nilai ini dapat diedit. Seluruh hasil simulasi mengambil parameter dari sel ini.</x:t>
        </x:r>
      </x:text>
    </x:comment>
    <x:comment ref="K93" authorId="0">
      <x:text>
        <x:r>
          <x:t>INPUT AUDIT: nilai ini dapat diedit. Seluruh hasil simulasi mengambil parameter dari sel ini.</x:t>
        </x:r>
      </x:text>
    </x:comment>
    <x:comment ref="L93" authorId="0">
      <x:text>
        <x:r>
          <x:t>INPUT AUDIT: nilai ini dapat diedit. Seluruh hasil simulasi mengambil parameter dari sel ini.</x:t>
        </x:r>
      </x:text>
    </x:comment>
    <x:comment ref="E94" authorId="0">
      <x:text>
        <x:r>
          <x:t>INPUT AUDIT: nilai ini dapat diedit. Seluruh hasil simulasi mengambil parameter dari sel ini.</x:t>
        </x:r>
      </x:text>
    </x:comment>
    <x:comment ref="F94" authorId="0">
      <x:text>
        <x:r>
          <x:t>INPUT AUDIT: nilai ini dapat diedit. Seluruh hasil simulasi mengambil parameter dari sel ini.</x:t>
        </x:r>
      </x:text>
    </x:comment>
    <x:comment ref="G94" authorId="0">
      <x:text>
        <x:r>
          <x:t>INPUT AUDIT: nilai ini dapat diedit. Seluruh hasil simulasi mengambil parameter dari sel ini.</x:t>
        </x:r>
      </x:text>
    </x:comment>
    <x:comment ref="H94" authorId="0">
      <x:text>
        <x:r>
          <x:t>INPUT AUDIT: nilai ini dapat diedit. Seluruh hasil simulasi mengambil parameter dari sel ini.</x:t>
        </x:r>
      </x:text>
    </x:comment>
    <x:comment ref="I94" authorId="0">
      <x:text>
        <x:r>
          <x:t>INPUT AUDIT: nilai ini dapat diedit. Seluruh hasil simulasi mengambil parameter dari sel ini.</x:t>
        </x:r>
      </x:text>
    </x:comment>
    <x:comment ref="J94" authorId="0">
      <x:text>
        <x:r>
          <x:t>INPUT AUDIT: nilai ini dapat diedit. Seluruh hasil simulasi mengambil parameter dari sel ini.</x:t>
        </x:r>
      </x:text>
    </x:comment>
    <x:comment ref="K94" authorId="0">
      <x:text>
        <x:r>
          <x:t>INPUT AUDIT: nilai ini dapat diedit. Seluruh hasil simulasi mengambil parameter dari sel ini.</x:t>
        </x:r>
      </x:text>
    </x:comment>
    <x:comment ref="L94" authorId="0">
      <x:text>
        <x:r>
          <x:t>INPUT AUDIT: nilai ini dapat diedit. Seluruh hasil simulasi mengambil parameter dari sel ini.</x:t>
        </x:r>
      </x:text>
    </x:comment>
    <x:comment ref="E95" authorId="0">
      <x:text>
        <x:r>
          <x:t>INPUT AUDIT: nilai ini dapat diedit. Seluruh hasil simulasi mengambil parameter dari sel ini.</x:t>
        </x:r>
      </x:text>
    </x:comment>
    <x:comment ref="F95" authorId="0">
      <x:text>
        <x:r>
          <x:t>INPUT AUDIT: nilai ini dapat diedit. Seluruh hasil simulasi mengambil parameter dari sel ini.</x:t>
        </x:r>
      </x:text>
    </x:comment>
    <x:comment ref="G95" authorId="0">
      <x:text>
        <x:r>
          <x:t>INPUT AUDIT: nilai ini dapat diedit. Seluruh hasil simulasi mengambil parameter dari sel ini.</x:t>
        </x:r>
      </x:text>
    </x:comment>
    <x:comment ref="H95" authorId="0">
      <x:text>
        <x:r>
          <x:t>INPUT AUDIT: nilai ini dapat diedit. Seluruh hasil simulasi mengambil parameter dari sel ini.</x:t>
        </x:r>
      </x:text>
    </x:comment>
    <x:comment ref="I95" authorId="0">
      <x:text>
        <x:r>
          <x:t>INPUT AUDIT: nilai ini dapat diedit. Seluruh hasil simulasi mengambil parameter dari sel ini.</x:t>
        </x:r>
      </x:text>
    </x:comment>
    <x:comment ref="J95" authorId="0">
      <x:text>
        <x:r>
          <x:t>INPUT AUDIT: nilai ini dapat diedit. Seluruh hasil simulasi mengambil parameter dari sel ini.</x:t>
        </x:r>
      </x:text>
    </x:comment>
    <x:comment ref="K95" authorId="0">
      <x:text>
        <x:r>
          <x:t>INPUT AUDIT: nilai ini dapat diedit. Seluruh hasil simulasi mengambil parameter dari sel ini.</x:t>
        </x:r>
      </x:text>
    </x:comment>
    <x:comment ref="L95" authorId="0">
      <x:text>
        <x:r>
          <x:t>INPUT AUDIT: nilai ini dapat diedit. Seluruh hasil simulasi mengambil parameter dari sel ini.</x:t>
        </x:r>
      </x:text>
    </x:comment>
    <x:comment ref="E96" authorId="0">
      <x:text>
        <x:r>
          <x:t>INPUT AUDIT: nilai ini dapat diedit. Seluruh hasil simulasi mengambil parameter dari sel ini.</x:t>
        </x:r>
      </x:text>
    </x:comment>
    <x:comment ref="F96" authorId="0">
      <x:text>
        <x:r>
          <x:t>INPUT AUDIT: nilai ini dapat diedit. Seluruh hasil simulasi mengambil parameter dari sel ini.</x:t>
        </x:r>
      </x:text>
    </x:comment>
    <x:comment ref="G96" authorId="0">
      <x:text>
        <x:r>
          <x:t>INPUT AUDIT: nilai ini dapat diedit. Seluruh hasil simulasi mengambil parameter dari sel ini.</x:t>
        </x:r>
      </x:text>
    </x:comment>
    <x:comment ref="H96" authorId="0">
      <x:text>
        <x:r>
          <x:t>INPUT AUDIT: nilai ini dapat diedit. Seluruh hasil simulasi mengambil parameter dari sel ini.</x:t>
        </x:r>
      </x:text>
    </x:comment>
    <x:comment ref="I96" authorId="0">
      <x:text>
        <x:r>
          <x:t>INPUT AUDIT: nilai ini dapat diedit. Seluruh hasil simulasi mengambil parameter dari sel ini.</x:t>
        </x:r>
      </x:text>
    </x:comment>
    <x:comment ref="J96" authorId="0">
      <x:text>
        <x:r>
          <x:t>INPUT AUDIT: nilai ini dapat diedit. Seluruh hasil simulasi mengambil parameter dari sel ini.</x:t>
        </x:r>
      </x:text>
    </x:comment>
    <x:comment ref="K96" authorId="0">
      <x:text>
        <x:r>
          <x:t>INPUT AUDIT: nilai ini dapat diedit. Seluruh hasil simulasi mengambil parameter dari sel ini.</x:t>
        </x:r>
      </x:text>
    </x:comment>
    <x:comment ref="L96" authorId="0">
      <x:text>
        <x:r>
          <x:t>INPUT AUDIT: nilai ini dapat diedit. Seluruh hasil simulasi mengambil parameter dari sel ini.</x:t>
        </x:r>
      </x:text>
    </x:comment>
    <x:comment ref="E97" authorId="0">
      <x:text>
        <x:r>
          <x:t>INPUT AUDIT: nilai ini dapat diedit. Seluruh hasil simulasi mengambil parameter dari sel ini.</x:t>
        </x:r>
      </x:text>
    </x:comment>
    <x:comment ref="F97" authorId="0">
      <x:text>
        <x:r>
          <x:t>INPUT AUDIT: nilai ini dapat diedit. Seluruh hasil simulasi mengambil parameter dari sel ini.</x:t>
        </x:r>
      </x:text>
    </x:comment>
    <x:comment ref="G97" authorId="0">
      <x:text>
        <x:r>
          <x:t>INPUT AUDIT: nilai ini dapat diedit. Seluruh hasil simulasi mengambil parameter dari sel ini.</x:t>
        </x:r>
      </x:text>
    </x:comment>
    <x:comment ref="H97" authorId="0">
      <x:text>
        <x:r>
          <x:t>INPUT AUDIT: nilai ini dapat diedit. Seluruh hasil simulasi mengambil parameter dari sel ini.</x:t>
        </x:r>
      </x:text>
    </x:comment>
    <x:comment ref="I97" authorId="0">
      <x:text>
        <x:r>
          <x:t>INPUT AUDIT: nilai ini dapat diedit. Seluruh hasil simulasi mengambil parameter dari sel ini.</x:t>
        </x:r>
      </x:text>
    </x:comment>
    <x:comment ref="J97" authorId="0">
      <x:text>
        <x:r>
          <x:t>INPUT AUDIT: nilai ini dapat diedit. Seluruh hasil simulasi mengambil parameter dari sel ini.</x:t>
        </x:r>
      </x:text>
    </x:comment>
    <x:comment ref="K97" authorId="0">
      <x:text>
        <x:r>
          <x:t>INPUT AUDIT: nilai ini dapat diedit. Seluruh hasil simulasi mengambil parameter dari sel ini.</x:t>
        </x:r>
      </x:text>
    </x:comment>
    <x:comment ref="L97" authorId="0">
      <x:text>
        <x:r>
          <x:t>INPUT AUDIT: nilai ini dapat diedit. Seluruh hasil simulasi mengambil parameter dari sel ini.</x:t>
        </x:r>
      </x:text>
    </x:comment>
    <x:comment ref="E98" authorId="0">
      <x:text>
        <x:r>
          <x:t>INPUT AUDIT: nilai ini dapat diedit. Seluruh hasil simulasi mengambil parameter dari sel ini.</x:t>
        </x:r>
      </x:text>
    </x:comment>
    <x:comment ref="F98" authorId="0">
      <x:text>
        <x:r>
          <x:t>INPUT AUDIT: nilai ini dapat diedit. Seluruh hasil simulasi mengambil parameter dari sel ini.</x:t>
        </x:r>
      </x:text>
    </x:comment>
    <x:comment ref="G98" authorId="0">
      <x:text>
        <x:r>
          <x:t>INPUT AUDIT: nilai ini dapat diedit. Seluruh hasil simulasi mengambil parameter dari sel ini.</x:t>
        </x:r>
      </x:text>
    </x:comment>
    <x:comment ref="H98" authorId="0">
      <x:text>
        <x:r>
          <x:t>INPUT AUDIT: nilai ini dapat diedit. Seluruh hasil simulasi mengambil parameter dari sel ini.</x:t>
        </x:r>
      </x:text>
    </x:comment>
    <x:comment ref="I98" authorId="0">
      <x:text>
        <x:r>
          <x:t>INPUT AUDIT: nilai ini dapat diedit. Seluruh hasil simulasi mengambil parameter dari sel ini.</x:t>
        </x:r>
      </x:text>
    </x:comment>
    <x:comment ref="J98" authorId="0">
      <x:text>
        <x:r>
          <x:t>INPUT AUDIT: nilai ini dapat diedit. Seluruh hasil simulasi mengambil parameter dari sel ini.</x:t>
        </x:r>
      </x:text>
    </x:comment>
    <x:comment ref="K98" authorId="0">
      <x:text>
        <x:r>
          <x:t>INPUT AUDIT: nilai ini dapat diedit. Seluruh hasil simulasi mengambil parameter dari sel ini.</x:t>
        </x:r>
      </x:text>
    </x:comment>
    <x:comment ref="L98" authorId="0">
      <x:text>
        <x:r>
          <x:t>INPUT AUDIT: nilai ini dapat diedit. Seluruh hasil simulasi mengambil parameter dari sel ini.</x:t>
        </x:r>
      </x:text>
    </x:comment>
    <x:comment ref="E99" authorId="0">
      <x:text>
        <x:r>
          <x:t>INPUT AUDIT: nilai ini dapat diedit. Seluruh hasil simulasi mengambil parameter dari sel ini.</x:t>
        </x:r>
      </x:text>
    </x:comment>
    <x:comment ref="F99" authorId="0">
      <x:text>
        <x:r>
          <x:t>INPUT AUDIT: nilai ini dapat diedit. Seluruh hasil simulasi mengambil parameter dari sel ini.</x:t>
        </x:r>
      </x:text>
    </x:comment>
    <x:comment ref="G99" authorId="0">
      <x:text>
        <x:r>
          <x:t>INPUT AUDIT: nilai ini dapat diedit. Seluruh hasil simulasi mengambil parameter dari sel ini.</x:t>
        </x:r>
      </x:text>
    </x:comment>
    <x:comment ref="H99" authorId="0">
      <x:text>
        <x:r>
          <x:t>INPUT AUDIT: nilai ini dapat diedit. Seluruh hasil simulasi mengambil parameter dari sel ini.</x:t>
        </x:r>
      </x:text>
    </x:comment>
    <x:comment ref="I99" authorId="0">
      <x:text>
        <x:r>
          <x:t>INPUT AUDIT: nilai ini dapat diedit. Seluruh hasil simulasi mengambil parameter dari sel ini.</x:t>
        </x:r>
      </x:text>
    </x:comment>
    <x:comment ref="J99" authorId="0">
      <x:text>
        <x:r>
          <x:t>INPUT AUDIT: nilai ini dapat diedit. Seluruh hasil simulasi mengambil parameter dari sel ini.</x:t>
        </x:r>
      </x:text>
    </x:comment>
    <x:comment ref="K99" authorId="0">
      <x:text>
        <x:r>
          <x:t>INPUT AUDIT: nilai ini dapat diedit. Seluruh hasil simulasi mengambil parameter dari sel ini.</x:t>
        </x:r>
      </x:text>
    </x:comment>
    <x:comment ref="L99" authorId="0">
      <x:text>
        <x:r>
          <x:t>INPUT AUDIT: nilai ini dapat diedit. Seluruh hasil simulasi mengambil parameter dari sel ini.</x:t>
        </x:r>
      </x:text>
    </x:comment>
    <x:comment ref="E100" authorId="0">
      <x:text>
        <x:r>
          <x:t>INPUT AUDIT: nilai ini dapat diedit. Seluruh hasil simulasi mengambil parameter dari sel ini.</x:t>
        </x:r>
      </x:text>
    </x:comment>
    <x:comment ref="F100" authorId="0">
      <x:text>
        <x:r>
          <x:t>INPUT AUDIT: nilai ini dapat diedit. Seluruh hasil simulasi mengambil parameter dari sel ini.</x:t>
        </x:r>
      </x:text>
    </x:comment>
    <x:comment ref="G100" authorId="0">
      <x:text>
        <x:r>
          <x:t>INPUT AUDIT: nilai ini dapat diedit. Seluruh hasil simulasi mengambil parameter dari sel ini.</x:t>
        </x:r>
      </x:text>
    </x:comment>
    <x:comment ref="H100" authorId="0">
      <x:text>
        <x:r>
          <x:t>INPUT AUDIT: nilai ini dapat diedit. Seluruh hasil simulasi mengambil parameter dari sel ini.</x:t>
        </x:r>
      </x:text>
    </x:comment>
    <x:comment ref="I100" authorId="0">
      <x:text>
        <x:r>
          <x:t>INPUT AUDIT: nilai ini dapat diedit. Seluruh hasil simulasi mengambil parameter dari sel ini.</x:t>
        </x:r>
      </x:text>
    </x:comment>
    <x:comment ref="J100" authorId="0">
      <x:text>
        <x:r>
          <x:t>INPUT AUDIT: nilai ini dapat diedit. Seluruh hasil simulasi mengambil parameter dari sel ini.</x:t>
        </x:r>
      </x:text>
    </x:comment>
    <x:comment ref="K100" authorId="0">
      <x:text>
        <x:r>
          <x:t>INPUT AUDIT: nilai ini dapat diedit. Seluruh hasil simulasi mengambil parameter dari sel ini.</x:t>
        </x:r>
      </x:text>
    </x:comment>
    <x:comment ref="L100" authorId="0">
      <x:text>
        <x:r>
          <x:t>INPUT AUDIT: nilai ini dapat diedit. Seluruh hasil simulasi mengambil parameter dari sel ini.</x:t>
        </x:r>
      </x:text>
    </x:comment>
    <x:comment ref="E101" authorId="0">
      <x:text>
        <x:r>
          <x:t>INPUT AUDIT: nilai ini dapat diedit. Seluruh hasil simulasi mengambil parameter dari sel ini.</x:t>
        </x:r>
      </x:text>
    </x:comment>
    <x:comment ref="F101" authorId="0">
      <x:text>
        <x:r>
          <x:t>INPUT AUDIT: nilai ini dapat diedit. Seluruh hasil simulasi mengambil parameter dari sel ini.</x:t>
        </x:r>
      </x:text>
    </x:comment>
    <x:comment ref="G101" authorId="0">
      <x:text>
        <x:r>
          <x:t>INPUT AUDIT: nilai ini dapat diedit. Seluruh hasil simulasi mengambil parameter dari sel ini.</x:t>
        </x:r>
      </x:text>
    </x:comment>
    <x:comment ref="H101" authorId="0">
      <x:text>
        <x:r>
          <x:t>INPUT AUDIT: nilai ini dapat diedit. Seluruh hasil simulasi mengambil parameter dari sel ini.</x:t>
        </x:r>
      </x:text>
    </x:comment>
    <x:comment ref="I101" authorId="0">
      <x:text>
        <x:r>
          <x:t>INPUT AUDIT: nilai ini dapat diedit. Seluruh hasil simulasi mengambil parameter dari sel ini.</x:t>
        </x:r>
      </x:text>
    </x:comment>
    <x:comment ref="J101" authorId="0">
      <x:text>
        <x:r>
          <x:t>INPUT AUDIT: nilai ini dapat diedit. Seluruh hasil simulasi mengambil parameter dari sel ini.</x:t>
        </x:r>
      </x:text>
    </x:comment>
    <x:comment ref="K101" authorId="0">
      <x:text>
        <x:r>
          <x:t>INPUT AUDIT: nilai ini dapat diedit. Seluruh hasil simulasi mengambil parameter dari sel ini.</x:t>
        </x:r>
      </x:text>
    </x:comment>
    <x:comment ref="L101" authorId="0">
      <x:text>
        <x:r>
          <x:t>INPUT AUDIT: nilai ini dapat diedit. Seluruh hasil simulasi mengambil parameter dari sel ini.</x:t>
        </x:r>
      </x:text>
    </x:comment>
    <x:comment ref="E102" authorId="0">
      <x:text>
        <x:r>
          <x:t>INPUT AUDIT: nilai ini dapat diedit. Seluruh hasil simulasi mengambil parameter dari sel ini.</x:t>
        </x:r>
      </x:text>
    </x:comment>
    <x:comment ref="F102" authorId="0">
      <x:text>
        <x:r>
          <x:t>INPUT AUDIT: nilai ini dapat diedit. Seluruh hasil simulasi mengambil parameter dari sel ini.</x:t>
        </x:r>
      </x:text>
    </x:comment>
    <x:comment ref="G102" authorId="0">
      <x:text>
        <x:r>
          <x:t>INPUT AUDIT: nilai ini dapat diedit. Seluruh hasil simulasi mengambil parameter dari sel ini.</x:t>
        </x:r>
      </x:text>
    </x:comment>
    <x:comment ref="H102" authorId="0">
      <x:text>
        <x:r>
          <x:t>INPUT AUDIT: nilai ini dapat diedit. Seluruh hasil simulasi mengambil parameter dari sel ini.</x:t>
        </x:r>
      </x:text>
    </x:comment>
    <x:comment ref="I102" authorId="0">
      <x:text>
        <x:r>
          <x:t>INPUT AUDIT: nilai ini dapat diedit. Seluruh hasil simulasi mengambil parameter dari sel ini.</x:t>
        </x:r>
      </x:text>
    </x:comment>
    <x:comment ref="J102" authorId="0">
      <x:text>
        <x:r>
          <x:t>INPUT AUDIT: nilai ini dapat diedit. Seluruh hasil simulasi mengambil parameter dari sel ini.</x:t>
        </x:r>
      </x:text>
    </x:comment>
    <x:comment ref="K102" authorId="0">
      <x:text>
        <x:r>
          <x:t>INPUT AUDIT: nilai ini dapat diedit. Seluruh hasil simulasi mengambil parameter dari sel ini.</x:t>
        </x:r>
      </x:text>
    </x:comment>
    <x:comment ref="L102" authorId="0">
      <x:text>
        <x:r>
          <x:t>INPUT AUDIT: nilai ini dapat diedit. Seluruh hasil simulasi mengambil parameter dari sel ini.</x:t>
        </x:r>
      </x:text>
    </x:comment>
    <x:comment ref="E103" authorId="0">
      <x:text>
        <x:r>
          <x:t>INPUT AUDIT: nilai ini dapat diedit. Seluruh hasil simulasi mengambil parameter dari sel ini.</x:t>
        </x:r>
      </x:text>
    </x:comment>
    <x:comment ref="F103" authorId="0">
      <x:text>
        <x:r>
          <x:t>INPUT AUDIT: nilai ini dapat diedit. Seluruh hasil simulasi mengambil parameter dari sel ini.</x:t>
        </x:r>
      </x:text>
    </x:comment>
    <x:comment ref="G103" authorId="0">
      <x:text>
        <x:r>
          <x:t>INPUT AUDIT: nilai ini dapat diedit. Seluruh hasil simulasi mengambil parameter dari sel ini.</x:t>
        </x:r>
      </x:text>
    </x:comment>
    <x:comment ref="H103" authorId="0">
      <x:text>
        <x:r>
          <x:t>INPUT AUDIT: nilai ini dapat diedit. Seluruh hasil simulasi mengambil parameter dari sel ini.</x:t>
        </x:r>
      </x:text>
    </x:comment>
    <x:comment ref="I103" authorId="0">
      <x:text>
        <x:r>
          <x:t>INPUT AUDIT: nilai ini dapat diedit. Seluruh hasil simulasi mengambil parameter dari sel ini.</x:t>
        </x:r>
      </x:text>
    </x:comment>
    <x:comment ref="J103" authorId="0">
      <x:text>
        <x:r>
          <x:t>INPUT AUDIT: nilai ini dapat diedit. Seluruh hasil simulasi mengambil parameter dari sel ini.</x:t>
        </x:r>
      </x:text>
    </x:comment>
    <x:comment ref="K103" authorId="0">
      <x:text>
        <x:r>
          <x:t>INPUT AUDIT: nilai ini dapat diedit. Seluruh hasil simulasi mengambil parameter dari sel ini.</x:t>
        </x:r>
      </x:text>
    </x:comment>
    <x:comment ref="L103" authorId="0">
      <x:text>
        <x:r>
          <x:t>INPUT AUDIT: nilai ini dapat diedit. Seluruh hasil simulasi mengambil parameter dari sel ini.</x:t>
        </x:r>
      </x:text>
    </x:comment>
    <x:comment ref="E104" authorId="0">
      <x:text>
        <x:r>
          <x:t>INPUT AUDIT: nilai ini dapat diedit. Seluruh hasil simulasi mengambil parameter dari sel ini.</x:t>
        </x:r>
      </x:text>
    </x:comment>
    <x:comment ref="F104" authorId="0">
      <x:text>
        <x:r>
          <x:t>INPUT AUDIT: nilai ini dapat diedit. Seluruh hasil simulasi mengambil parameter dari sel ini.</x:t>
        </x:r>
      </x:text>
    </x:comment>
    <x:comment ref="G104" authorId="0">
      <x:text>
        <x:r>
          <x:t>INPUT AUDIT: nilai ini dapat diedit. Seluruh hasil simulasi mengambil parameter dari sel ini.</x:t>
        </x:r>
      </x:text>
    </x:comment>
    <x:comment ref="H104" authorId="0">
      <x:text>
        <x:r>
          <x:t>INPUT AUDIT: nilai ini dapat diedit. Seluruh hasil simulasi mengambil parameter dari sel ini.</x:t>
        </x:r>
      </x:text>
    </x:comment>
    <x:comment ref="I104" authorId="0">
      <x:text>
        <x:r>
          <x:t>INPUT AUDIT: nilai ini dapat diedit. Seluruh hasil simulasi mengambil parameter dari sel ini.</x:t>
        </x:r>
      </x:text>
    </x:comment>
    <x:comment ref="J104" authorId="0">
      <x:text>
        <x:r>
          <x:t>INPUT AUDIT: nilai ini dapat diedit. Seluruh hasil simulasi mengambil parameter dari sel ini.</x:t>
        </x:r>
      </x:text>
    </x:comment>
    <x:comment ref="K104" authorId="0">
      <x:text>
        <x:r>
          <x:t>INPUT AUDIT: nilai ini dapat diedit. Seluruh hasil simulasi mengambil parameter dari sel ini.</x:t>
        </x:r>
      </x:text>
    </x:comment>
    <x:comment ref="L104" authorId="0">
      <x:text>
        <x:r>
          <x:t>INPUT AUDIT: nilai ini dapat diedit. Seluruh hasil simulasi mengambil parameter dari sel ini.</x:t>
        </x:r>
      </x:text>
    </x:comment>
    <x:comment ref="E105" authorId="0">
      <x:text>
        <x:r>
          <x:t>INPUT AUDIT: nilai ini dapat diedit. Seluruh hasil simulasi mengambil parameter dari sel ini.</x:t>
        </x:r>
      </x:text>
    </x:comment>
    <x:comment ref="F105" authorId="0">
      <x:text>
        <x:r>
          <x:t>INPUT AUDIT: nilai ini dapat diedit. Seluruh hasil simulasi mengambil parameter dari sel ini.</x:t>
        </x:r>
      </x:text>
    </x:comment>
    <x:comment ref="G105" authorId="0">
      <x:text>
        <x:r>
          <x:t>INPUT AUDIT: nilai ini dapat diedit. Seluruh hasil simulasi mengambil parameter dari sel ini.</x:t>
        </x:r>
      </x:text>
    </x:comment>
    <x:comment ref="H105" authorId="0">
      <x:text>
        <x:r>
          <x:t>INPUT AUDIT: nilai ini dapat diedit. Seluruh hasil simulasi mengambil parameter dari sel ini.</x:t>
        </x:r>
      </x:text>
    </x:comment>
    <x:comment ref="I105" authorId="0">
      <x:text>
        <x:r>
          <x:t>INPUT AUDIT: nilai ini dapat diedit. Seluruh hasil simulasi mengambil parameter dari sel ini.</x:t>
        </x:r>
      </x:text>
    </x:comment>
    <x:comment ref="J105" authorId="0">
      <x:text>
        <x:r>
          <x:t>INPUT AUDIT: nilai ini dapat diedit. Seluruh hasil simulasi mengambil parameter dari sel ini.</x:t>
        </x:r>
      </x:text>
    </x:comment>
    <x:comment ref="K105" authorId="0">
      <x:text>
        <x:r>
          <x:t>INPUT AUDIT: nilai ini dapat diedit. Seluruh hasil simulasi mengambil parameter dari sel ini.</x:t>
        </x:r>
      </x:text>
    </x:comment>
    <x:comment ref="L105" authorId="0">
      <x:text>
        <x:r>
          <x:t>INPUT AUDIT: nilai ini dapat diedit. Seluruh hasil simulasi mengambil parameter dari sel ini.</x:t>
        </x:r>
      </x:text>
    </x:comment>
    <x:comment ref="E106" authorId="0">
      <x:text>
        <x:r>
          <x:t>INPUT AUDIT: nilai ini dapat diedit. Seluruh hasil simulasi mengambil parameter dari sel ini.</x:t>
        </x:r>
      </x:text>
    </x:comment>
    <x:comment ref="F106" authorId="0">
      <x:text>
        <x:r>
          <x:t>INPUT AUDIT: nilai ini dapat diedit. Seluruh hasil simulasi mengambil parameter dari sel ini.</x:t>
        </x:r>
      </x:text>
    </x:comment>
    <x:comment ref="G106" authorId="0">
      <x:text>
        <x:r>
          <x:t>INPUT AUDIT: nilai ini dapat diedit. Seluruh hasil simulasi mengambil parameter dari sel ini.</x:t>
        </x:r>
      </x:text>
    </x:comment>
    <x:comment ref="H106" authorId="0">
      <x:text>
        <x:r>
          <x:t>INPUT AUDIT: nilai ini dapat diedit. Seluruh hasil simulasi mengambil parameter dari sel ini.</x:t>
        </x:r>
      </x:text>
    </x:comment>
    <x:comment ref="I106" authorId="0">
      <x:text>
        <x:r>
          <x:t>INPUT AUDIT: nilai ini dapat diedit. Seluruh hasil simulasi mengambil parameter dari sel ini.</x:t>
        </x:r>
      </x:text>
    </x:comment>
    <x:comment ref="J106" authorId="0">
      <x:text>
        <x:r>
          <x:t>INPUT AUDIT: nilai ini dapat diedit. Seluruh hasil simulasi mengambil parameter dari sel ini.</x:t>
        </x:r>
      </x:text>
    </x:comment>
    <x:comment ref="K106" authorId="0">
      <x:text>
        <x:r>
          <x:t>INPUT AUDIT: nilai ini dapat diedit. Seluruh hasil simulasi mengambil parameter dari sel ini.</x:t>
        </x:r>
      </x:text>
    </x:comment>
    <x:comment ref="L106" authorId="0">
      <x:text>
        <x:r>
          <x:t>INPUT AUDIT: nilai ini dapat diedit. Seluruh hasil simulasi mengambil parameter dari sel ini.</x:t>
        </x:r>
      </x:text>
    </x:comment>
    <x:comment ref="E107" authorId="0">
      <x:text>
        <x:r>
          <x:t>INPUT AUDIT: nilai ini dapat diedit. Seluruh hasil simulasi mengambil parameter dari sel ini.</x:t>
        </x:r>
      </x:text>
    </x:comment>
    <x:comment ref="F107" authorId="0">
      <x:text>
        <x:r>
          <x:t>INPUT AUDIT: nilai ini dapat diedit. Seluruh hasil simulasi mengambil parameter dari sel ini.</x:t>
        </x:r>
      </x:text>
    </x:comment>
    <x:comment ref="G107" authorId="0">
      <x:text>
        <x:r>
          <x:t>INPUT AUDIT: nilai ini dapat diedit. Seluruh hasil simulasi mengambil parameter dari sel ini.</x:t>
        </x:r>
      </x:text>
    </x:comment>
    <x:comment ref="H107" authorId="0">
      <x:text>
        <x:r>
          <x:t>INPUT AUDIT: nilai ini dapat diedit. Seluruh hasil simulasi mengambil parameter dari sel ini.</x:t>
        </x:r>
      </x:text>
    </x:comment>
    <x:comment ref="I107" authorId="0">
      <x:text>
        <x:r>
          <x:t>INPUT AUDIT: nilai ini dapat diedit. Seluruh hasil simulasi mengambil parameter dari sel ini.</x:t>
        </x:r>
      </x:text>
    </x:comment>
    <x:comment ref="J107" authorId="0">
      <x:text>
        <x:r>
          <x:t>INPUT AUDIT: nilai ini dapat diedit. Seluruh hasil simulasi mengambil parameter dari sel ini.</x:t>
        </x:r>
      </x:text>
    </x:comment>
    <x:comment ref="K107" authorId="0">
      <x:text>
        <x:r>
          <x:t>INPUT AUDIT: nilai ini dapat diedit. Seluruh hasil simulasi mengambil parameter dari sel ini.</x:t>
        </x:r>
      </x:text>
    </x:comment>
    <x:comment ref="L107" authorId="0">
      <x:text>
        <x:r>
          <x:t>INPUT AUDIT: nilai ini dapat diedit. Seluruh hasil simulasi mengambil parameter dari sel ini.</x:t>
        </x:r>
      </x:text>
    </x:comment>
    <x:comment ref="E108" authorId="0">
      <x:text>
        <x:r>
          <x:t>INPUT AUDIT: nilai ini dapat diedit. Seluruh hasil simulasi mengambil parameter dari sel ini.</x:t>
        </x:r>
      </x:text>
    </x:comment>
    <x:comment ref="F108" authorId="0">
      <x:text>
        <x:r>
          <x:t>INPUT AUDIT: nilai ini dapat diedit. Seluruh hasil simulasi mengambil parameter dari sel ini.</x:t>
        </x:r>
      </x:text>
    </x:comment>
    <x:comment ref="G108" authorId="0">
      <x:text>
        <x:r>
          <x:t>INPUT AUDIT: nilai ini dapat diedit. Seluruh hasil simulasi mengambil parameter dari sel ini.</x:t>
        </x:r>
      </x:text>
    </x:comment>
    <x:comment ref="H108" authorId="0">
      <x:text>
        <x:r>
          <x:t>INPUT AUDIT: nilai ini dapat diedit. Seluruh hasil simulasi mengambil parameter dari sel ini.</x:t>
        </x:r>
      </x:text>
    </x:comment>
    <x:comment ref="I108" authorId="0">
      <x:text>
        <x:r>
          <x:t>INPUT AUDIT: nilai ini dapat diedit. Seluruh hasil simulasi mengambil parameter dari sel ini.</x:t>
        </x:r>
      </x:text>
    </x:comment>
    <x:comment ref="J108" authorId="0">
      <x:text>
        <x:r>
          <x:t>INPUT AUDIT: nilai ini dapat diedit. Seluruh hasil simulasi mengambil parameter dari sel ini.</x:t>
        </x:r>
      </x:text>
    </x:comment>
    <x:comment ref="K108" authorId="0">
      <x:text>
        <x:r>
          <x:t>INPUT AUDIT: nilai ini dapat diedit. Seluruh hasil simulasi mengambil parameter dari sel ini.</x:t>
        </x:r>
      </x:text>
    </x:comment>
    <x:comment ref="L108" authorId="0">
      <x:text>
        <x:r>
          <x:t>INPUT AUDIT: nilai ini dapat diedit. Seluruh hasil simulasi mengambil parameter dari sel ini.</x:t>
        </x:r>
      </x:text>
    </x:comment>
    <x:comment ref="E109" authorId="0">
      <x:text>
        <x:r>
          <x:t>INPUT AUDIT: nilai ini dapat diedit. Seluruh hasil simulasi mengambil parameter dari sel ini.</x:t>
        </x:r>
      </x:text>
    </x:comment>
    <x:comment ref="F109" authorId="0">
      <x:text>
        <x:r>
          <x:t>INPUT AUDIT: nilai ini dapat diedit. Seluruh hasil simulasi mengambil parameter dari sel ini.</x:t>
        </x:r>
      </x:text>
    </x:comment>
    <x:comment ref="G109" authorId="0">
      <x:text>
        <x:r>
          <x:t>INPUT AUDIT: nilai ini dapat diedit. Seluruh hasil simulasi mengambil parameter dari sel ini.</x:t>
        </x:r>
      </x:text>
    </x:comment>
    <x:comment ref="H109" authorId="0">
      <x:text>
        <x:r>
          <x:t>INPUT AUDIT: nilai ini dapat diedit. Seluruh hasil simulasi mengambil parameter dari sel ini.</x:t>
        </x:r>
      </x:text>
    </x:comment>
    <x:comment ref="I109" authorId="0">
      <x:text>
        <x:r>
          <x:t>INPUT AUDIT: nilai ini dapat diedit. Seluruh hasil simulasi mengambil parameter dari sel ini.</x:t>
        </x:r>
      </x:text>
    </x:comment>
    <x:comment ref="J109" authorId="0">
      <x:text>
        <x:r>
          <x:t>INPUT AUDIT: nilai ini dapat diedit. Seluruh hasil simulasi mengambil parameter dari sel ini.</x:t>
        </x:r>
      </x:text>
    </x:comment>
    <x:comment ref="K109" authorId="0">
      <x:text>
        <x:r>
          <x:t>INPUT AUDIT: nilai ini dapat diedit. Seluruh hasil simulasi mengambil parameter dari sel ini.</x:t>
        </x:r>
      </x:text>
    </x:comment>
    <x:comment ref="L109" authorId="0">
      <x:text>
        <x:r>
          <x:t>INPUT AUDIT: nilai ini dapat diedit. Seluruh hasil simulasi mengambil parameter dari sel ini.</x:t>
        </x:r>
      </x:text>
    </x:comment>
    <x:comment ref="E110" authorId="0">
      <x:text>
        <x:r>
          <x:t>INPUT AUDIT: nilai ini dapat diedit. Seluruh hasil simulasi mengambil parameter dari sel ini.</x:t>
        </x:r>
      </x:text>
    </x:comment>
    <x:comment ref="F110" authorId="0">
      <x:text>
        <x:r>
          <x:t>INPUT AUDIT: nilai ini dapat diedit. Seluruh hasil simulasi mengambil parameter dari sel ini.</x:t>
        </x:r>
      </x:text>
    </x:comment>
    <x:comment ref="G110" authorId="0">
      <x:text>
        <x:r>
          <x:t>INPUT AUDIT: nilai ini dapat diedit. Seluruh hasil simulasi mengambil parameter dari sel ini.</x:t>
        </x:r>
      </x:text>
    </x:comment>
    <x:comment ref="H110" authorId="0">
      <x:text>
        <x:r>
          <x:t>INPUT AUDIT: nilai ini dapat diedit. Seluruh hasil simulasi mengambil parameter dari sel ini.</x:t>
        </x:r>
      </x:text>
    </x:comment>
    <x:comment ref="I110" authorId="0">
      <x:text>
        <x:r>
          <x:t>INPUT AUDIT: nilai ini dapat diedit. Seluruh hasil simulasi mengambil parameter dari sel ini.</x:t>
        </x:r>
      </x:text>
    </x:comment>
    <x:comment ref="J110" authorId="0">
      <x:text>
        <x:r>
          <x:t>INPUT AUDIT: nilai ini dapat diedit. Seluruh hasil simulasi mengambil parameter dari sel ini.</x:t>
        </x:r>
      </x:text>
    </x:comment>
    <x:comment ref="K110" authorId="0">
      <x:text>
        <x:r>
          <x:t>INPUT AUDIT: nilai ini dapat diedit. Seluruh hasil simulasi mengambil parameter dari sel ini.</x:t>
        </x:r>
      </x:text>
    </x:comment>
    <x:comment ref="L110" authorId="0">
      <x:text>
        <x:r>
          <x:t>INPUT AUDIT: nilai ini dapat diedit. Seluruh hasil simulasi mengambil parameter dari sel ini.</x:t>
        </x:r>
      </x:text>
    </x:comment>
    <x:comment ref="E111" authorId="0">
      <x:text>
        <x:r>
          <x:t>INPUT AUDIT: nilai ini dapat diedit. Seluruh hasil simulasi mengambil parameter dari sel ini.</x:t>
        </x:r>
      </x:text>
    </x:comment>
    <x:comment ref="F111" authorId="0">
      <x:text>
        <x:r>
          <x:t>INPUT AUDIT: nilai ini dapat diedit. Seluruh hasil simulasi mengambil parameter dari sel ini.</x:t>
        </x:r>
      </x:text>
    </x:comment>
    <x:comment ref="G111" authorId="0">
      <x:text>
        <x:r>
          <x:t>INPUT AUDIT: nilai ini dapat diedit. Seluruh hasil simulasi mengambil parameter dari sel ini.</x:t>
        </x:r>
      </x:text>
    </x:comment>
    <x:comment ref="H111" authorId="0">
      <x:text>
        <x:r>
          <x:t>INPUT AUDIT: nilai ini dapat diedit. Seluruh hasil simulasi mengambil parameter dari sel ini.</x:t>
        </x:r>
      </x:text>
    </x:comment>
    <x:comment ref="I111" authorId="0">
      <x:text>
        <x:r>
          <x:t>INPUT AUDIT: nilai ini dapat diedit. Seluruh hasil simulasi mengambil parameter dari sel ini.</x:t>
        </x:r>
      </x:text>
    </x:comment>
    <x:comment ref="J111" authorId="0">
      <x:text>
        <x:r>
          <x:t>INPUT AUDIT: nilai ini dapat diedit. Seluruh hasil simulasi mengambil parameter dari sel ini.</x:t>
        </x:r>
      </x:text>
    </x:comment>
    <x:comment ref="K111" authorId="0">
      <x:text>
        <x:r>
          <x:t>INPUT AUDIT: nilai ini dapat diedit. Seluruh hasil simulasi mengambil parameter dari sel ini.</x:t>
        </x:r>
      </x:text>
    </x:comment>
    <x:comment ref="L111" authorId="0">
      <x:text>
        <x:r>
          <x:t>INPUT AUDIT: nilai ini dapat diedit. Seluruh hasil simulasi mengambil parameter dari sel ini.</x:t>
        </x:r>
      </x:text>
    </x:comment>
    <x:comment ref="E112" authorId="0">
      <x:text>
        <x:r>
          <x:t>INPUT AUDIT: nilai ini dapat diedit. Seluruh hasil simulasi mengambil parameter dari sel ini.</x:t>
        </x:r>
      </x:text>
    </x:comment>
    <x:comment ref="F112" authorId="0">
      <x:text>
        <x:r>
          <x:t>INPUT AUDIT: nilai ini dapat diedit. Seluruh hasil simulasi mengambil parameter dari sel ini.</x:t>
        </x:r>
      </x:text>
    </x:comment>
    <x:comment ref="G112" authorId="0">
      <x:text>
        <x:r>
          <x:t>INPUT AUDIT: nilai ini dapat diedit. Seluruh hasil simulasi mengambil parameter dari sel ini.</x:t>
        </x:r>
      </x:text>
    </x:comment>
    <x:comment ref="H112" authorId="0">
      <x:text>
        <x:r>
          <x:t>INPUT AUDIT: nilai ini dapat diedit. Seluruh hasil simulasi mengambil parameter dari sel ini.</x:t>
        </x:r>
      </x:text>
    </x:comment>
    <x:comment ref="I112" authorId="0">
      <x:text>
        <x:r>
          <x:t>INPUT AUDIT: nilai ini dapat diedit. Seluruh hasil simulasi mengambil parameter dari sel ini.</x:t>
        </x:r>
      </x:text>
    </x:comment>
    <x:comment ref="J112" authorId="0">
      <x:text>
        <x:r>
          <x:t>INPUT AUDIT: nilai ini dapat diedit. Seluruh hasil simulasi mengambil parameter dari sel ini.</x:t>
        </x:r>
      </x:text>
    </x:comment>
    <x:comment ref="K112" authorId="0">
      <x:text>
        <x:r>
          <x:t>INPUT AUDIT: nilai ini dapat diedit. Seluruh hasil simulasi mengambil parameter dari sel ini.</x:t>
        </x:r>
      </x:text>
    </x:comment>
    <x:comment ref="L112" authorId="0">
      <x:text>
        <x:r>
          <x:t>INPUT AUDIT: nilai ini dapat diedit. Seluruh hasil simulasi mengambil parameter dari sel ini.</x:t>
        </x:r>
      </x:text>
    </x:comment>
    <x:comment ref="E113" authorId="0">
      <x:text>
        <x:r>
          <x:t>INPUT AUDIT: nilai ini dapat diedit. Seluruh hasil simulasi mengambil parameter dari sel ini.</x:t>
        </x:r>
      </x:text>
    </x:comment>
    <x:comment ref="F113" authorId="0">
      <x:text>
        <x:r>
          <x:t>INPUT AUDIT: nilai ini dapat diedit. Seluruh hasil simulasi mengambil parameter dari sel ini.</x:t>
        </x:r>
      </x:text>
    </x:comment>
    <x:comment ref="G113" authorId="0">
      <x:text>
        <x:r>
          <x:t>INPUT AUDIT: nilai ini dapat diedit. Seluruh hasil simulasi mengambil parameter dari sel ini.</x:t>
        </x:r>
      </x:text>
    </x:comment>
    <x:comment ref="H113" authorId="0">
      <x:text>
        <x:r>
          <x:t>INPUT AUDIT: nilai ini dapat diedit. Seluruh hasil simulasi mengambil parameter dari sel ini.</x:t>
        </x:r>
      </x:text>
    </x:comment>
    <x:comment ref="I113" authorId="0">
      <x:text>
        <x:r>
          <x:t>INPUT AUDIT: nilai ini dapat diedit. Seluruh hasil simulasi mengambil parameter dari sel ini.</x:t>
        </x:r>
      </x:text>
    </x:comment>
    <x:comment ref="J113" authorId="0">
      <x:text>
        <x:r>
          <x:t>INPUT AUDIT: nilai ini dapat diedit. Seluruh hasil simulasi mengambil parameter dari sel ini.</x:t>
        </x:r>
      </x:text>
    </x:comment>
    <x:comment ref="K113" authorId="0">
      <x:text>
        <x:r>
          <x:t>INPUT AUDIT: nilai ini dapat diedit. Seluruh hasil simulasi mengambil parameter dari sel ini.</x:t>
        </x:r>
      </x:text>
    </x:comment>
    <x:comment ref="L113" authorId="0">
      <x:text>
        <x:r>
          <x:t>INPUT AUDIT: nilai ini dapat diedit. Seluruh hasil simulasi mengambil parameter dari sel ini.</x:t>
        </x:r>
      </x:text>
    </x:comment>
    <x:comment ref="E114" authorId="0">
      <x:text>
        <x:r>
          <x:t>INPUT AUDIT: nilai ini dapat diedit. Seluruh hasil simulasi mengambil parameter dari sel ini.</x:t>
        </x:r>
      </x:text>
    </x:comment>
    <x:comment ref="F114" authorId="0">
      <x:text>
        <x:r>
          <x:t>INPUT AUDIT: nilai ini dapat diedit. Seluruh hasil simulasi mengambil parameter dari sel ini.</x:t>
        </x:r>
      </x:text>
    </x:comment>
    <x:comment ref="G114" authorId="0">
      <x:text>
        <x:r>
          <x:t>INPUT AUDIT: nilai ini dapat diedit. Seluruh hasil simulasi mengambil parameter dari sel ini.</x:t>
        </x:r>
      </x:text>
    </x:comment>
    <x:comment ref="H114" authorId="0">
      <x:text>
        <x:r>
          <x:t>INPUT AUDIT: nilai ini dapat diedit. Seluruh hasil simulasi mengambil parameter dari sel ini.</x:t>
        </x:r>
      </x:text>
    </x:comment>
    <x:comment ref="I114" authorId="0">
      <x:text>
        <x:r>
          <x:t>INPUT AUDIT: nilai ini dapat diedit. Seluruh hasil simulasi mengambil parameter dari sel ini.</x:t>
        </x:r>
      </x:text>
    </x:comment>
    <x:comment ref="J114" authorId="0">
      <x:text>
        <x:r>
          <x:t>INPUT AUDIT: nilai ini dapat diedit. Seluruh hasil simulasi mengambil parameter dari sel ini.</x:t>
        </x:r>
      </x:text>
    </x:comment>
    <x:comment ref="K114" authorId="0">
      <x:text>
        <x:r>
          <x:t>INPUT AUDIT: nilai ini dapat diedit. Seluruh hasil simulasi mengambil parameter dari sel ini.</x:t>
        </x:r>
      </x:text>
    </x:comment>
    <x:comment ref="L114" authorId="0">
      <x:text>
        <x:r>
          <x:t>INPUT AUDIT: nilai ini dapat diedit. Seluruh hasil simulasi mengambil parameter dari sel ini.</x:t>
        </x:r>
      </x:text>
    </x:comment>
    <x:comment ref="E115" authorId="0">
      <x:text>
        <x:r>
          <x:t>INPUT AUDIT: nilai ini dapat diedit. Seluruh hasil simulasi mengambil parameter dari sel ini.</x:t>
        </x:r>
      </x:text>
    </x:comment>
    <x:comment ref="F115" authorId="0">
      <x:text>
        <x:r>
          <x:t>INPUT AUDIT: nilai ini dapat diedit. Seluruh hasil simulasi mengambil parameter dari sel ini.</x:t>
        </x:r>
      </x:text>
    </x:comment>
    <x:comment ref="G115" authorId="0">
      <x:text>
        <x:r>
          <x:t>INPUT AUDIT: nilai ini dapat diedit. Seluruh hasil simulasi mengambil parameter dari sel ini.</x:t>
        </x:r>
      </x:text>
    </x:comment>
    <x:comment ref="H115" authorId="0">
      <x:text>
        <x:r>
          <x:t>INPUT AUDIT: nilai ini dapat diedit. Seluruh hasil simulasi mengambil parameter dari sel ini.</x:t>
        </x:r>
      </x:text>
    </x:comment>
    <x:comment ref="I115" authorId="0">
      <x:text>
        <x:r>
          <x:t>INPUT AUDIT: nilai ini dapat diedit. Seluruh hasil simulasi mengambil parameter dari sel ini.</x:t>
        </x:r>
      </x:text>
    </x:comment>
    <x:comment ref="J115" authorId="0">
      <x:text>
        <x:r>
          <x:t>INPUT AUDIT: nilai ini dapat diedit. Seluruh hasil simulasi mengambil parameter dari sel ini.</x:t>
        </x:r>
      </x:text>
    </x:comment>
    <x:comment ref="K115" authorId="0">
      <x:text>
        <x:r>
          <x:t>INPUT AUDIT: nilai ini dapat diedit. Seluruh hasil simulasi mengambil parameter dari sel ini.</x:t>
        </x:r>
      </x:text>
    </x:comment>
    <x:comment ref="L115" authorId="0">
      <x:text>
        <x:r>
          <x:t>INPUT AUDIT: nilai ini dapat diedit. Seluruh hasil simulasi mengambil parameter dari sel ini.</x:t>
        </x:r>
      </x:text>
    </x:comment>
    <x:comment ref="E116" authorId="0">
      <x:text>
        <x:r>
          <x:t>INPUT AUDIT: nilai ini dapat diedit. Seluruh hasil simulasi mengambil parameter dari sel ini.</x:t>
        </x:r>
      </x:text>
    </x:comment>
    <x:comment ref="F116" authorId="0">
      <x:text>
        <x:r>
          <x:t>INPUT AUDIT: nilai ini dapat diedit. Seluruh hasil simulasi mengambil parameter dari sel ini.</x:t>
        </x:r>
      </x:text>
    </x:comment>
    <x:comment ref="G116" authorId="0">
      <x:text>
        <x:r>
          <x:t>INPUT AUDIT: nilai ini dapat diedit. Seluruh hasil simulasi mengambil parameter dari sel ini.</x:t>
        </x:r>
      </x:text>
    </x:comment>
    <x:comment ref="H116" authorId="0">
      <x:text>
        <x:r>
          <x:t>INPUT AUDIT: nilai ini dapat diedit. Seluruh hasil simulasi mengambil parameter dari sel ini.</x:t>
        </x:r>
      </x:text>
    </x:comment>
    <x:comment ref="I116" authorId="0">
      <x:text>
        <x:r>
          <x:t>INPUT AUDIT: nilai ini dapat diedit. Seluruh hasil simulasi mengambil parameter dari sel ini.</x:t>
        </x:r>
      </x:text>
    </x:comment>
    <x:comment ref="J116" authorId="0">
      <x:text>
        <x:r>
          <x:t>INPUT AUDIT: nilai ini dapat diedit. Seluruh hasil simulasi mengambil parameter dari sel ini.</x:t>
        </x:r>
      </x:text>
    </x:comment>
    <x:comment ref="K116" authorId="0">
      <x:text>
        <x:r>
          <x:t>INPUT AUDIT: nilai ini dapat diedit. Seluruh hasil simulasi mengambil parameter dari sel ini.</x:t>
        </x:r>
      </x:text>
    </x:comment>
    <x:comment ref="L116" authorId="0">
      <x:text>
        <x:r>
          <x:t>INPUT AUDIT: nilai ini dapat diedit. Seluruh hasil simulasi mengambil parameter dari sel ini.</x:t>
        </x:r>
      </x:text>
    </x:comment>
    <x:comment ref="E117" authorId="0">
      <x:text>
        <x:r>
          <x:t>INPUT AUDIT: nilai ini dapat diedit. Seluruh hasil simulasi mengambil parameter dari sel ini.</x:t>
        </x:r>
      </x:text>
    </x:comment>
    <x:comment ref="F117" authorId="0">
      <x:text>
        <x:r>
          <x:t>INPUT AUDIT: nilai ini dapat diedit. Seluruh hasil simulasi mengambil parameter dari sel ini.</x:t>
        </x:r>
      </x:text>
    </x:comment>
    <x:comment ref="G117" authorId="0">
      <x:text>
        <x:r>
          <x:t>INPUT AUDIT: nilai ini dapat diedit. Seluruh hasil simulasi mengambil parameter dari sel ini.</x:t>
        </x:r>
      </x:text>
    </x:comment>
    <x:comment ref="H117" authorId="0">
      <x:text>
        <x:r>
          <x:t>INPUT AUDIT: nilai ini dapat diedit. Seluruh hasil simulasi mengambil parameter dari sel ini.</x:t>
        </x:r>
      </x:text>
    </x:comment>
    <x:comment ref="I117" authorId="0">
      <x:text>
        <x:r>
          <x:t>INPUT AUDIT: nilai ini dapat diedit. Seluruh hasil simulasi mengambil parameter dari sel ini.</x:t>
        </x:r>
      </x:text>
    </x:comment>
    <x:comment ref="J117" authorId="0">
      <x:text>
        <x:r>
          <x:t>INPUT AUDIT: nilai ini dapat diedit. Seluruh hasil simulasi mengambil parameter dari sel ini.</x:t>
        </x:r>
      </x:text>
    </x:comment>
    <x:comment ref="K117" authorId="0">
      <x:text>
        <x:r>
          <x:t>INPUT AUDIT: nilai ini dapat diedit. Seluruh hasil simulasi mengambil parameter dari sel ini.</x:t>
        </x:r>
      </x:text>
    </x:comment>
    <x:comment ref="L117" authorId="0">
      <x:text>
        <x:r>
          <x:t>INPUT AUDIT: nilai ini dapat diedit. Seluruh hasil simulasi mengambil parameter dari sel ini.</x:t>
        </x:r>
      </x:text>
    </x:comment>
    <x:comment ref="E118" authorId="0">
      <x:text>
        <x:r>
          <x:t>INPUT AUDIT: nilai ini dapat diedit. Seluruh hasil simulasi mengambil parameter dari sel ini.</x:t>
        </x:r>
      </x:text>
    </x:comment>
    <x:comment ref="F118" authorId="0">
      <x:text>
        <x:r>
          <x:t>INPUT AUDIT: nilai ini dapat diedit. Seluruh hasil simulasi mengambil parameter dari sel ini.</x:t>
        </x:r>
      </x:text>
    </x:comment>
    <x:comment ref="G118" authorId="0">
      <x:text>
        <x:r>
          <x:t>INPUT AUDIT: nilai ini dapat diedit. Seluruh hasil simulasi mengambil parameter dari sel ini.</x:t>
        </x:r>
      </x:text>
    </x:comment>
    <x:comment ref="H118" authorId="0">
      <x:text>
        <x:r>
          <x:t>INPUT AUDIT: nilai ini dapat diedit. Seluruh hasil simulasi mengambil parameter dari sel ini.</x:t>
        </x:r>
      </x:text>
    </x:comment>
    <x:comment ref="I118" authorId="0">
      <x:text>
        <x:r>
          <x:t>INPUT AUDIT: nilai ini dapat diedit. Seluruh hasil simulasi mengambil parameter dari sel ini.</x:t>
        </x:r>
      </x:text>
    </x:comment>
    <x:comment ref="J118" authorId="0">
      <x:text>
        <x:r>
          <x:t>INPUT AUDIT: nilai ini dapat diedit. Seluruh hasil simulasi mengambil parameter dari sel ini.</x:t>
        </x:r>
      </x:text>
    </x:comment>
    <x:comment ref="K118" authorId="0">
      <x:text>
        <x:r>
          <x:t>INPUT AUDIT: nilai ini dapat diedit. Seluruh hasil simulasi mengambil parameter dari sel ini.</x:t>
        </x:r>
      </x:text>
    </x:comment>
    <x:comment ref="L118" authorId="0">
      <x:text>
        <x:r>
          <x:t>INPUT AUDIT: nilai ini dapat diedit. Seluruh hasil simulasi mengambil parameter dari sel ini.</x:t>
        </x:r>
      </x:text>
    </x:comment>
    <x:comment ref="E119" authorId="0">
      <x:text>
        <x:r>
          <x:t>INPUT AUDIT: nilai ini dapat diedit. Seluruh hasil simulasi mengambil parameter dari sel ini.</x:t>
        </x:r>
      </x:text>
    </x:comment>
    <x:comment ref="F119" authorId="0">
      <x:text>
        <x:r>
          <x:t>INPUT AUDIT: nilai ini dapat diedit. Seluruh hasil simulasi mengambil parameter dari sel ini.</x:t>
        </x:r>
      </x:text>
    </x:comment>
    <x:comment ref="G119" authorId="0">
      <x:text>
        <x:r>
          <x:t>INPUT AUDIT: nilai ini dapat diedit. Seluruh hasil simulasi mengambil parameter dari sel ini.</x:t>
        </x:r>
      </x:text>
    </x:comment>
    <x:comment ref="H119" authorId="0">
      <x:text>
        <x:r>
          <x:t>INPUT AUDIT: nilai ini dapat diedit. Seluruh hasil simulasi mengambil parameter dari sel ini.</x:t>
        </x:r>
      </x:text>
    </x:comment>
    <x:comment ref="I119" authorId="0">
      <x:text>
        <x:r>
          <x:t>INPUT AUDIT: nilai ini dapat diedit. Seluruh hasil simulasi mengambil parameter dari sel ini.</x:t>
        </x:r>
      </x:text>
    </x:comment>
    <x:comment ref="J119" authorId="0">
      <x:text>
        <x:r>
          <x:t>INPUT AUDIT: nilai ini dapat diedit. Seluruh hasil simulasi mengambil parameter dari sel ini.</x:t>
        </x:r>
      </x:text>
    </x:comment>
    <x:comment ref="K119" authorId="0">
      <x:text>
        <x:r>
          <x:t>INPUT AUDIT: nilai ini dapat diedit. Seluruh hasil simulasi mengambil parameter dari sel ini.</x:t>
        </x:r>
      </x:text>
    </x:comment>
    <x:comment ref="L119" authorId="0">
      <x:text>
        <x:r>
          <x:t>INPUT AUDIT: nilai ini dapat diedit. Seluruh hasil simulasi mengambil parameter dari sel ini.</x:t>
        </x:r>
      </x:text>
    </x:comment>
    <x:comment ref="E120" authorId="0">
      <x:text>
        <x:r>
          <x:t>INPUT AUDIT: nilai ini dapat diedit. Seluruh hasil simulasi mengambil parameter dari sel ini.</x:t>
        </x:r>
      </x:text>
    </x:comment>
    <x:comment ref="F120" authorId="0">
      <x:text>
        <x:r>
          <x:t>INPUT AUDIT: nilai ini dapat diedit. Seluruh hasil simulasi mengambil parameter dari sel ini.</x:t>
        </x:r>
      </x:text>
    </x:comment>
    <x:comment ref="G120" authorId="0">
      <x:text>
        <x:r>
          <x:t>INPUT AUDIT: nilai ini dapat diedit. Seluruh hasil simulasi mengambil parameter dari sel ini.</x:t>
        </x:r>
      </x:text>
    </x:comment>
    <x:comment ref="H120" authorId="0">
      <x:text>
        <x:r>
          <x:t>INPUT AUDIT: nilai ini dapat diedit. Seluruh hasil simulasi mengambil parameter dari sel ini.</x:t>
        </x:r>
      </x:text>
    </x:comment>
    <x:comment ref="I120" authorId="0">
      <x:text>
        <x:r>
          <x:t>INPUT AUDIT: nilai ini dapat diedit. Seluruh hasil simulasi mengambil parameter dari sel ini.</x:t>
        </x:r>
      </x:text>
    </x:comment>
    <x:comment ref="J120" authorId="0">
      <x:text>
        <x:r>
          <x:t>INPUT AUDIT: nilai ini dapat diedit. Seluruh hasil simulasi mengambil parameter dari sel ini.</x:t>
        </x:r>
      </x:text>
    </x:comment>
    <x:comment ref="K120" authorId="0">
      <x:text>
        <x:r>
          <x:t>INPUT AUDIT: nilai ini dapat diedit. Seluruh hasil simulasi mengambil parameter dari sel ini.</x:t>
        </x:r>
      </x:text>
    </x:comment>
    <x:comment ref="L120" authorId="0">
      <x:text>
        <x:r>
          <x:t>INPUT AUDIT: nilai ini dapat diedit. Seluruh hasil simulasi mengambil parameter dari sel ini.</x:t>
        </x:r>
      </x:text>
    </x:comment>
    <x:comment ref="E121" authorId="0">
      <x:text>
        <x:r>
          <x:t>INPUT AUDIT: nilai ini dapat diedit. Seluruh hasil simulasi mengambil parameter dari sel ini.</x:t>
        </x:r>
      </x:text>
    </x:comment>
    <x:comment ref="F121" authorId="0">
      <x:text>
        <x:r>
          <x:t>INPUT AUDIT: nilai ini dapat diedit. Seluruh hasil simulasi mengambil parameter dari sel ini.</x:t>
        </x:r>
      </x:text>
    </x:comment>
    <x:comment ref="G121" authorId="0">
      <x:text>
        <x:r>
          <x:t>INPUT AUDIT: nilai ini dapat diedit. Seluruh hasil simulasi mengambil parameter dari sel ini.</x:t>
        </x:r>
      </x:text>
    </x:comment>
    <x:comment ref="H121" authorId="0">
      <x:text>
        <x:r>
          <x:t>INPUT AUDIT: nilai ini dapat diedit. Seluruh hasil simulasi mengambil parameter dari sel ini.</x:t>
        </x:r>
      </x:text>
    </x:comment>
    <x:comment ref="I121" authorId="0">
      <x:text>
        <x:r>
          <x:t>INPUT AUDIT: nilai ini dapat diedit. Seluruh hasil simulasi mengambil parameter dari sel ini.</x:t>
        </x:r>
      </x:text>
    </x:comment>
    <x:comment ref="J121" authorId="0">
      <x:text>
        <x:r>
          <x:t>INPUT AUDIT: nilai ini dapat diedit. Seluruh hasil simulasi mengambil parameter dari sel ini.</x:t>
        </x:r>
      </x:text>
    </x:comment>
    <x:comment ref="K121" authorId="0">
      <x:text>
        <x:r>
          <x:t>INPUT AUDIT: nilai ini dapat diedit. Seluruh hasil simulasi mengambil parameter dari sel ini.</x:t>
        </x:r>
      </x:text>
    </x:comment>
    <x:comment ref="L121" authorId="0">
      <x:text>
        <x:r>
          <x:t>INPUT AUDIT: nilai ini dapat diedit. Seluruh hasil simulasi mengambil parameter dari sel ini.</x:t>
        </x:r>
      </x:text>
    </x:comment>
    <x:comment ref="E122" authorId="0">
      <x:text>
        <x:r>
          <x:t>INPUT AUDIT: nilai ini dapat diedit. Seluruh hasil simulasi mengambil parameter dari sel ini.</x:t>
        </x:r>
      </x:text>
    </x:comment>
    <x:comment ref="F122" authorId="0">
      <x:text>
        <x:r>
          <x:t>INPUT AUDIT: nilai ini dapat diedit. Seluruh hasil simulasi mengambil parameter dari sel ini.</x:t>
        </x:r>
      </x:text>
    </x:comment>
    <x:comment ref="G122" authorId="0">
      <x:text>
        <x:r>
          <x:t>INPUT AUDIT: nilai ini dapat diedit. Seluruh hasil simulasi mengambil parameter dari sel ini.</x:t>
        </x:r>
      </x:text>
    </x:comment>
    <x:comment ref="H122" authorId="0">
      <x:text>
        <x:r>
          <x:t>INPUT AUDIT: nilai ini dapat diedit. Seluruh hasil simulasi mengambil parameter dari sel ini.</x:t>
        </x:r>
      </x:text>
    </x:comment>
    <x:comment ref="I122" authorId="0">
      <x:text>
        <x:r>
          <x:t>INPUT AUDIT: nilai ini dapat diedit. Seluruh hasil simulasi mengambil parameter dari sel ini.</x:t>
        </x:r>
      </x:text>
    </x:comment>
    <x:comment ref="J122" authorId="0">
      <x:text>
        <x:r>
          <x:t>INPUT AUDIT: nilai ini dapat diedit. Seluruh hasil simulasi mengambil parameter dari sel ini.</x:t>
        </x:r>
      </x:text>
    </x:comment>
    <x:comment ref="K122" authorId="0">
      <x:text>
        <x:r>
          <x:t>INPUT AUDIT: nilai ini dapat diedit. Seluruh hasil simulasi mengambil parameter dari sel ini.</x:t>
        </x:r>
      </x:text>
    </x:comment>
    <x:comment ref="L122" authorId="0">
      <x:text>
        <x:r>
          <x:t>INPUT AUDIT: nilai ini dapat diedit. Seluruh hasil simulasi mengambil parameter dari sel ini.</x:t>
        </x:r>
      </x:text>
    </x:comment>
    <x:comment ref="E123" authorId="0">
      <x:text>
        <x:r>
          <x:t>INPUT AUDIT: nilai ini dapat diedit. Seluruh hasil simulasi mengambil parameter dari sel ini.</x:t>
        </x:r>
      </x:text>
    </x:comment>
    <x:comment ref="F123" authorId="0">
      <x:text>
        <x:r>
          <x:t>INPUT AUDIT: nilai ini dapat diedit. Seluruh hasil simulasi mengambil parameter dari sel ini.</x:t>
        </x:r>
      </x:text>
    </x:comment>
    <x:comment ref="G123" authorId="0">
      <x:text>
        <x:r>
          <x:t>INPUT AUDIT: nilai ini dapat diedit. Seluruh hasil simulasi mengambil parameter dari sel ini.</x:t>
        </x:r>
      </x:text>
    </x:comment>
    <x:comment ref="H123" authorId="0">
      <x:text>
        <x:r>
          <x:t>INPUT AUDIT: nilai ini dapat diedit. Seluruh hasil simulasi mengambil parameter dari sel ini.</x:t>
        </x:r>
      </x:text>
    </x:comment>
    <x:comment ref="I123" authorId="0">
      <x:text>
        <x:r>
          <x:t>INPUT AUDIT: nilai ini dapat diedit. Seluruh hasil simulasi mengambil parameter dari sel ini.</x:t>
        </x:r>
      </x:text>
    </x:comment>
    <x:comment ref="J123" authorId="0">
      <x:text>
        <x:r>
          <x:t>INPUT AUDIT: nilai ini dapat diedit. Seluruh hasil simulasi mengambil parameter dari sel ini.</x:t>
        </x:r>
      </x:text>
    </x:comment>
    <x:comment ref="K123" authorId="0">
      <x:text>
        <x:r>
          <x:t>INPUT AUDIT: nilai ini dapat diedit. Seluruh hasil simulasi mengambil parameter dari sel ini.</x:t>
        </x:r>
      </x:text>
    </x:comment>
    <x:comment ref="L123" authorId="0">
      <x:text>
        <x:r>
          <x:t>INPUT AUDIT: nilai ini dapat diedit. Seluruh hasil simulasi mengambil parameter dari sel ini.</x:t>
        </x:r>
      </x:text>
    </x:comment>
    <x:comment ref="E124" authorId="0">
      <x:text>
        <x:r>
          <x:t>INPUT AUDIT: nilai ini dapat diedit. Seluruh hasil simulasi mengambil parameter dari sel ini.</x:t>
        </x:r>
      </x:text>
    </x:comment>
    <x:comment ref="F124" authorId="0">
      <x:text>
        <x:r>
          <x:t>INPUT AUDIT: nilai ini dapat diedit. Seluruh hasil simulasi mengambil parameter dari sel ini.</x:t>
        </x:r>
      </x:text>
    </x:comment>
    <x:comment ref="G124" authorId="0">
      <x:text>
        <x:r>
          <x:t>INPUT AUDIT: nilai ini dapat diedit. Seluruh hasil simulasi mengambil parameter dari sel ini.</x:t>
        </x:r>
      </x:text>
    </x:comment>
    <x:comment ref="H124" authorId="0">
      <x:text>
        <x:r>
          <x:t>INPUT AUDIT: nilai ini dapat diedit. Seluruh hasil simulasi mengambil parameter dari sel ini.</x:t>
        </x:r>
      </x:text>
    </x:comment>
    <x:comment ref="I124" authorId="0">
      <x:text>
        <x:r>
          <x:t>INPUT AUDIT: nilai ini dapat diedit. Seluruh hasil simulasi mengambil parameter dari sel ini.</x:t>
        </x:r>
      </x:text>
    </x:comment>
    <x:comment ref="J124" authorId="0">
      <x:text>
        <x:r>
          <x:t>INPUT AUDIT: nilai ini dapat diedit. Seluruh hasil simulasi mengambil parameter dari sel ini.</x:t>
        </x:r>
      </x:text>
    </x:comment>
    <x:comment ref="K124" authorId="0">
      <x:text>
        <x:r>
          <x:t>INPUT AUDIT: nilai ini dapat diedit. Seluruh hasil simulasi mengambil parameter dari sel ini.</x:t>
        </x:r>
      </x:text>
    </x:comment>
    <x:comment ref="L124" authorId="0">
      <x:text>
        <x:r>
          <x:t>INPUT AUDIT: nilai ini dapat diedit. Seluruh hasil simulasi mengambil parameter dari sel ini.</x:t>
        </x:r>
      </x:text>
    </x:comment>
    <x:comment ref="E125" authorId="0">
      <x:text>
        <x:r>
          <x:t>INPUT AUDIT: nilai ini dapat diedit. Seluruh hasil simulasi mengambil parameter dari sel ini.</x:t>
        </x:r>
      </x:text>
    </x:comment>
    <x:comment ref="F125" authorId="0">
      <x:text>
        <x:r>
          <x:t>INPUT AUDIT: nilai ini dapat diedit. Seluruh hasil simulasi mengambil parameter dari sel ini.</x:t>
        </x:r>
      </x:text>
    </x:comment>
    <x:comment ref="G125" authorId="0">
      <x:text>
        <x:r>
          <x:t>INPUT AUDIT: nilai ini dapat diedit. Seluruh hasil simulasi mengambil parameter dari sel ini.</x:t>
        </x:r>
      </x:text>
    </x:comment>
    <x:comment ref="H125" authorId="0">
      <x:text>
        <x:r>
          <x:t>INPUT AUDIT: nilai ini dapat diedit. Seluruh hasil simulasi mengambil parameter dari sel ini.</x:t>
        </x:r>
      </x:text>
    </x:comment>
    <x:comment ref="I125" authorId="0">
      <x:text>
        <x:r>
          <x:t>INPUT AUDIT: nilai ini dapat diedit. Seluruh hasil simulasi mengambil parameter dari sel ini.</x:t>
        </x:r>
      </x:text>
    </x:comment>
    <x:comment ref="J125" authorId="0">
      <x:text>
        <x:r>
          <x:t>INPUT AUDIT: nilai ini dapat diedit. Seluruh hasil simulasi mengambil parameter dari sel ini.</x:t>
        </x:r>
      </x:text>
    </x:comment>
    <x:comment ref="K125" authorId="0">
      <x:text>
        <x:r>
          <x:t>INPUT AUDIT: nilai ini dapat diedit. Seluruh hasil simulasi mengambil parameter dari sel ini.</x:t>
        </x:r>
      </x:text>
    </x:comment>
    <x:comment ref="L125" authorId="0">
      <x:text>
        <x:r>
          <x:t>INPUT AUDIT: nilai ini dapat diedit. Seluruh hasil simulasi mengambil parameter dari sel ini.</x:t>
        </x:r>
      </x:text>
    </x:comment>
    <x:comment ref="E126" authorId="0">
      <x:text>
        <x:r>
          <x:t>INPUT AUDIT: nilai ini dapat diedit. Seluruh hasil simulasi mengambil parameter dari sel ini.</x:t>
        </x:r>
      </x:text>
    </x:comment>
    <x:comment ref="F126" authorId="0">
      <x:text>
        <x:r>
          <x:t>INPUT AUDIT: nilai ini dapat diedit. Seluruh hasil simulasi mengambil parameter dari sel ini.</x:t>
        </x:r>
      </x:text>
    </x:comment>
    <x:comment ref="G126" authorId="0">
      <x:text>
        <x:r>
          <x:t>INPUT AUDIT: nilai ini dapat diedit. Seluruh hasil simulasi mengambil parameter dari sel ini.</x:t>
        </x:r>
      </x:text>
    </x:comment>
    <x:comment ref="H126" authorId="0">
      <x:text>
        <x:r>
          <x:t>INPUT AUDIT: nilai ini dapat diedit. Seluruh hasil simulasi mengambil parameter dari sel ini.</x:t>
        </x:r>
      </x:text>
    </x:comment>
    <x:comment ref="I126" authorId="0">
      <x:text>
        <x:r>
          <x:t>INPUT AUDIT: nilai ini dapat diedit. Seluruh hasil simulasi mengambil parameter dari sel ini.</x:t>
        </x:r>
      </x:text>
    </x:comment>
    <x:comment ref="J126" authorId="0">
      <x:text>
        <x:r>
          <x:t>INPUT AUDIT: nilai ini dapat diedit. Seluruh hasil simulasi mengambil parameter dari sel ini.</x:t>
        </x:r>
      </x:text>
    </x:comment>
    <x:comment ref="K126" authorId="0">
      <x:text>
        <x:r>
          <x:t>INPUT AUDIT: nilai ini dapat diedit. Seluruh hasil simulasi mengambil parameter dari sel ini.</x:t>
        </x:r>
      </x:text>
    </x:comment>
    <x:comment ref="L126" authorId="0">
      <x:text>
        <x:r>
          <x:t>INPUT AUDIT: nilai ini dapat diedit. Seluruh hasil simulasi mengambil parameter dari sel ini.</x:t>
        </x:r>
      </x:text>
    </x:comment>
    <x:comment ref="E127" authorId="0">
      <x:text>
        <x:r>
          <x:t>INPUT AUDIT: nilai ini dapat diedit. Seluruh hasil simulasi mengambil parameter dari sel ini.</x:t>
        </x:r>
      </x:text>
    </x:comment>
    <x:comment ref="F127" authorId="0">
      <x:text>
        <x:r>
          <x:t>INPUT AUDIT: nilai ini dapat diedit. Seluruh hasil simulasi mengambil parameter dari sel ini.</x:t>
        </x:r>
      </x:text>
    </x:comment>
    <x:comment ref="G127" authorId="0">
      <x:text>
        <x:r>
          <x:t>INPUT AUDIT: nilai ini dapat diedit. Seluruh hasil simulasi mengambil parameter dari sel ini.</x:t>
        </x:r>
      </x:text>
    </x:comment>
    <x:comment ref="H127" authorId="0">
      <x:text>
        <x:r>
          <x:t>INPUT AUDIT: nilai ini dapat diedit. Seluruh hasil simulasi mengambil parameter dari sel ini.</x:t>
        </x:r>
      </x:text>
    </x:comment>
    <x:comment ref="I127" authorId="0">
      <x:text>
        <x:r>
          <x:t>INPUT AUDIT: nilai ini dapat diedit. Seluruh hasil simulasi mengambil parameter dari sel ini.</x:t>
        </x:r>
      </x:text>
    </x:comment>
    <x:comment ref="J127" authorId="0">
      <x:text>
        <x:r>
          <x:t>INPUT AUDIT: nilai ini dapat diedit. Seluruh hasil simulasi mengambil parameter dari sel ini.</x:t>
        </x:r>
      </x:text>
    </x:comment>
    <x:comment ref="K127" authorId="0">
      <x:text>
        <x:r>
          <x:t>INPUT AUDIT: nilai ini dapat diedit. Seluruh hasil simulasi mengambil parameter dari sel ini.</x:t>
        </x:r>
      </x:text>
    </x:comment>
    <x:comment ref="L127" authorId="0">
      <x:text>
        <x:r>
          <x:t>INPUT AUDIT: nilai ini dapat diedit. Seluruh hasil simulasi mengambil parameter dari sel ini.</x:t>
        </x:r>
      </x:text>
    </x:comment>
    <x:comment ref="E128" authorId="0">
      <x:text>
        <x:r>
          <x:t>INPUT AUDIT: nilai ini dapat diedit. Seluruh hasil simulasi mengambil parameter dari sel ini.</x:t>
        </x:r>
      </x:text>
    </x:comment>
    <x:comment ref="F128" authorId="0">
      <x:text>
        <x:r>
          <x:t>INPUT AUDIT: nilai ini dapat diedit. Seluruh hasil simulasi mengambil parameter dari sel ini.</x:t>
        </x:r>
      </x:text>
    </x:comment>
    <x:comment ref="G128" authorId="0">
      <x:text>
        <x:r>
          <x:t>INPUT AUDIT: nilai ini dapat diedit. Seluruh hasil simulasi mengambil parameter dari sel ini.</x:t>
        </x:r>
      </x:text>
    </x:comment>
    <x:comment ref="H128" authorId="0">
      <x:text>
        <x:r>
          <x:t>INPUT AUDIT: nilai ini dapat diedit. Seluruh hasil simulasi mengambil parameter dari sel ini.</x:t>
        </x:r>
      </x:text>
    </x:comment>
    <x:comment ref="I128" authorId="0">
      <x:text>
        <x:r>
          <x:t>INPUT AUDIT: nilai ini dapat diedit. Seluruh hasil simulasi mengambil parameter dari sel ini.</x:t>
        </x:r>
      </x:text>
    </x:comment>
    <x:comment ref="J128" authorId="0">
      <x:text>
        <x:r>
          <x:t>INPUT AUDIT: nilai ini dapat diedit. Seluruh hasil simulasi mengambil parameter dari sel ini.</x:t>
        </x:r>
      </x:text>
    </x:comment>
    <x:comment ref="K128" authorId="0">
      <x:text>
        <x:r>
          <x:t>INPUT AUDIT: nilai ini dapat diedit. Seluruh hasil simulasi mengambil parameter dari sel ini.</x:t>
        </x:r>
      </x:text>
    </x:comment>
    <x:comment ref="L128" authorId="0">
      <x:text>
        <x:r>
          <x:t>INPUT AUDIT: nilai ini dapat diedit. Seluruh hasil simulasi mengambil parameter dari sel ini.</x:t>
        </x:r>
      </x:text>
    </x:comment>
    <x:comment ref="E129" authorId="0">
      <x:text>
        <x:r>
          <x:t>INPUT AUDIT: nilai ini dapat diedit. Seluruh hasil simulasi mengambil parameter dari sel ini.</x:t>
        </x:r>
      </x:text>
    </x:comment>
    <x:comment ref="F129" authorId="0">
      <x:text>
        <x:r>
          <x:t>INPUT AUDIT: nilai ini dapat diedit. Seluruh hasil simulasi mengambil parameter dari sel ini.</x:t>
        </x:r>
      </x:text>
    </x:comment>
    <x:comment ref="G129" authorId="0">
      <x:text>
        <x:r>
          <x:t>INPUT AUDIT: nilai ini dapat diedit. Seluruh hasil simulasi mengambil parameter dari sel ini.</x:t>
        </x:r>
      </x:text>
    </x:comment>
    <x:comment ref="H129" authorId="0">
      <x:text>
        <x:r>
          <x:t>INPUT AUDIT: nilai ini dapat diedit. Seluruh hasil simulasi mengambil parameter dari sel ini.</x:t>
        </x:r>
      </x:text>
    </x:comment>
    <x:comment ref="I129" authorId="0">
      <x:text>
        <x:r>
          <x:t>INPUT AUDIT: nilai ini dapat diedit. Seluruh hasil simulasi mengambil parameter dari sel ini.</x:t>
        </x:r>
      </x:text>
    </x:comment>
    <x:comment ref="J129" authorId="0">
      <x:text>
        <x:r>
          <x:t>INPUT AUDIT: nilai ini dapat diedit. Seluruh hasil simulasi mengambil parameter dari sel ini.</x:t>
        </x:r>
      </x:text>
    </x:comment>
    <x:comment ref="K129" authorId="0">
      <x:text>
        <x:r>
          <x:t>INPUT AUDIT: nilai ini dapat diedit. Seluruh hasil simulasi mengambil parameter dari sel ini.</x:t>
        </x:r>
      </x:text>
    </x:comment>
    <x:comment ref="L129" authorId="0">
      <x:text>
        <x:r>
          <x:t>INPUT AUDIT: nilai ini dapat diedit. Seluruh hasil simulasi mengambil parameter dari sel ini.</x:t>
        </x:r>
      </x:text>
    </x:comment>
    <x:comment ref="E130" authorId="0">
      <x:text>
        <x:r>
          <x:t>INPUT AUDIT: nilai ini dapat diedit. Seluruh hasil simulasi mengambil parameter dari sel ini.</x:t>
        </x:r>
      </x:text>
    </x:comment>
    <x:comment ref="F130" authorId="0">
      <x:text>
        <x:r>
          <x:t>INPUT AUDIT: nilai ini dapat diedit. Seluruh hasil simulasi mengambil parameter dari sel ini.</x:t>
        </x:r>
      </x:text>
    </x:comment>
    <x:comment ref="G130" authorId="0">
      <x:text>
        <x:r>
          <x:t>INPUT AUDIT: nilai ini dapat diedit. Seluruh hasil simulasi mengambil parameter dari sel ini.</x:t>
        </x:r>
      </x:text>
    </x:comment>
    <x:comment ref="H130" authorId="0">
      <x:text>
        <x:r>
          <x:t>INPUT AUDIT: nilai ini dapat diedit. Seluruh hasil simulasi mengambil parameter dari sel ini.</x:t>
        </x:r>
      </x:text>
    </x:comment>
    <x:comment ref="I130" authorId="0">
      <x:text>
        <x:r>
          <x:t>INPUT AUDIT: nilai ini dapat diedit. Seluruh hasil simulasi mengambil parameter dari sel ini.</x:t>
        </x:r>
      </x:text>
    </x:comment>
    <x:comment ref="J130" authorId="0">
      <x:text>
        <x:r>
          <x:t>INPUT AUDIT: nilai ini dapat diedit. Seluruh hasil simulasi mengambil parameter dari sel ini.</x:t>
        </x:r>
      </x:text>
    </x:comment>
    <x:comment ref="K130" authorId="0">
      <x:text>
        <x:r>
          <x:t>INPUT AUDIT: nilai ini dapat diedit. Seluruh hasil simulasi mengambil parameter dari sel ini.</x:t>
        </x:r>
      </x:text>
    </x:comment>
    <x:comment ref="L130" authorId="0">
      <x:text>
        <x:r>
          <x:t>INPUT AUDIT: nilai ini dapat diedit. Seluruh hasil simulasi mengambil parameter dari sel ini.</x:t>
        </x:r>
      </x:text>
    </x:comment>
    <x:comment ref="E131" authorId="0">
      <x:text>
        <x:r>
          <x:t>INPUT AUDIT: nilai ini dapat diedit. Seluruh hasil simulasi mengambil parameter dari sel ini.</x:t>
        </x:r>
      </x:text>
    </x:comment>
    <x:comment ref="F131" authorId="0">
      <x:text>
        <x:r>
          <x:t>INPUT AUDIT: nilai ini dapat diedit. Seluruh hasil simulasi mengambil parameter dari sel ini.</x:t>
        </x:r>
      </x:text>
    </x:comment>
    <x:comment ref="G131" authorId="0">
      <x:text>
        <x:r>
          <x:t>INPUT AUDIT: nilai ini dapat diedit. Seluruh hasil simulasi mengambil parameter dari sel ini.</x:t>
        </x:r>
      </x:text>
    </x:comment>
    <x:comment ref="H131" authorId="0">
      <x:text>
        <x:r>
          <x:t>INPUT AUDIT: nilai ini dapat diedit. Seluruh hasil simulasi mengambil parameter dari sel ini.</x:t>
        </x:r>
      </x:text>
    </x:comment>
    <x:comment ref="I131" authorId="0">
      <x:text>
        <x:r>
          <x:t>INPUT AUDIT: nilai ini dapat diedit. Seluruh hasil simulasi mengambil parameter dari sel ini.</x:t>
        </x:r>
      </x:text>
    </x:comment>
    <x:comment ref="J131" authorId="0">
      <x:text>
        <x:r>
          <x:t>INPUT AUDIT: nilai ini dapat diedit. Seluruh hasil simulasi mengambil parameter dari sel ini.</x:t>
        </x:r>
      </x:text>
    </x:comment>
    <x:comment ref="K131" authorId="0">
      <x:text>
        <x:r>
          <x:t>INPUT AUDIT: nilai ini dapat diedit. Seluruh hasil simulasi mengambil parameter dari sel ini.</x:t>
        </x:r>
      </x:text>
    </x:comment>
    <x:comment ref="L131" authorId="0">
      <x:text>
        <x:r>
          <x:t>INPUT AUDIT: nilai ini dapat diedit. Seluruh hasil simulasi mengambil parameter dari sel ini.</x:t>
        </x:r>
      </x:text>
    </x:comment>
    <x:comment ref="E132" authorId="0">
      <x:text>
        <x:r>
          <x:t>INPUT AUDIT: nilai ini dapat diedit. Seluruh hasil simulasi mengambil parameter dari sel ini.</x:t>
        </x:r>
      </x:text>
    </x:comment>
    <x:comment ref="F132" authorId="0">
      <x:text>
        <x:r>
          <x:t>INPUT AUDIT: nilai ini dapat diedit. Seluruh hasil simulasi mengambil parameter dari sel ini.</x:t>
        </x:r>
      </x:text>
    </x:comment>
    <x:comment ref="G132" authorId="0">
      <x:text>
        <x:r>
          <x:t>INPUT AUDIT: nilai ini dapat diedit. Seluruh hasil simulasi mengambil parameter dari sel ini.</x:t>
        </x:r>
      </x:text>
    </x:comment>
    <x:comment ref="H132" authorId="0">
      <x:text>
        <x:r>
          <x:t>INPUT AUDIT: nilai ini dapat diedit. Seluruh hasil simulasi mengambil parameter dari sel ini.</x:t>
        </x:r>
      </x:text>
    </x:comment>
    <x:comment ref="I132" authorId="0">
      <x:text>
        <x:r>
          <x:t>INPUT AUDIT: nilai ini dapat diedit. Seluruh hasil simulasi mengambil parameter dari sel ini.</x:t>
        </x:r>
      </x:text>
    </x:comment>
    <x:comment ref="J132" authorId="0">
      <x:text>
        <x:r>
          <x:t>INPUT AUDIT: nilai ini dapat diedit. Seluruh hasil simulasi mengambil parameter dari sel ini.</x:t>
        </x:r>
      </x:text>
    </x:comment>
    <x:comment ref="K132" authorId="0">
      <x:text>
        <x:r>
          <x:t>INPUT AUDIT: nilai ini dapat diedit. Seluruh hasil simulasi mengambil parameter dari sel ini.</x:t>
        </x:r>
      </x:text>
    </x:comment>
    <x:comment ref="L132" authorId="0">
      <x:text>
        <x:r>
          <x:t>INPUT AUDIT: nilai ini dapat diedit. Seluruh hasil simulasi mengambil parameter dari sel ini.</x:t>
        </x:r>
      </x:text>
    </x:comment>
    <x:comment ref="E133" authorId="0">
      <x:text>
        <x:r>
          <x:t>INPUT AUDIT: nilai ini dapat diedit. Seluruh hasil simulasi mengambil parameter dari sel ini.</x:t>
        </x:r>
      </x:text>
    </x:comment>
    <x:comment ref="F133" authorId="0">
      <x:text>
        <x:r>
          <x:t>INPUT AUDIT: nilai ini dapat diedit. Seluruh hasil simulasi mengambil parameter dari sel ini.</x:t>
        </x:r>
      </x:text>
    </x:comment>
    <x:comment ref="G133" authorId="0">
      <x:text>
        <x:r>
          <x:t>INPUT AUDIT: nilai ini dapat diedit. Seluruh hasil simulasi mengambil parameter dari sel ini.</x:t>
        </x:r>
      </x:text>
    </x:comment>
    <x:comment ref="H133" authorId="0">
      <x:text>
        <x:r>
          <x:t>INPUT AUDIT: nilai ini dapat diedit. Seluruh hasil simulasi mengambil parameter dari sel ini.</x:t>
        </x:r>
      </x:text>
    </x:comment>
    <x:comment ref="I133" authorId="0">
      <x:text>
        <x:r>
          <x:t>INPUT AUDIT: nilai ini dapat diedit. Seluruh hasil simulasi mengambil parameter dari sel ini.</x:t>
        </x:r>
      </x:text>
    </x:comment>
    <x:comment ref="J133" authorId="0">
      <x:text>
        <x:r>
          <x:t>INPUT AUDIT: nilai ini dapat diedit. Seluruh hasil simulasi mengambil parameter dari sel ini.</x:t>
        </x:r>
      </x:text>
    </x:comment>
    <x:comment ref="K133" authorId="0">
      <x:text>
        <x:r>
          <x:t>INPUT AUDIT: nilai ini dapat diedit. Seluruh hasil simulasi mengambil parameter dari sel ini.</x:t>
        </x:r>
      </x:text>
    </x:comment>
    <x:comment ref="L133" authorId="0">
      <x:text>
        <x:r>
          <x:t>INPUT AUDIT: nilai ini dapat diedit. Seluruh hasil simulasi mengambil parameter dari sel ini.</x:t>
        </x:r>
      </x:text>
    </x:comment>
    <x:comment ref="E134" authorId="0">
      <x:text>
        <x:r>
          <x:t>INPUT AUDIT: nilai ini dapat diedit. Seluruh hasil simulasi mengambil parameter dari sel ini.</x:t>
        </x:r>
      </x:text>
    </x:comment>
    <x:comment ref="F134" authorId="0">
      <x:text>
        <x:r>
          <x:t>INPUT AUDIT: nilai ini dapat diedit. Seluruh hasil simulasi mengambil parameter dari sel ini.</x:t>
        </x:r>
      </x:text>
    </x:comment>
    <x:comment ref="G134" authorId="0">
      <x:text>
        <x:r>
          <x:t>INPUT AUDIT: nilai ini dapat diedit. Seluruh hasil simulasi mengambil parameter dari sel ini.</x:t>
        </x:r>
      </x:text>
    </x:comment>
    <x:comment ref="H134" authorId="0">
      <x:text>
        <x:r>
          <x:t>INPUT AUDIT: nilai ini dapat diedit. Seluruh hasil simulasi mengambil parameter dari sel ini.</x:t>
        </x:r>
      </x:text>
    </x:comment>
    <x:comment ref="I134" authorId="0">
      <x:text>
        <x:r>
          <x:t>INPUT AUDIT: nilai ini dapat diedit. Seluruh hasil simulasi mengambil parameter dari sel ini.</x:t>
        </x:r>
      </x:text>
    </x:comment>
    <x:comment ref="J134" authorId="0">
      <x:text>
        <x:r>
          <x:t>INPUT AUDIT: nilai ini dapat diedit. Seluruh hasil simulasi mengambil parameter dari sel ini.</x:t>
        </x:r>
      </x:text>
    </x:comment>
    <x:comment ref="K134" authorId="0">
      <x:text>
        <x:r>
          <x:t>INPUT AUDIT: nilai ini dapat diedit. Seluruh hasil simulasi mengambil parameter dari sel ini.</x:t>
        </x:r>
      </x:text>
    </x:comment>
    <x:comment ref="L134" authorId="0">
      <x:text>
        <x:r>
          <x:t>INPUT AUDIT: nilai ini dapat diedit. Seluruh hasil simulasi mengambil parameter dari sel ini.</x:t>
        </x:r>
      </x:text>
    </x:comment>
    <x:comment ref="E135" authorId="0">
      <x:text>
        <x:r>
          <x:t>INPUT AUDIT: nilai ini dapat diedit. Seluruh hasil simulasi mengambil parameter dari sel ini.</x:t>
        </x:r>
      </x:text>
    </x:comment>
    <x:comment ref="F135" authorId="0">
      <x:text>
        <x:r>
          <x:t>INPUT AUDIT: nilai ini dapat diedit. Seluruh hasil simulasi mengambil parameter dari sel ini.</x:t>
        </x:r>
      </x:text>
    </x:comment>
    <x:comment ref="G135" authorId="0">
      <x:text>
        <x:r>
          <x:t>INPUT AUDIT: nilai ini dapat diedit. Seluruh hasil simulasi mengambil parameter dari sel ini.</x:t>
        </x:r>
      </x:text>
    </x:comment>
    <x:comment ref="H135" authorId="0">
      <x:text>
        <x:r>
          <x:t>INPUT AUDIT: nilai ini dapat diedit. Seluruh hasil simulasi mengambil parameter dari sel ini.</x:t>
        </x:r>
      </x:text>
    </x:comment>
    <x:comment ref="I135" authorId="0">
      <x:text>
        <x:r>
          <x:t>INPUT AUDIT: nilai ini dapat diedit. Seluruh hasil simulasi mengambil parameter dari sel ini.</x:t>
        </x:r>
      </x:text>
    </x:comment>
    <x:comment ref="J135" authorId="0">
      <x:text>
        <x:r>
          <x:t>INPUT AUDIT: nilai ini dapat diedit. Seluruh hasil simulasi mengambil parameter dari sel ini.</x:t>
        </x:r>
      </x:text>
    </x:comment>
    <x:comment ref="K135" authorId="0">
      <x:text>
        <x:r>
          <x:t>INPUT AUDIT: nilai ini dapat diedit. Seluruh hasil simulasi mengambil parameter dari sel ini.</x:t>
        </x:r>
      </x:text>
    </x:comment>
    <x:comment ref="L135" authorId="0">
      <x:text>
        <x:r>
          <x:t>INPUT AUDIT: nilai ini dapat diedit. Seluruh hasil simulasi mengambil parameter dari sel ini.</x:t>
        </x:r>
      </x:text>
    </x:comment>
    <x:comment ref="E136" authorId="0">
      <x:text>
        <x:r>
          <x:t>INPUT AUDIT: nilai ini dapat diedit. Seluruh hasil simulasi mengambil parameter dari sel ini.</x:t>
        </x:r>
      </x:text>
    </x:comment>
    <x:comment ref="F136" authorId="0">
      <x:text>
        <x:r>
          <x:t>INPUT AUDIT: nilai ini dapat diedit. Seluruh hasil simulasi mengambil parameter dari sel ini.</x:t>
        </x:r>
      </x:text>
    </x:comment>
    <x:comment ref="G136" authorId="0">
      <x:text>
        <x:r>
          <x:t>INPUT AUDIT: nilai ini dapat diedit. Seluruh hasil simulasi mengambil parameter dari sel ini.</x:t>
        </x:r>
      </x:text>
    </x:comment>
    <x:comment ref="H136" authorId="0">
      <x:text>
        <x:r>
          <x:t>INPUT AUDIT: nilai ini dapat diedit. Seluruh hasil simulasi mengambil parameter dari sel ini.</x:t>
        </x:r>
      </x:text>
    </x:comment>
    <x:comment ref="I136" authorId="0">
      <x:text>
        <x:r>
          <x:t>INPUT AUDIT: nilai ini dapat diedit. Seluruh hasil simulasi mengambil parameter dari sel ini.</x:t>
        </x:r>
      </x:text>
    </x:comment>
    <x:comment ref="J136" authorId="0">
      <x:text>
        <x:r>
          <x:t>INPUT AUDIT: nilai ini dapat diedit. Seluruh hasil simulasi mengambil parameter dari sel ini.</x:t>
        </x:r>
      </x:text>
    </x:comment>
    <x:comment ref="K136" authorId="0">
      <x:text>
        <x:r>
          <x:t>INPUT AUDIT: nilai ini dapat diedit. Seluruh hasil simulasi mengambil parameter dari sel ini.</x:t>
        </x:r>
      </x:text>
    </x:comment>
    <x:comment ref="L136" authorId="0">
      <x:text>
        <x:r>
          <x:t>INPUT AUDIT: nilai ini dapat diedit. Seluruh hasil simulasi mengambil parameter dari sel ini.</x:t>
        </x:r>
      </x:text>
    </x:comment>
    <x:comment ref="E137" authorId="0">
      <x:text>
        <x:r>
          <x:t>INPUT AUDIT: nilai ini dapat diedit. Seluruh hasil simulasi mengambil parameter dari sel ini.</x:t>
        </x:r>
      </x:text>
    </x:comment>
    <x:comment ref="F137" authorId="0">
      <x:text>
        <x:r>
          <x:t>INPUT AUDIT: nilai ini dapat diedit. Seluruh hasil simulasi mengambil parameter dari sel ini.</x:t>
        </x:r>
      </x:text>
    </x:comment>
    <x:comment ref="G137" authorId="0">
      <x:text>
        <x:r>
          <x:t>INPUT AUDIT: nilai ini dapat diedit. Seluruh hasil simulasi mengambil parameter dari sel ini.</x:t>
        </x:r>
      </x:text>
    </x:comment>
    <x:comment ref="H137" authorId="0">
      <x:text>
        <x:r>
          <x:t>INPUT AUDIT: nilai ini dapat diedit. Seluruh hasil simulasi mengambil parameter dari sel ini.</x:t>
        </x:r>
      </x:text>
    </x:comment>
    <x:comment ref="I137" authorId="0">
      <x:text>
        <x:r>
          <x:t>INPUT AUDIT: nilai ini dapat diedit. Seluruh hasil simulasi mengambil parameter dari sel ini.</x:t>
        </x:r>
      </x:text>
    </x:comment>
    <x:comment ref="J137" authorId="0">
      <x:text>
        <x:r>
          <x:t>INPUT AUDIT: nilai ini dapat diedit. Seluruh hasil simulasi mengambil parameter dari sel ini.</x:t>
        </x:r>
      </x:text>
    </x:comment>
    <x:comment ref="K137" authorId="0">
      <x:text>
        <x:r>
          <x:t>INPUT AUDIT: nilai ini dapat diedit. Seluruh hasil simulasi mengambil parameter dari sel ini.</x:t>
        </x:r>
      </x:text>
    </x:comment>
    <x:comment ref="L137" authorId="0">
      <x:text>
        <x:r>
          <x:t>INPUT AUDIT: nilai ini dapat diedit. Seluruh hasil simulasi mengambil parameter dari sel ini.</x:t>
        </x:r>
      </x:text>
    </x:comment>
    <x:comment ref="E138" authorId="0">
      <x:text>
        <x:r>
          <x:t>INPUT AUDIT: nilai ini dapat diedit. Seluruh hasil simulasi mengambil parameter dari sel ini.</x:t>
        </x:r>
      </x:text>
    </x:comment>
    <x:comment ref="F138" authorId="0">
      <x:text>
        <x:r>
          <x:t>INPUT AUDIT: nilai ini dapat diedit. Seluruh hasil simulasi mengambil parameter dari sel ini.</x:t>
        </x:r>
      </x:text>
    </x:comment>
    <x:comment ref="G138" authorId="0">
      <x:text>
        <x:r>
          <x:t>INPUT AUDIT: nilai ini dapat diedit. Seluruh hasil simulasi mengambil parameter dari sel ini.</x:t>
        </x:r>
      </x:text>
    </x:comment>
    <x:comment ref="H138" authorId="0">
      <x:text>
        <x:r>
          <x:t>INPUT AUDIT: nilai ini dapat diedit. Seluruh hasil simulasi mengambil parameter dari sel ini.</x:t>
        </x:r>
      </x:text>
    </x:comment>
    <x:comment ref="I138" authorId="0">
      <x:text>
        <x:r>
          <x:t>INPUT AUDIT: nilai ini dapat diedit. Seluruh hasil simulasi mengambil parameter dari sel ini.</x:t>
        </x:r>
      </x:text>
    </x:comment>
    <x:comment ref="J138" authorId="0">
      <x:text>
        <x:r>
          <x:t>INPUT AUDIT: nilai ini dapat diedit. Seluruh hasil simulasi mengambil parameter dari sel ini.</x:t>
        </x:r>
      </x:text>
    </x:comment>
    <x:comment ref="K138" authorId="0">
      <x:text>
        <x:r>
          <x:t>INPUT AUDIT: nilai ini dapat diedit. Seluruh hasil simulasi mengambil parameter dari sel ini.</x:t>
        </x:r>
      </x:text>
    </x:comment>
    <x:comment ref="L138" authorId="0">
      <x:text>
        <x:r>
          <x:t>INPUT AUDIT: nilai ini dapat diedit. Seluruh hasil simulasi mengambil parameter dari sel ini.</x:t>
        </x:r>
      </x:text>
    </x:comment>
    <x:comment ref="E139" authorId="0">
      <x:text>
        <x:r>
          <x:t>INPUT AUDIT: nilai ini dapat diedit. Seluruh hasil simulasi mengambil parameter dari sel ini.</x:t>
        </x:r>
      </x:text>
    </x:comment>
    <x:comment ref="F139" authorId="0">
      <x:text>
        <x:r>
          <x:t>INPUT AUDIT: nilai ini dapat diedit. Seluruh hasil simulasi mengambil parameter dari sel ini.</x:t>
        </x:r>
      </x:text>
    </x:comment>
    <x:comment ref="G139" authorId="0">
      <x:text>
        <x:r>
          <x:t>INPUT AUDIT: nilai ini dapat diedit. Seluruh hasil simulasi mengambil parameter dari sel ini.</x:t>
        </x:r>
      </x:text>
    </x:comment>
    <x:comment ref="H139" authorId="0">
      <x:text>
        <x:r>
          <x:t>INPUT AUDIT: nilai ini dapat diedit. Seluruh hasil simulasi mengambil parameter dari sel ini.</x:t>
        </x:r>
      </x:text>
    </x:comment>
    <x:comment ref="I139" authorId="0">
      <x:text>
        <x:r>
          <x:t>INPUT AUDIT: nilai ini dapat diedit. Seluruh hasil simulasi mengambil parameter dari sel ini.</x:t>
        </x:r>
      </x:text>
    </x:comment>
    <x:comment ref="J139" authorId="0">
      <x:text>
        <x:r>
          <x:t>INPUT AUDIT: nilai ini dapat diedit. Seluruh hasil simulasi mengambil parameter dari sel ini.</x:t>
        </x:r>
      </x:text>
    </x:comment>
    <x:comment ref="K139" authorId="0">
      <x:text>
        <x:r>
          <x:t>INPUT AUDIT: nilai ini dapat diedit. Seluruh hasil simulasi mengambil parameter dari sel ini.</x:t>
        </x:r>
      </x:text>
    </x:comment>
    <x:comment ref="L139" authorId="0">
      <x:text>
        <x:r>
          <x:t>INPUT AUDIT: nilai ini dapat diedit. Seluruh hasil simulasi mengambil parameter dari sel ini.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5" formatCode="&quot;Rp&quot; #,##0"/>
    <x:numFmt numFmtId="166" formatCode="&quot;Rp&quot; #,##0"/>
    <x:numFmt numFmtId="167" formatCode="&quot;Rp&quot; #,##0"/>
    <x:numFmt numFmtId="168" formatCode="&quot;Rp&quot; #,##0"/>
    <x:numFmt numFmtId="169" formatCode="&quot;Rp&quot; #,##0"/>
    <x:numFmt numFmtId="170" formatCode="&quot;Rp&quot; #,##0"/>
    <x:numFmt numFmtId="171" formatCode="&quot;Rp&quot; #,##0"/>
  </x:numFmts>
  <x:fonts count="33">
    <x:font>
      <x:sz val="11"/>
      <x:name val="Calibri"/>
    </x:font>
    <x:font>
      <x:sz val="11"/>
      <x:name val="Calibri"/>
    </x:font>
    <x:font>
      <x:b/>
      <x:sz val="16"/>
      <x:color rgb="FFFFFFFF"/>
      <x:name val="Aptos"/>
    </x:font>
    <x:font>
      <x:b/>
      <x:sz val="10"/>
      <x:color rgb="FFFFFFFF"/>
      <x:name val="Aptos"/>
    </x:font>
    <x:font>
      <x:sz val="10"/>
      <x:color rgb="FF17233B"/>
      <x:name val="Aptos"/>
    </x:font>
    <x:font>
      <x:b/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66758A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b/>
      <x:sz val="10"/>
      <x:color rgb="FFFFFFFF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b/>
      <x:sz val="10"/>
      <x:color rgb="FF17233B"/>
      <x:name val="Aptos"/>
    </x:font>
    <x:font>
      <x:b/>
      <x:sz val="10"/>
      <x:color rgb="FFFFFFFF"/>
      <x:name val="Aptos"/>
    </x:font>
    <x:font>
      <x:b/>
      <x:sz val="10"/>
      <x:color rgb="FFFFFFFF"/>
      <x:name val="Aptos"/>
    </x:font>
    <x:font>
      <x:b/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17233B"/>
      <x:name val="Aptos"/>
    </x:font>
    <x:font>
      <x:sz val="10"/>
      <x:color rgb="FF66758A"/>
      <x:name val="Aptos"/>
    </x:font>
    <x:font>
      <x:sz val="10"/>
      <x:color rgb="FF17233B"/>
      <x:name val="Aptos"/>
    </x:font>
    <x:font>
      <x:b/>
      <x:sz val="10"/>
      <x:color rgb="FF08705A"/>
      <x:name val="Aptos"/>
    </x:font>
  </x:fonts>
  <x:fills count="33">
    <x:fill>
      <x:patternFill patternType="solid"/>
    </x:fill>
    <x:fill>
      <x:patternFill patternType="gray125"/>
    </x:fill>
    <x:fill>
      <x:patternFill patternType="solid">
        <x:fgColor rgb="FF10A7A0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EAF1FF"/>
      </x:patternFill>
    </x:fill>
    <x:fill>
      <x:patternFill patternType="solid">
        <x:fgColor rgb="FFEAF1FF"/>
      </x:patternFill>
    </x:fill>
    <x:fill>
      <x:patternFill patternType="solid">
        <x:fgColor rgb="FFEAF1FF"/>
      </x:patternFill>
    </x:fill>
    <x:fill>
      <x:patternFill patternType="solid">
        <x:fgColor rgb="FFEAF1FF"/>
      </x:patternFill>
    </x:fill>
    <x:fill>
      <x:patternFill patternType="solid">
        <x:fgColor rgb="FFF6F8FB"/>
      </x:patternFill>
    </x:fill>
    <x:fill>
      <x:patternFill patternType="solid">
        <x:fgColor rgb="FFF6F8FB"/>
      </x:patternFill>
    </x:fill>
    <x:fill>
      <x:patternFill patternType="solid">
        <x:fgColor rgb="FFF6F8FB"/>
      </x:patternFill>
    </x:fill>
    <x:fill>
      <x:patternFill patternType="solid">
        <x:fgColor rgb="FFFFF2CC"/>
      </x:patternFill>
    </x:fill>
    <x:fill>
      <x:patternFill patternType="solid">
        <x:fgColor rgb="FFF6F8FB"/>
      </x:patternFill>
    </x:fill>
    <x:fill>
      <x:patternFill patternType="solid">
        <x:fgColor rgb="FFF3EEFF"/>
      </x:patternFill>
    </x:fill>
    <x:fill>
      <x:patternFill patternType="solid">
        <x:fgColor rgb="FFF6F8FB"/>
      </x:patternFill>
    </x:fill>
    <x:fill>
      <x:patternFill patternType="solid">
        <x:fgColor rgb="FF17365D"/>
      </x:patternFill>
    </x:fill>
    <x:fill>
      <x:patternFill patternType="solid">
        <x:fgColor rgb="FFF3EEFF"/>
      </x:patternFill>
    </x:fill>
    <x:fill>
      <x:patternFill patternType="solid">
        <x:fgColor rgb="FFF3EE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6F8FB"/>
      </x:patternFill>
    </x:fill>
    <x:fill>
      <x:patternFill patternType="solid">
        <x:fgColor rgb="FF43B77A"/>
      </x:patternFill>
    </x:fill>
    <x:fill>
      <x:patternFill patternType="solid">
        <x:fgColor rgb="FFB93D4A"/>
      </x:patternFill>
    </x:fill>
    <x:fill>
      <x:patternFill patternType="solid">
        <x:fgColor rgb="FFFFFFFF"/>
      </x:patternFill>
    </x:fill>
    <x:fill>
      <x:patternFill patternType="solid">
        <x:fgColor rgb="FFE8F5EE"/>
      </x:patternFill>
    </x:fill>
    <x:fill>
      <x:patternFill patternType="solid">
        <x:fgColor rgb="FFE8F5EE"/>
      </x:patternFill>
    </x:fill>
    <x:fill>
      <x:patternFill patternType="solid">
        <x:fgColor rgb="FFFDEBED"/>
      </x:patternFill>
    </x:fill>
    <x:fill>
      <x:patternFill patternType="solid">
        <x:fgColor rgb="FFFDEBED"/>
      </x:patternFill>
    </x:fill>
    <x:fill>
      <x:patternFill patternType="solid">
        <x:fgColor rgb="FFF6F8FB"/>
      </x:patternFill>
    </x:fill>
    <x:fill>
      <x:patternFill patternType="solid">
        <x:fgColor rgb="FFF6F8FB"/>
      </x:patternFill>
    </x:fill>
    <x:fill>
      <x:patternFill patternType="solid">
        <x:fgColor rgb="FFF6F8FB"/>
      </x:patternFill>
    </x:fill>
    <x:fill>
      <x:patternFill patternType="solid">
        <x:fgColor rgb="FFE8F5EE"/>
      </x:patternFill>
    </x:fill>
  </x:fills>
  <x:borders count="31">
    <x:border/>
    <x:border/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left style="thin">
        <x:color rgb="FFCAD3DE"/>
      </x:left>
      <x:right style="thin">
        <x:color rgb="FFCAD3DE"/>
      </x:right>
      <x:top style="thin">
        <x:color rgb="FFCAD3DE"/>
      </x:top>
      <x:bottom style="thin">
        <x:color rgb="FFCAD3D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1" borderId="1" xfId="0" applyFont="1" applyFill="1" applyBorder="1"/>
    <x:xf numFmtId="0" fontId="0" fillId="0" borderId="0" xfId="0"/>
    <x:xf numFmtId="0" fontId="2" fillId="2" borderId="0" xfId="0" applyFont="1" applyFill="1" applyAlignment="1">
      <x:alignment horizontal="left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left" vertical="center" wrapText="1"/>
    </x:xf>
    <x:xf numFmtId="0" fontId="5" fillId="5" borderId="4" xfId="0" applyFont="1" applyFill="1" applyBorder="1" applyAlignment="1">
      <x:alignment horizontal="left" vertical="center" wrapText="1"/>
    </x:xf>
    <x:xf numFmtId="0" fontId="6" fillId="6" borderId="5" xfId="0" applyFont="1" applyFill="1" applyBorder="1" applyAlignment="1">
      <x:alignment horizontal="left" vertical="center" wrapText="1"/>
    </x:xf>
    <x:xf numFmtId="3" fontId="7" fillId="7" borderId="6" xfId="0" applyNumberFormat="1" applyFont="1" applyFill="1" applyBorder="1" applyAlignment="1">
      <x:alignment horizontal="left" vertical="center" wrapText="1"/>
    </x:xf>
    <x:xf numFmtId="165" fontId="8" fillId="8" borderId="7" xfId="0" applyNumberFormat="1" applyFont="1" applyFill="1" applyBorder="1" applyAlignment="1">
      <x:alignment horizontal="left" vertical="center" wrapText="1"/>
    </x:xf>
    <x:xf numFmtId="166" fontId="9" fillId="9" borderId="8" xfId="0" applyNumberFormat="1" applyFont="1" applyFill="1" applyBorder="1" applyAlignment="1">
      <x:alignment horizontal="right" vertical="center" wrapText="1"/>
    </x:xf>
    <x:xf numFmtId="3" fontId="10" fillId="10" borderId="9" xfId="0" applyNumberFormat="1" applyFont="1" applyFill="1" applyBorder="1" applyAlignment="1">
      <x:alignment horizontal="left" vertical="center" wrapText="1"/>
    </x:xf>
    <x:xf numFmtId="167" fontId="11" fillId="11" borderId="10" xfId="0" applyNumberFormat="1" applyFont="1" applyFill="1" applyBorder="1" applyAlignment="1">
      <x:alignment horizontal="left" vertical="center" wrapText="1"/>
    </x:xf>
    <x:xf numFmtId="10" fontId="12" fillId="12" borderId="11" xfId="0" applyNumberFormat="1" applyFont="1" applyFill="1" applyBorder="1" applyAlignment="1">
      <x:alignment horizontal="right" vertical="center" wrapText="1"/>
    </x:xf>
    <x:xf numFmtId="0" fontId="13" fillId="13" borderId="0" xfId="0" applyFont="1" applyFill="1" applyAlignment="1">
      <x:alignment horizontal="left" vertical="center" wrapText="1"/>
    </x:xf>
    <x:xf numFmtId="0" fontId="14" fillId="14" borderId="12" xfId="0" applyFont="1" applyFill="1" applyBorder="1" applyAlignment="1">
      <x:alignment horizontal="left" vertical="center" wrapText="1"/>
    </x:xf>
    <x:xf numFmtId="0" fontId="15" fillId="15" borderId="13" xfId="0" applyFont="1" applyFill="1" applyBorder="1" applyAlignment="1">
      <x:alignment horizontal="left" vertical="center" wrapText="1"/>
    </x:xf>
    <x:xf numFmtId="10" fontId="16" fillId="16" borderId="14" xfId="0" applyNumberFormat="1" applyFont="1" applyFill="1" applyBorder="1" applyAlignment="1">
      <x:alignment horizontal="center" vertical="center" wrapText="1"/>
    </x:xf>
    <x:xf numFmtId="3" fontId="17" fillId="17" borderId="15" xfId="0" applyNumberFormat="1" applyFont="1" applyFill="1" applyBorder="1" applyAlignment="1">
      <x:alignment horizontal="left" vertical="center" wrapText="1"/>
    </x:xf>
    <x:xf numFmtId="168" fontId="18" fillId="18" borderId="16" xfId="0" applyNumberFormat="1" applyFont="1" applyFill="1" applyBorder="1" applyAlignment="1">
      <x:alignment horizontal="left" vertical="center" wrapText="1"/>
    </x:xf>
    <x:xf numFmtId="3" fontId="19" fillId="19" borderId="17" xfId="0" applyNumberFormat="1" applyFont="1" applyFill="1" applyBorder="1" applyAlignment="1">
      <x:alignment horizontal="right" vertical="center" wrapText="1"/>
    </x:xf>
    <x:xf numFmtId="169" fontId="20" fillId="20" borderId="18" xfId="0" applyNumberFormat="1" applyFont="1" applyFill="1" applyBorder="1" applyAlignment="1">
      <x:alignment horizontal="right" vertical="center" wrapText="1"/>
    </x:xf>
    <x:xf numFmtId="0" fontId="21" fillId="21" borderId="19" xfId="0" applyFont="1" applyFill="1" applyBorder="1" applyAlignment="1">
      <x:alignment horizontal="left" vertical="center" wrapText="1"/>
    </x:xf>
    <x:xf numFmtId="0" fontId="22" fillId="22" borderId="20" xfId="0" applyFont="1" applyFill="1" applyBorder="1" applyAlignment="1">
      <x:alignment horizontal="center" vertical="center" wrapText="1"/>
    </x:xf>
    <x:xf numFmtId="0" fontId="23" fillId="23" borderId="21" xfId="0" applyFont="1" applyFill="1" applyBorder="1" applyAlignment="1">
      <x:alignment horizontal="center" vertical="center" wrapText="1"/>
    </x:xf>
    <x:xf numFmtId="0" fontId="24" fillId="24" borderId="22" xfId="0" applyFont="1" applyFill="1" applyBorder="1" applyAlignment="1">
      <x:alignment horizontal="left" vertical="center" wrapText="1"/>
    </x:xf>
    <x:xf numFmtId="3" fontId="25" fillId="25" borderId="23" xfId="0" applyNumberFormat="1" applyFont="1" applyFill="1" applyBorder="1" applyAlignment="1">
      <x:alignment horizontal="left" vertical="center" wrapText="1"/>
    </x:xf>
    <x:xf numFmtId="170" fontId="26" fillId="26" borderId="24" xfId="0" applyNumberFormat="1" applyFont="1" applyFill="1" applyBorder="1" applyAlignment="1">
      <x:alignment horizontal="left" vertical="center" wrapText="1"/>
    </x:xf>
    <x:xf numFmtId="3" fontId="27" fillId="27" borderId="25" xfId="0" applyNumberFormat="1" applyFont="1" applyFill="1" applyBorder="1" applyAlignment="1">
      <x:alignment horizontal="left" vertical="center" wrapText="1"/>
    </x:xf>
    <x:xf numFmtId="171" fontId="28" fillId="28" borderId="26" xfId="0" applyNumberFormat="1" applyFont="1" applyFill="1" applyBorder="1" applyAlignment="1">
      <x:alignment horizontal="left" vertical="center" wrapText="1"/>
    </x:xf>
    <x:xf numFmtId="10" fontId="29" fillId="29" borderId="27" xfId="0" applyNumberFormat="1" applyFont="1" applyFill="1" applyBorder="1" applyAlignment="1">
      <x:alignment horizontal="right" vertical="center" wrapText="1"/>
    </x:xf>
    <x:xf numFmtId="0" fontId="30" fillId="30" borderId="28" xfId="0" applyFont="1" applyFill="1" applyBorder="1" applyAlignment="1">
      <x:alignment horizontal="left" vertical="center" wrapText="1"/>
    </x:xf>
    <x:xf numFmtId="10" fontId="31" fillId="31" borderId="29" xfId="0" applyNumberFormat="1" applyFont="1" applyFill="1" applyBorder="1" applyAlignment="1">
      <x:alignment horizontal="left" vertical="center" wrapText="1"/>
    </x:xf>
    <x:xf numFmtId="0" fontId="32" fillId="32" borderId="30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4aff89edf4c03" /><Relationship Type="http://schemas.openxmlformats.org/officeDocument/2006/relationships/theme" Target="/xl/theme/theme1.xml" Id="Re5c3189c1ae64970" /><Relationship Type="http://schemas.openxmlformats.org/officeDocument/2006/relationships/sheetMetadata" Target="/xl/metadata1.xml" Id="Rabbae87f8c5b4019" /><Relationship Type="http://schemas.openxmlformats.org/officeDocument/2006/relationships/sharedStrings" Target="/xl/sharedStrings.xml" Id="Ra95ba8b490a64439" /><Relationship Type="http://schemas.openxmlformats.org/officeDocument/2006/relationships/worksheet" Target="/xl/worksheets/sheet1.xml" Id="R6dfff44488c54fe4" /><Relationship Type="http://schemas.openxmlformats.org/officeDocument/2006/relationships/worksheet" Target="/xl/worksheets/sheet2.xml" Id="R9398c096407a445f" /><Relationship Type="http://schemas.openxmlformats.org/officeDocument/2006/relationships/worksheet" Target="/xl/worksheets/sheet3.xml" Id="R4994899a1569411a" /><Relationship Type="http://schemas.openxmlformats.org/officeDocument/2006/relationships/worksheet" Target="/xl/worksheets/sheet4.xml" Id="R026bd3e9b36f4e67" /><Relationship Type="http://schemas.openxmlformats.org/officeDocument/2006/relationships/worksheet" Target="/xl/worksheets/sheet5.xml" Id="Rb1e85839550e404a" /><Relationship Type="http://schemas.openxmlformats.org/officeDocument/2006/relationships/worksheet" Target="/xl/worksheets/sheet6.xml" Id="R2a199a61ecd34733" /><Relationship Type="http://schemas.openxmlformats.org/officeDocument/2006/relationships/worksheet" Target="/xl/worksheets/sheet7.xml" Id="R6b8d165339ef44bd" /><Relationship Type="http://schemas.openxmlformats.org/officeDocument/2006/relationships/worksheet" Target="/xl/worksheets/sheet8.xml" Id="Rf0e0bb8adb7241eb" /><Relationship Type="http://schemas.openxmlformats.org/officeDocument/2006/relationships/worksheet" Target="/xl/worksheets/sheet9.xml" Id="R924b3e7df2ef4285" /><Relationship Type="http://schemas.openxmlformats.org/officeDocument/2006/relationships/worksheet" Target="/xl/worksheets/sheet10.xml" Id="R365419fa31094bfd" /><Relationship Type="http://schemas.openxmlformats.org/officeDocument/2006/relationships/worksheet" Target="/xl/worksheets/sheet11.xml" Id="R0d43036248ba488b" /><Relationship Type="http://schemas.openxmlformats.org/officeDocument/2006/relationships/worksheet" Target="/xl/worksheets/sheet12.xml" Id="Ra7f2098a954f4122" /><Relationship Type="http://schemas.openxmlformats.org/officeDocument/2006/relationships/worksheet" Target="/xl/worksheets/sheet13.xml" Id="R6e305d28ac714f0a" /><Relationship Type="http://schemas.openxmlformats.org/officeDocument/2006/relationships/worksheet" Target="/xl/worksheets/sheet14.xml" Id="Rbbd1013a1b594b3d" /><Relationship Type="http://schemas.openxmlformats.org/officeDocument/2006/relationships/worksheet" Target="/xl/worksheets/sheet15.xml" Id="R1537db1eb6754bdc" /><Relationship Type="http://schemas.openxmlformats.org/officeDocument/2006/relationships/worksheet" Target="/xl/worksheets/sheet16.xml" Id="R7ac5a7434088434b" /><Relationship Type="http://schemas.openxmlformats.org/officeDocument/2006/relationships/worksheet" Target="/xl/worksheets/sheet17.xml" Id="R41c770c0dfed4c08" /><Relationship Type="http://schemas.openxmlformats.org/officeDocument/2006/relationships/worksheet" Target="/xl/worksheets/sheet18.xml" Id="R644de9f1442d489e" /><Relationship Type="http://schemas.openxmlformats.org/officeDocument/2006/relationships/worksheet" Target="/xl/worksheets/sheet19.xml" Id="R9af576418adb4f66" /><Relationship Type="http://schemas.openxmlformats.org/officeDocument/2006/relationships/worksheet" Target="/xl/worksheets/sheet20.xml" Id="Rc78e8703c07442f0" /><Relationship Type="http://schemas.openxmlformats.org/officeDocument/2006/relationships/worksheet" Target="/xl/worksheets/sheet21.xml" Id="R15f1207444ac49f3" /><Relationship Type="http://schemas.openxmlformats.org/officeDocument/2006/relationships/worksheet" Target="/xl/worksheets/sheet22.xml" Id="Rd9cc76a608a2498f" /><Relationship Type="http://schemas.openxmlformats.org/officeDocument/2006/relationships/worksheet" Target="/xl/worksheets/sheet23.xml" Id="Rc1ff065d255849bd" /><Relationship Type="http://schemas.openxmlformats.org/officeDocument/2006/relationships/worksheet" Target="/xl/worksheets/sheet24.xml" Id="R105d125bfb52454e" /><Relationship Type="http://schemas.openxmlformats.org/officeDocument/2006/relationships/worksheet" Target="/xl/worksheets/sheet25.xml" Id="Rfd900d8ba58c457c" /><Relationship Type="http://schemas.openxmlformats.org/officeDocument/2006/relationships/worksheet" Target="/xl/worksheets/sheet26.xml" Id="Ra12412b95c3f4745" /><Relationship Type="http://schemas.openxmlformats.org/officeDocument/2006/relationships/worksheet" Target="/xl/worksheets/sheet27.xml" Id="Re607ef07b42a457e" /><Relationship Type="http://schemas.openxmlformats.org/officeDocument/2006/relationships/worksheet" Target="/xl/worksheets/sheet28.xml" Id="Rd47742924235486b" /><Relationship Type="http://schemas.openxmlformats.org/officeDocument/2006/relationships/worksheet" Target="/xl/worksheets/sheet29.xml" Id="R8ec408bd168f4103" /><Relationship Type="http://schemas.openxmlformats.org/officeDocument/2006/relationships/worksheet" Target="/xl/worksheets/sheet30.xml" Id="Rda2cb7bd1dba4571" /><Relationship Type="http://schemas.microsoft.com/office/2017/10/relationships/person" Target="/xl/persons/person.xml" Id="Re7850ae63a3a4258" /></Relationships>
</file>

<file path=xl/persons/person.xml><?xml version="1.0" encoding="utf-8"?>
<xltc:personList xmlns:xltc="http://schemas.microsoft.com/office/spreadsheetml/2018/threadedcomments">
  <xltc:person displayName="Kertas Kerja Market Share" id="{12622BD9-91D8-9037-E2C5-D0414BF8111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8dc6daf44f0f4b22" /><Relationship Type="http://schemas.openxmlformats.org/officeDocument/2006/relationships/vmlDrawing" Target="/xl/drawings/vmldrawing.vml" Id="Rd20c07d392794f68" /></Relationships>
</file>

<file path=xl/worksheets/sheet1.xml><?xml version="1.0" encoding="utf-8"?>
<x:worksheet xmlns:x="http://schemas.openxmlformats.org/spreadsheetml/2006/main">
  <x:cols>
    <x:col min="1" max="1" width="28.83203125" customWidth="1"/>
    <x:col min="2" max="2" width="92.83203125" customWidth="1"/>
    <x:col min="3" max="3" width="2.83203125" customWidth="1"/>
    <x:col min="4" max="4" width="2.83203125" customWidth="1"/>
    <x:col min="5" max="5" width="2.83203125" customWidth="1"/>
    <x:col min="6" max="6" width="2.83203125" customWidth="1"/>
    <x:col min="7" max="7" width="2.83203125" customWidth="1"/>
    <x:col min="8" max="8" width="2.83203125" customWidth="1"/>
  </x:cols>
  <x:sheetData>
    <x:row r="1" ht="28" customHeight="1">
      <x:c r="A1" s="3" t="str">
        <x:v>KERTAS KERJA AUDIT MARKET SHARE iDRG - RS Umum Daerah Dr. Moewardi Surakarta</x:v>
      </x:c>
      <x:c r="B1" s="3" t="str"/>
      <x:c r="C1" s="2" t="str"/>
      <x:c r="D1" s="2" t="str"/>
      <x:c r="E1" s="2" t="str"/>
      <x:c r="F1" s="2" t="str"/>
      <x:c r="G1" s="2" t="str"/>
      <x:c r="H1" s="2" t="str"/>
    </x:row>
    <x:row r="2">
      <x:c r="A2" s="2" t="str">
        <x:v>Workbook ini memisahkan sumber, parameter, kalkulasi, dan kontrol rekonsiliasi.</x:v>
      </x:c>
    </x:row>
    <x:row r="3">
      <x:c r="A3" s="4" t="str">
        <x:v>IDENTITAS ANALISIS</x:v>
      </x:c>
      <x:c r="B3" s="4" t="str">
        <x:v>NILAI</x:v>
      </x:c>
    </x:row>
    <x:row r="4">
      <x:c r="A4" s="5" t="str">
        <x:v>Nama RS target</x:v>
      </x:c>
      <x:c r="B4" s="6" t="str">
        <x:v>RS Umum Daerah Dr. Moewardi Surakarta</x:v>
      </x:c>
    </x:row>
    <x:row r="5">
      <x:c r="A5" s="5" t="str">
        <x:v>Kode RS target</x:v>
      </x:c>
      <x:c r="B5" s="6" t="str">
        <x:v>3372015</x:v>
      </x:c>
    </x:row>
    <x:row r="6">
      <x:c r="A6" s="5" t="str">
        <x:v>Kelas RS</x:v>
      </x:c>
      <x:c r="B6" s="6" t="str">
        <x:v>A</x:v>
      </x:c>
    </x:row>
    <x:row r="7">
      <x:c r="A7" s="5" t="str">
        <x:v>Kabupaten/Kota</x:v>
      </x:c>
      <x:c r="B7" s="6" t="str">
        <x:v>KOTA SURAKARTA</x:v>
      </x:c>
    </x:row>
    <x:row r="8">
      <x:c r="A8" s="5" t="str">
        <x:v>Jumlah layanan regional</x:v>
      </x:c>
      <x:c r="B8" s="6">
        <x:v>23</x:v>
      </x:c>
    </x:row>
    <x:row r="9">
      <x:c r="A9" s="5" t="str">
        <x:v>Jumlah RS regional</x:v>
      </x:c>
      <x:c r="B9" s="6">
        <x:v>1722</x:v>
      </x:c>
    </x:row>
    <x:row r="10">
      <x:c r="A10" s="5" t="str">
        <x:v>Tanggal ekspor</x:v>
      </x:c>
      <x:c r="B10" s="6" t="str">
        <x:v>7/8/2026, 14.05.23</x:v>
      </x:c>
    </x:row>
    <x:row r="12">
      <x:c r="A12" s="4" t="str">
        <x:v>ALUR AUDIT</x:v>
      </x:c>
      <x:c r="B12" s="4" t="str">
        <x:v>KETERANGAN</x:v>
      </x:c>
    </x:row>
    <x:row r="13">
      <x:c r="A13" s="5" t="str">
        <x:v>1. 01_Data_RS</x:v>
      </x:c>
      <x:c r="B13" s="5" t="str">
        <x:v>Daftar RS dan total kasus/pendapatan dari dataset aplikasi.</x:v>
      </x:c>
    </x:row>
    <x:row r="14">
      <x:c r="A14" s="5" t="str">
        <x:v>2. 01B_Kompetitor_RS</x:v>
      </x:c>
      <x:c r="B14" s="5" t="str">
        <x:v>Roster kompetitor per layanan dan level kompetensi; nama RS tetap dapat ditelusuri tanpa memperbesar workbook secara berlebihan.</x:v>
      </x:c>
    </x:row>
    <x:row r="15">
      <x:c r="A15" s="5" t="str">
        <x:v>3. 02_Data_Layanan</x:v>
      </x:c>
      <x:c r="B15" s="5" t="str">
        <x:v>Data target dan regional per layanan serta D-M-U-P; external pool dihitung dengan formula.</x:v>
      </x:c>
    </x:row>
    <x:row r="16">
      <x:c r="A16" s="5" t="str">
        <x:v>4. 03_Parameter</x:v>
      </x:c>
      <x:c r="B16" s="5" t="str">
        <x:v>Satu-satunya area input simulasi. Sel kuning dapat diedit.</x:v>
      </x:c>
    </x:row>
    <x:row r="17">
      <x:c r="A17" s="5" t="str">
        <x:v>5. SIM_xx</x:v>
      </x:c>
      <x:c r="B17" s="5" t="str">
        <x:v>Satu layanan per sheet. Semua hasil merupakan formula yang menunjuk sheet sumber/parameter.</x:v>
      </x:c>
    </x:row>
    <x:row r="18">
      <x:c r="A18" s="5" t="str">
        <x:v>6. 04_Rekap_Simulasi</x:v>
      </x:c>
      <x:c r="B18" s="5" t="str">
        <x:v>Rekap seluruh layanan dan enam skenario per layanan.</x:v>
      </x:c>
    </x:row>
    <x:row r="19">
      <x:c r="A19" s="5" t="str">
        <x:v>7. 99_Rekonsiliasi</x:v>
      </x:c>
      <x:c r="B19" s="5" t="str">
        <x:v>Kontrol bahwa angka di sheet simulasi sama dengan sheet sumber.</x:v>
      </x:c>
    </x:row>
    <x:row r="21">
      <x:c r="A21" s="4" t="str">
        <x:v>KONVENSI</x:v>
      </x:c>
      <x:c r="B21" s="4" t="str">
        <x:v>ARTI</x:v>
      </x:c>
    </x:row>
    <x:row r="22">
      <x:c r="A22" s="5" t="str">
        <x:v>Biru muda</x:v>
      </x:c>
      <x:c r="B22" s="5" t="str">
        <x:v>Data sumber hasil ekstraksi aplikasi (tidak untuk diedit).</x:v>
      </x:c>
    </x:row>
    <x:row r="23">
      <x:c r="A23" s="5" t="str">
        <x:v>Kuning</x:v>
      </x:c>
      <x:c r="B23" s="5" t="str">
        <x:v>Parameter yang dapat diedit auditor/pengguna.</x:v>
      </x:c>
    </x:row>
    <x:row r="24">
      <x:c r="A24" s="5" t="str">
        <x:v>Hijau</x:v>
      </x:c>
      <x:c r="B24" s="5" t="str">
        <x:v>Perhitungan tambahan kasus dan pendapatan iDRG.</x:v>
      </x:c>
    </x:row>
    <x:row r="25">
      <x:c r="A25" s="5" t="str">
        <x:v>Merah</x:v>
      </x:c>
      <x:c r="B25" s="5" t="str">
        <x:v>Perhitungan pengurangan kasus dan pendapatan INA-CBG.</x:v>
      </x:c>
    </x:row>
    <x:row r="26">
      <x:c r="A26" s="5" t="str">
        <x:v>Formula</x:v>
      </x:c>
      <x:c r="B26" s="5" t="str">
        <x:v>Klik sel hasil untuk melihat referensi sheet dan sel sumber pada formula bar Excel.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.83203125" customWidth="1"/>
    <x:col min="2" max="2" width="46.83203125" customWidth="1"/>
    <x:col min="3" max="3" width="9.83203125" customWidth="1"/>
    <x:col min="4" max="4" width="24.83203125" customWidth="1"/>
    <x:col min="5" max="5" width="15.83203125" customWidth="1"/>
    <x:col min="6" max="6" width="20.83203125" customWidth="1"/>
    <x:col min="7" max="7" width="20.83203125" customWidth="1"/>
    <x:col min="8" max="8" width="20.83203125" customWidth="1"/>
  </x:cols>
  <x:sheetData>
    <x:row r="1">
      <x:c r="A1" s="4" t="str">
        <x:v>Kode RS</x:v>
      </x:c>
      <x:c r="B1" s="4" t="str">
        <x:v>Nama Rumah Sakit</x:v>
      </x:c>
      <x:c r="C1" s="4" t="str">
        <x:v>Kelas</x:v>
      </x:c>
      <x:c r="D1" s="4" t="str">
        <x:v>Kab/Kota</x:v>
      </x:c>
      <x:c r="E1" s="4" t="str">
        <x:v>Total Kasus</x:v>
      </x:c>
      <x:c r="F1" s="4" t="str">
        <x:v>Total INA-CBG</x:v>
      </x:c>
      <x:c r="G1" s="4" t="str">
        <x:v>Total iDRG</x:v>
      </x:c>
      <x:c r="H1" s="4" t="str">
        <x:v>Selisih iDRG - INA</x:v>
      </x:c>
    </x:row>
    <x:row r="2">
      <x:c r="A2" s="7" t="str">
        <x:v>1301010</x:v>
      </x:c>
      <x:c r="B2" s="7" t="str">
        <x:v>RS Umum Daerah Kep. Mentawai</x:v>
      </x:c>
      <x:c r="C2" s="7" t="str">
        <x:v>D</x:v>
      </x:c>
      <x:c r="D2" s="7" t="str">
        <x:v>KEPULAUAN MENTAWAI</x:v>
      </x:c>
      <x:c r="E2" s="8">
        <x:v>3950</x:v>
      </x:c>
      <x:c r="F2" s="9">
        <x:v>3179362700</x:v>
      </x:c>
      <x:c r="G2" s="9">
        <x:v>4494223067.02</x:v>
      </x:c>
      <x:c r="H2" s="10" t="n">
        <x:f>G2-F2</x:f>
        <x:v>1314860367.0200005</x:v>
      </x:c>
    </x:row>
    <x:row r="3">
      <x:c r="A3" s="7" t="str">
        <x:v>1302011</x:v>
      </x:c>
      <x:c r="B3" s="7" t="str">
        <x:v>RS Umum Daerah Dr. Muhammad Zein Painan</x:v>
      </x:c>
      <x:c r="C3" s="7" t="str">
        <x:v>C</x:v>
      </x:c>
      <x:c r="D3" s="7" t="str">
        <x:v>PESISIR SELATAN</x:v>
      </x:c>
      <x:c r="E3" s="8">
        <x:v>68490</x:v>
      </x:c>
      <x:c r="F3" s="9">
        <x:v>41257355900</x:v>
      </x:c>
      <x:c r="G3" s="9">
        <x:v>52426288562.930046</x:v>
      </x:c>
      <x:c r="H3" s="10" t="n">
        <x:f>G3-F3</x:f>
        <x:v>11168932662.930046</x:v>
      </x:c>
    </x:row>
    <x:row r="4">
      <x:c r="A4" s="7" t="str">
        <x:v>1302012</x:v>
      </x:c>
      <x:c r="B4" s="7" t="str">
        <x:v>RS Umum BKM</x:v>
      </x:c>
      <x:c r="C4" s="7" t="str">
        <x:v>C</x:v>
      </x:c>
      <x:c r="D4" s="7" t="str">
        <x:v>PESISIR SELATAN</x:v>
      </x:c>
      <x:c r="E4" s="8">
        <x:v>18243</x:v>
      </x:c>
      <x:c r="F4" s="9">
        <x:v>27027822300</x:v>
      </x:c>
      <x:c r="G4" s="9">
        <x:v>31559357245.219986</x:v>
      </x:c>
      <x:c r="H4" s="10" t="n">
        <x:f>G4-F4</x:f>
        <x:v>4531534945.219986</x:v>
      </x:c>
    </x:row>
    <x:row r="5">
      <x:c r="A5" s="7" t="str">
        <x:v>1302013</x:v>
      </x:c>
      <x:c r="B5" s="7" t="str">
        <x:v>RS Umum Daerah Tapan</x:v>
      </x:c>
      <x:c r="C5" s="7" t="str">
        <x:v>D</x:v>
      </x:c>
      <x:c r="D5" s="7" t="str">
        <x:v>PESISIR SELATAN</x:v>
      </x:c>
      <x:c r="E5" s="8">
        <x:v>3016</x:v>
      </x:c>
      <x:c r="F5" s="9">
        <x:v>1746339300</x:v>
      </x:c>
      <x:c r="G5" s="9">
        <x:v>2430504390.5200005</x:v>
      </x:c>
      <x:c r="H5" s="10" t="n">
        <x:f>G5-F5</x:f>
        <x:v>684165090.5200005</x:v>
      </x:c>
    </x:row>
    <x:row r="6">
      <x:c r="A6" s="7" t="str">
        <x:v>1302015</x:v>
      </x:c>
      <x:c r="B6" s="7" t="str">
        <x:v>RS Khusus Ibu dan Anak Permata Hati</x:v>
      </x:c>
      <x:c r="C6" s="7" t="str">
        <x:v>C</x:v>
      </x:c>
      <x:c r="D6" s="7" t="str">
        <x:v>PESISIR SELATAN</x:v>
      </x:c>
      <x:c r="E6" s="8">
        <x:v>2318</x:v>
      </x:c>
      <x:c r="F6" s="9">
        <x:v>4645296800</x:v>
      </x:c>
      <x:c r="G6" s="9">
        <x:v>5431208614.18</x:v>
      </x:c>
      <x:c r="H6" s="10" t="n">
        <x:f>G6-F6</x:f>
        <x:v>785911814.1800003</x:v>
      </x:c>
    </x:row>
    <x:row r="7">
      <x:c r="A7" s="7" t="str">
        <x:v>1303012</x:v>
      </x:c>
      <x:c r="B7" s="7" t="str">
        <x:v>RS Umum Daerah Solok Selatan</x:v>
      </x:c>
      <x:c r="C7" s="7" t="str">
        <x:v>C</x:v>
      </x:c>
      <x:c r="D7" s="7" t="str">
        <x:v>SOLOK</x:v>
      </x:c>
      <x:c r="E7" s="8">
        <x:v>41453</x:v>
      </x:c>
      <x:c r="F7" s="9">
        <x:v>31609701700</x:v>
      </x:c>
      <x:c r="G7" s="9">
        <x:v>40751022661.96001</x:v>
      </x:c>
      <x:c r="H7" s="10" t="n">
        <x:f>G7-F7</x:f>
        <x:v>9141320961.960007</x:v>
      </x:c>
    </x:row>
    <x:row r="8">
      <x:c r="A8" s="7" t="str">
        <x:v>1303023</x:v>
      </x:c>
      <x:c r="B8" s="7" t="str">
        <x:v>RS Umum Daerah Arosuka Solok</x:v>
      </x:c>
      <x:c r="C8" s="7" t="str">
        <x:v>C</x:v>
      </x:c>
      <x:c r="D8" s="7" t="str">
        <x:v>SOLOK</x:v>
      </x:c>
      <x:c r="E8" s="8">
        <x:v>26363</x:v>
      </x:c>
      <x:c r="F8" s="9">
        <x:v>12855673400</x:v>
      </x:c>
      <x:c r="G8" s="9">
        <x:v>16490194437.140005</x:v>
      </x:c>
      <x:c r="H8" s="10" t="n">
        <x:f>G8-F8</x:f>
        <x:v>3634521037.140005</x:v>
      </x:c>
    </x:row>
    <x:row r="9">
      <x:c r="A9" s="7" t="str">
        <x:v>1304014</x:v>
      </x:c>
      <x:c r="B9" s="7" t="str">
        <x:v>RS Umum Daerah Ahmad Syafi'I Ma'arif</x:v>
      </x:c>
      <x:c r="C9" s="7" t="str">
        <x:v>C</x:v>
      </x:c>
      <x:c r="D9" s="7" t="str">
        <x:v>SIJUNJUNG</x:v>
      </x:c>
      <x:c r="E9" s="8">
        <x:v>36940</x:v>
      </x:c>
      <x:c r="F9" s="9">
        <x:v>28545375200</x:v>
      </x:c>
      <x:c r="G9" s="9">
        <x:v>35986005263.02001</x:v>
      </x:c>
      <x:c r="H9" s="10" t="n">
        <x:f>G9-F9</x:f>
        <x:v>7440630063.020012</x:v>
      </x:c>
    </x:row>
    <x:row r="10">
      <x:c r="A10" s="7" t="str">
        <x:v>1304017</x:v>
      </x:c>
      <x:c r="B10" s="7" t="str">
        <x:v>RS Khusus Ibu dan Anak Haryanda</x:v>
      </x:c>
      <x:c r="C10" s="7" t="str">
        <x:v>C</x:v>
      </x:c>
      <x:c r="D10" s="7" t="str">
        <x:v>SIJUNJUNG</x:v>
      </x:c>
      <x:c r="E10" s="8">
        <x:v>1925</x:v>
      </x:c>
      <x:c r="F10" s="9">
        <x:v>5181244900</x:v>
      </x:c>
      <x:c r="G10" s="9">
        <x:v>5994223543.31</x:v>
      </x:c>
      <x:c r="H10" s="10" t="n">
        <x:f>G10-F10</x:f>
        <x:v>812978643.3100004</x:v>
      </x:c>
    </x:row>
    <x:row r="11">
      <x:c r="A11" s="7" t="str">
        <x:v>1305014</x:v>
      </x:c>
      <x:c r="B11" s="7" t="str">
        <x:v>RS Umum Daerah Prof. Dr. M.A. Hanafiah</x:v>
      </x:c>
      <x:c r="C11" s="7" t="str">
        <x:v>C</x:v>
      </x:c>
      <x:c r="D11" s="7" t="str">
        <x:v>TANAH DATAR</x:v>
      </x:c>
      <x:c r="E11" s="8">
        <x:v>78348</x:v>
      </x:c>
      <x:c r="F11" s="9">
        <x:v>38647347715</x:v>
      </x:c>
      <x:c r="G11" s="9">
        <x:v>48503025065.350006</x:v>
      </x:c>
      <x:c r="H11" s="10" t="n">
        <x:f>G11-F11</x:f>
        <x:v>9855677350.350006</x:v>
      </x:c>
    </x:row>
    <x:row r="12">
      <x:c r="A12" s="7" t="str">
        <x:v>1305015</x:v>
      </x:c>
      <x:c r="B12" s="7" t="str">
        <x:v>RS Ibu dan Anak Sayang Ibu</x:v>
      </x:c>
      <x:c r="C12" s="7" t="str">
        <x:v>C</x:v>
      </x:c>
      <x:c r="D12" s="7" t="str">
        <x:v>TANAH DATAR</x:v>
      </x:c>
      <x:c r="E12" s="8">
        <x:v>3742</x:v>
      </x:c>
      <x:c r="F12" s="9">
        <x:v>5445430000</x:v>
      </x:c>
      <x:c r="G12" s="9">
        <x:v>6082926300.600003</x:v>
      </x:c>
      <x:c r="H12" s="10" t="n">
        <x:f>G12-F12</x:f>
        <x:v>637496300.6000032</x:v>
      </x:c>
    </x:row>
    <x:row r="13">
      <x:c r="A13" s="7" t="str">
        <x:v>1305016</x:v>
      </x:c>
      <x:c r="B13" s="7" t="str">
        <x:v>RS Ibu dan Anak Fadhila Batusangkar</x:v>
      </x:c>
      <x:c r="C13" s="7" t="str">
        <x:v>C</x:v>
      </x:c>
      <x:c r="D13" s="7" t="str">
        <x:v>TANAH DATAR</x:v>
      </x:c>
      <x:c r="E13" s="8">
        <x:v>5846</x:v>
      </x:c>
      <x:c r="F13" s="9">
        <x:v>7347986100</x:v>
      </x:c>
      <x:c r="G13" s="9">
        <x:v>8474175950.979999</x:v>
      </x:c>
      <x:c r="H13" s="10" t="n">
        <x:f>G13-F13</x:f>
        <x:v>1126189850.9799986</x:v>
      </x:c>
    </x:row>
    <x:row r="14">
      <x:c r="A14" s="7" t="str">
        <x:v>1306015</x:v>
      </x:c>
      <x:c r="B14" s="7" t="str">
        <x:v>RS Umum Daerah Prof H Muhammad Yamin, SH</x:v>
      </x:c>
      <x:c r="C14" s="7" t="str">
        <x:v>B</x:v>
      </x:c>
      <x:c r="D14" s="7" t="str">
        <x:v>PADANG PARIAMAN</x:v>
      </x:c>
      <x:c r="E14" s="8">
        <x:v>28706</x:v>
      </x:c>
      <x:c r="F14" s="9">
        <x:v>41154553600</x:v>
      </x:c>
      <x:c r="G14" s="9">
        <x:v>44609783828.54</x:v>
      </x:c>
      <x:c r="H14" s="10" t="n">
        <x:f>G14-F14</x:f>
        <x:v>3455230228.540001</x:v>
      </x:c>
    </x:row>
    <x:row r="15">
      <x:c r="A15" s="7" t="str">
        <x:v>1306056</x:v>
      </x:c>
      <x:c r="B15" s="7" t="str">
        <x:v>RS Umum Daerah Padang Pariaman</x:v>
      </x:c>
      <x:c r="C15" s="7" t="str">
        <x:v>C</x:v>
      </x:c>
      <x:c r="D15" s="7" t="str">
        <x:v>PADANG PARIAMAN</x:v>
      </x:c>
      <x:c r="E15" s="8">
        <x:v>51056</x:v>
      </x:c>
      <x:c r="F15" s="9">
        <x:v>28624734200</x:v>
      </x:c>
      <x:c r="G15" s="9">
        <x:v>36759620561.34</x:v>
      </x:c>
      <x:c r="H15" s="10" t="n">
        <x:f>G15-F15</x:f>
        <x:v>8134886361.339996</x:v>
      </x:c>
    </x:row>
    <x:row r="16">
      <x:c r="A16" s="7" t="str">
        <x:v>1306057</x:v>
      </x:c>
      <x:c r="B16" s="7" t="str">
        <x:v>RS Paru Sumatera Barat</x:v>
      </x:c>
      <x:c r="C16" s="7" t="str">
        <x:v>B</x:v>
      </x:c>
      <x:c r="D16" s="7" t="str">
        <x:v>PADANG PARIAMAN</x:v>
      </x:c>
      <x:c r="E16" s="8">
        <x:v>4531</x:v>
      </x:c>
      <x:c r="F16" s="9">
        <x:v>3372168800</x:v>
      </x:c>
      <x:c r="G16" s="9">
        <x:v>3788839025.1900005</x:v>
      </x:c>
      <x:c r="H16" s="10" t="n">
        <x:f>G16-F16</x:f>
        <x:v>416670225.19000053</x:v>
      </x:c>
    </x:row>
    <x:row r="17">
      <x:c r="A17" s="7" t="str">
        <x:v>1307017</x:v>
      </x:c>
      <x:c r="B17" s="7" t="str">
        <x:v>RS Ibu dan Anak Rezki Bunda</x:v>
      </x:c>
      <x:c r="C17" s="7" t="str">
        <x:v>C</x:v>
      </x:c>
      <x:c r="D17" s="7" t="str">
        <x:v>AGAM</x:v>
      </x:c>
      <x:c r="E17" s="8">
        <x:v>13268</x:v>
      </x:c>
      <x:c r="F17" s="9">
        <x:v>12786250600</x:v>
      </x:c>
      <x:c r="G17" s="9">
        <x:v>14694529893.549995</x:v>
      </x:c>
      <x:c r="H17" s="10" t="n">
        <x:f>G17-F17</x:f>
        <x:v>1908279293.5499954</x:v>
      </x:c>
    </x:row>
    <x:row r="18">
      <x:c r="A18" s="7" t="str">
        <x:v>1308010</x:v>
      </x:c>
      <x:c r="B18" s="7" t="str">
        <x:v>RS Umum Daerah dr. Achmad Darwis</x:v>
      </x:c>
      <x:c r="C18" s="7" t="str">
        <x:v>C</x:v>
      </x:c>
      <x:c r="D18" s="7" t="str">
        <x:v>LIMA PULUH KOTA</x:v>
      </x:c>
      <x:c r="E18" s="8">
        <x:v>31040</x:v>
      </x:c>
      <x:c r="F18" s="9">
        <x:v>19508521900</x:v>
      </x:c>
      <x:c r="G18" s="9">
        <x:v>25461666086.100006</x:v>
      </x:c>
      <x:c r="H18" s="10" t="n">
        <x:f>G18-F18</x:f>
        <x:v>5953144186.100006</x:v>
      </x:c>
    </x:row>
    <x:row r="19">
      <x:c r="A19" s="7" t="str">
        <x:v>1308016</x:v>
      </x:c>
      <x:c r="B19" s="7" t="str">
        <x:v>RS Umum Daerah Lubuk Basung</x:v>
      </x:c>
      <x:c r="C19" s="7" t="str">
        <x:v>C</x:v>
      </x:c>
      <x:c r="D19" s="7" t="str">
        <x:v>LIMA PULUH KOTA</x:v>
      </x:c>
      <x:c r="E19" s="8">
        <x:v>73060</x:v>
      </x:c>
      <x:c r="F19" s="9">
        <x:v>29374798300</x:v>
      </x:c>
      <x:c r="G19" s="9">
        <x:v>37233896474.30001</x:v>
      </x:c>
      <x:c r="H19" s="10" t="n">
        <x:f>G19-F19</x:f>
        <x:v>7859098174.300011</x:v>
      </x:c>
    </x:row>
    <x:row r="20">
      <x:c r="A20" s="7" t="str">
        <x:v>1309011</x:v>
      </x:c>
      <x:c r="B20" s="7" t="str">
        <x:v>RS Umum Daerah Tuanku Imam Bonjol</x:v>
      </x:c>
      <x:c r="C20" s="7" t="str">
        <x:v>C</x:v>
      </x:c>
      <x:c r="D20" s="7" t="str">
        <x:v>PASAMAN</x:v>
      </x:c>
      <x:c r="E20" s="8">
        <x:v>40398</x:v>
      </x:c>
      <x:c r="F20" s="9">
        <x:v>25637075230</x:v>
      </x:c>
      <x:c r="G20" s="9">
        <x:v>33028977446.38999</x:v>
      </x:c>
      <x:c r="H20" s="10" t="n">
        <x:f>G20-F20</x:f>
        <x:v>7391902216.389992</x:v>
      </x:c>
    </x:row>
    <x:row r="21">
      <x:c r="A21" s="7" t="str">
        <x:v>1309022</x:v>
      </x:c>
      <x:c r="B21" s="7" t="str">
        <x:v>RS Umum Islam Ibnu Sina</x:v>
      </x:c>
      <x:c r="C21" s="7" t="str">
        <x:v>C</x:v>
      </x:c>
      <x:c r="D21" s="7" t="str">
        <x:v>PASAMAN</x:v>
      </x:c>
      <x:c r="E21" s="8">
        <x:v>66935</x:v>
      </x:c>
      <x:c r="F21" s="9">
        <x:v>46026041200</x:v>
      </x:c>
      <x:c r="G21" s="9">
        <x:v>55824095103.259964</x:v>
      </x:c>
      <x:c r="H21" s="10" t="n">
        <x:f>G21-F21</x:f>
        <x:v>9798053903.259964</x:v>
      </x:c>
    </x:row>
    <x:row r="22">
      <x:c r="A22" s="7" t="str">
        <x:v>1309023</x:v>
      </x:c>
      <x:c r="B22" s="7" t="str">
        <x:v>RS Islam Ibnu Sina Panti Yarsi</x:v>
      </x:c>
      <x:c r="C22" s="7" t="str">
        <x:v>D</x:v>
      </x:c>
      <x:c r="D22" s="7" t="str">
        <x:v>PASAMAN</x:v>
      </x:c>
      <x:c r="E22" s="8">
        <x:v>29119</x:v>
      </x:c>
      <x:c r="F22" s="9">
        <x:v>16412414300</x:v>
      </x:c>
      <x:c r="G22" s="9">
        <x:v>21806819043.870007</x:v>
      </x:c>
      <x:c r="H22" s="10" t="n">
        <x:f>G22-F22</x:f>
        <x:v>5394404743.870007</x:v>
      </x:c>
    </x:row>
    <x:row r="23">
      <x:c r="A23" s="7" t="str">
        <x:v>1309024</x:v>
      </x:c>
      <x:c r="B23" s="7" t="str">
        <x:v>RS Umum Daerah Tuanku Rao</x:v>
      </x:c>
      <x:c r="C23" s="7" t="str">
        <x:v>D</x:v>
      </x:c>
      <x:c r="D23" s="7" t="str">
        <x:v>PASAMAN</x:v>
      </x:c>
      <x:c r="E23" s="8">
        <x:v>6816</x:v>
      </x:c>
      <x:c r="F23" s="9">
        <x:v>3966448300</x:v>
      </x:c>
      <x:c r="G23" s="9">
        <x:v>6278977585.2300005</x:v>
      </x:c>
      <x:c r="H23" s="10" t="n">
        <x:f>G23-F23</x:f>
        <x:v>2312529285.2300005</x:v>
      </x:c>
    </x:row>
    <x:row r="24">
      <x:c r="A24" s="7" t="str">
        <x:v>1310011</x:v>
      </x:c>
      <x:c r="B24" s="7" t="str">
        <x:v>RS Umum Daerah Batang Sangir</x:v>
      </x:c>
      <x:c r="C24" s="7" t="str">
        <x:v>D</x:v>
      </x:c>
      <x:c r="D24" s="7" t="str">
        <x:v>SOLOK SELATAN</x:v>
      </x:c>
      <x:c r="E24" s="8">
        <x:v>6441</x:v>
      </x:c>
      <x:c r="F24" s="9">
        <x:v>2754140800</x:v>
      </x:c>
      <x:c r="G24" s="9">
        <x:v>3727941321.83</x:v>
      </x:c>
      <x:c r="H24" s="10" t="n">
        <x:f>G24-F24</x:f>
        <x:v>973800521.8299999</x:v>
      </x:c>
    </x:row>
    <x:row r="25">
      <x:c r="A25" s="7" t="str">
        <x:v>1311002</x:v>
      </x:c>
      <x:c r="B25" s="7" t="str">
        <x:v>RS Umum Daerah Sungai Rumbai</x:v>
      </x:c>
      <x:c r="C25" s="7" t="str">
        <x:v>D</x:v>
      </x:c>
      <x:c r="D25" s="7" t="str">
        <x:v>DHARMASRAYA</x:v>
      </x:c>
      <x:c r="E25" s="8">
        <x:v>6781</x:v>
      </x:c>
      <x:c r="F25" s="9">
        <x:v>3568828500</x:v>
      </x:c>
      <x:c r="G25" s="9">
        <x:v>4965104111.4400015</x:v>
      </x:c>
      <x:c r="H25" s="10" t="n">
        <x:f>G25-F25</x:f>
        <x:v>1396275611.4400015</x:v>
      </x:c>
    </x:row>
    <x:row r="26">
      <x:c r="A26" s="7" t="str">
        <x:v>1311013</x:v>
      </x:c>
      <x:c r="B26" s="7" t="str">
        <x:v>RS Umum Daerah Sungai Dareh</x:v>
      </x:c>
      <x:c r="C26" s="7" t="str">
        <x:v>C</x:v>
      </x:c>
      <x:c r="D26" s="7" t="str">
        <x:v>DHARMASRAYA</x:v>
      </x:c>
      <x:c r="E26" s="8">
        <x:v>41427</x:v>
      </x:c>
      <x:c r="F26" s="9">
        <x:v>40075432500</x:v>
      </x:c>
      <x:c r="G26" s="9">
        <x:v>51466583111.04003</x:v>
      </x:c>
      <x:c r="H26" s="10" t="n">
        <x:f>G26-F26</x:f>
        <x:v>11391150611.040031</x:v>
      </x:c>
    </x:row>
    <x:row r="27">
      <x:c r="A27" s="7" t="str">
        <x:v>1312024</x:v>
      </x:c>
      <x:c r="B27" s="7" t="str">
        <x:v>RS Umum Daerah Pasaman Barat</x:v>
      </x:c>
      <x:c r="C27" s="7" t="str">
        <x:v>C</x:v>
      </x:c>
      <x:c r="D27" s="7" t="str">
        <x:v>PASAMAN BARAT</x:v>
      </x:c>
      <x:c r="E27" s="8">
        <x:v>24730</x:v>
      </x:c>
      <x:c r="F27" s="9">
        <x:v>18316378500</x:v>
      </x:c>
      <x:c r="G27" s="9">
        <x:v>24286092012.86001</x:v>
      </x:c>
      <x:c r="H27" s="10" t="n">
        <x:f>G27-F27</x:f>
        <x:v>5969713512.860008</x:v>
      </x:c>
    </x:row>
    <x:row r="28">
      <x:c r="A28" s="7" t="str">
        <x:v>1312025</x:v>
      </x:c>
      <x:c r="B28" s="7" t="str">
        <x:v>RS Ibu dan Anak AL-Ihsan</x:v>
      </x:c>
      <x:c r="C28" s="7" t="str">
        <x:v>C</x:v>
      </x:c>
      <x:c r="D28" s="7" t="str">
        <x:v>PASAMAN BARAT</x:v>
      </x:c>
      <x:c r="E28" s="8">
        <x:v>3191</x:v>
      </x:c>
      <x:c r="F28" s="9">
        <x:v>7539443300</x:v>
      </x:c>
      <x:c r="G28" s="9">
        <x:v>8689902975.929998</x:v>
      </x:c>
      <x:c r="H28" s="10" t="n">
        <x:f>G28-F28</x:f>
        <x:v>1150459675.9299984</x:v>
      </x:c>
    </x:row>
    <x:row r="29">
      <x:c r="A29" s="7" t="str">
        <x:v>1371010</x:v>
      </x:c>
      <x:c r="B29" s="7" t="str">
        <x:v>RSUP Dr. M. Djamil</x:v>
      </x:c>
      <x:c r="C29" s="7" t="str">
        <x:v>A</x:v>
      </x:c>
      <x:c r="D29" s="7" t="str">
        <x:v>KOTA PADANG</x:v>
      </x:c>
      <x:c r="E29" s="8">
        <x:v>220972</x:v>
      </x:c>
      <x:c r="F29" s="9">
        <x:v>574156178325</x:v>
      </x:c>
      <x:c r="G29" s="9">
        <x:v>465202588562.3999</x:v>
      </x:c>
      <x:c r="H29" s="10" t="n">
        <x:f>G29-F29</x:f>
        <x:v>-108953589762.6001</x:v>
      </x:c>
    </x:row>
    <x:row r="30">
      <x:c r="A30" s="7" t="str">
        <x:v>1371021</x:v>
      </x:c>
      <x:c r="B30" s="7" t="str">
        <x:v>RS Tk. III Reksodiwiryo Padang</x:v>
      </x:c>
      <x:c r="C30" s="7" t="str">
        <x:v>C</x:v>
      </x:c>
      <x:c r="D30" s="7" t="str">
        <x:v>KOTA PADANG</x:v>
      </x:c>
      <x:c r="E30" s="8">
        <x:v>59550</x:v>
      </x:c>
      <x:c r="F30" s="9">
        <x:v>37722440130</x:v>
      </x:c>
      <x:c r="G30" s="9">
        <x:v>47104516308.45001</x:v>
      </x:c>
      <x:c r="H30" s="10" t="n">
        <x:f>G30-F30</x:f>
        <x:v>9382076178.450012</x:v>
      </x:c>
    </x:row>
    <x:row r="31">
      <x:c r="A31" s="7" t="str">
        <x:v>1371032</x:v>
      </x:c>
      <x:c r="B31" s="7" t="str">
        <x:v>RS Umum Yos Sudarso</x:v>
      </x:c>
      <x:c r="C31" s="7" t="str">
        <x:v>C</x:v>
      </x:c>
      <x:c r="D31" s="7" t="str">
        <x:v>KOTA PADANG</x:v>
      </x:c>
      <x:c r="E31" s="8">
        <x:v>95742</x:v>
      </x:c>
      <x:c r="F31" s="9">
        <x:v>55101367100</x:v>
      </x:c>
      <x:c r="G31" s="9">
        <x:v>68119995746.80997</x:v>
      </x:c>
      <x:c r="H31" s="10" t="n">
        <x:f>G31-F31</x:f>
        <x:v>13018628646.809967</x:v>
      </x:c>
    </x:row>
    <x:row r="32">
      <x:c r="A32" s="7" t="str">
        <x:v>1371091</x:v>
      </x:c>
      <x:c r="B32" s="7" t="str">
        <x:v>RS Umum Islam Ibnu Sina</x:v>
      </x:c>
      <x:c r="C32" s="7" t="str">
        <x:v>C</x:v>
      </x:c>
      <x:c r="D32" s="7" t="str">
        <x:v>KOTA PADANG</x:v>
      </x:c>
      <x:c r="E32" s="8">
        <x:v>102494</x:v>
      </x:c>
      <x:c r="F32" s="9">
        <x:v>42905609200</x:v>
      </x:c>
      <x:c r="G32" s="9">
        <x:v>51307232516.32001</x:v>
      </x:c>
      <x:c r="H32" s="10" t="n">
        <x:f>G32-F32</x:f>
        <x:v>8401623316.320007</x:v>
      </x:c>
    </x:row>
    <x:row r="33">
      <x:c r="A33" s="7" t="str">
        <x:v>1371112</x:v>
      </x:c>
      <x:c r="B33" s="7" t="str">
        <x:v>RS Umum Aisyiyah Padang</x:v>
      </x:c>
      <x:c r="C33" s="7" t="str">
        <x:v>C</x:v>
      </x:c>
      <x:c r="D33" s="7" t="str">
        <x:v>KOTA PADANG</x:v>
      </x:c>
      <x:c r="E33" s="8">
        <x:v>11565</x:v>
      </x:c>
      <x:c r="F33" s="9">
        <x:v>7788402000</x:v>
      </x:c>
      <x:c r="G33" s="9">
        <x:v>9460170078.42</x:v>
      </x:c>
      <x:c r="H33" s="10" t="n">
        <x:f>G33-F33</x:f>
        <x:v>1671768078.42</x:v>
      </x:c>
    </x:row>
    <x:row r="34">
      <x:c r="A34" s="7" t="str">
        <x:v>1371123</x:v>
      </x:c>
      <x:c r="B34" s="7" t="str">
        <x:v>RS Bhayangkara Padang</x:v>
      </x:c>
      <x:c r="C34" s="7" t="str">
        <x:v>C</x:v>
      </x:c>
      <x:c r="D34" s="7" t="str">
        <x:v>KOTA PADANG</x:v>
      </x:c>
      <x:c r="E34" s="8">
        <x:v>10627</x:v>
      </x:c>
      <x:c r="F34" s="9">
        <x:v>8942684700</x:v>
      </x:c>
      <x:c r="G34" s="9">
        <x:v>11864439924.419996</x:v>
      </x:c>
      <x:c r="H34" s="10" t="n">
        <x:f>G34-F34</x:f>
        <x:v>2921755224.4199963</x:v>
      </x:c>
    </x:row>
    <x:row r="35">
      <x:c r="A35" s="7" t="str">
        <x:v>1371251</x:v>
      </x:c>
      <x:c r="B35" s="7" t="str">
        <x:v>RS Jiwa dr. Yaunin</x:v>
      </x:c>
      <x:c r="C35" s="7" t="str">
        <x:v>C</x:v>
      </x:c>
      <x:c r="D35" s="7" t="str">
        <x:v>KOTA PADANG</x:v>
      </x:c>
      <x:c r="E35" s="8">
        <x:v>3644</x:v>
      </x:c>
      <x:c r="F35" s="9">
        <x:v>1880070900</x:v>
      </x:c>
      <x:c r="G35" s="9">
        <x:v>2885307190.7899995</x:v>
      </x:c>
      <x:c r="H35" s="10" t="n">
        <x:f>G35-F35</x:f>
        <x:v>1005236290.7899995</x:v>
      </x:c>
    </x:row>
    <x:row r="36">
      <x:c r="A36" s="7" t="str">
        <x:v>1371305</x:v>
      </x:c>
      <x:c r="B36" s="7" t="str">
        <x:v>RS Umum Semen Padang Hospital</x:v>
      </x:c>
      <x:c r="C36" s="7" t="str">
        <x:v>C</x:v>
      </x:c>
      <x:c r="D36" s="7" t="str">
        <x:v>KOTA PADANG</x:v>
      </x:c>
      <x:c r="E36" s="8">
        <x:v>109739</x:v>
      </x:c>
      <x:c r="F36" s="9">
        <x:v>56891761000</x:v>
      </x:c>
      <x:c r="G36" s="9">
        <x:v>67695617637.46002</x:v>
      </x:c>
      <x:c r="H36" s="10" t="n">
        <x:f>G36-F36</x:f>
        <x:v>10803856637.460022</x:v>
      </x:c>
    </x:row>
    <x:row r="37">
      <x:c r="A37" s="7" t="str">
        <x:v>1371316</x:v>
      </x:c>
      <x:c r="B37" s="7" t="str">
        <x:v>RS Jiwa Prof. Dr. Hasan Basri Saanin Datuk Tan Par</x:v>
      </x:c>
      <x:c r="C37" s="7" t="str">
        <x:v>A</x:v>
      </x:c>
      <x:c r="D37" s="7" t="str">
        <x:v>KOTA PADANG</x:v>
      </x:c>
      <x:c r="E37" s="8">
        <x:v>11256</x:v>
      </x:c>
      <x:c r="F37" s="9">
        <x:v>12422593400</x:v>
      </x:c>
      <x:c r="G37" s="9">
        <x:v>13475111354.170002</x:v>
      </x:c>
      <x:c r="H37" s="10" t="n">
        <x:f>G37-F37</x:f>
        <x:v>1052517954.170002</x:v>
      </x:c>
    </x:row>
    <x:row r="38">
      <x:c r="A38" s="7" t="str">
        <x:v>1371400</x:v>
      </x:c>
      <x:c r="B38" s="7" t="str">
        <x:v>RS Ibu dan Anak Lenggogeni</x:v>
      </x:c>
      <x:c r="C38" s="7" t="str">
        <x:v>C</x:v>
      </x:c>
      <x:c r="D38" s="7" t="str">
        <x:v>KOTA PADANG</x:v>
      </x:c>
      <x:c r="E38" s="8">
        <x:v>111</x:v>
      </x:c>
      <x:c r="F38" s="9">
        <x:v>244664100</x:v>
      </x:c>
      <x:c r="G38" s="9">
        <x:v>276449436.8300001</x:v>
      </x:c>
      <x:c r="H38" s="10" t="n">
        <x:f>G38-F38</x:f>
        <x:v>31785336.830000103</x:v>
      </x:c>
    </x:row>
    <x:row r="39">
      <x:c r="A39" s="7" t="str">
        <x:v>1371422</x:v>
      </x:c>
      <x:c r="B39" s="7" t="str">
        <x:v>RS Khusus Bedah Ropanasuri</x:v>
      </x:c>
      <x:c r="C39" s="7" t="str">
        <x:v>C</x:v>
      </x:c>
      <x:c r="D39" s="7" t="str">
        <x:v>KOTA PADANG</x:v>
      </x:c>
      <x:c r="E39" s="8">
        <x:v>17238</x:v>
      </x:c>
      <x:c r="F39" s="9">
        <x:v>12805518100</x:v>
      </x:c>
      <x:c r="G39" s="9">
        <x:v>15881925705.950008</x:v>
      </x:c>
      <x:c r="H39" s="10" t="n">
        <x:f>G39-F39</x:f>
        <x:v>3076407605.9500084</x:v>
      </x:c>
    </x:row>
    <x:row r="40">
      <x:c r="A40" s="7" t="str">
        <x:v>1371444</x:v>
      </x:c>
      <x:c r="B40" s="7" t="str">
        <x:v>RS Umum Daerah dr. Rasidin Padang</x:v>
      </x:c>
      <x:c r="C40" s="7" t="str">
        <x:v>C</x:v>
      </x:c>
      <x:c r="D40" s="7" t="str">
        <x:v>KOTA PADANG</x:v>
      </x:c>
      <x:c r="E40" s="8">
        <x:v>47519</x:v>
      </x:c>
      <x:c r="F40" s="9">
        <x:v>25575402000</x:v>
      </x:c>
      <x:c r="G40" s="9">
        <x:v>33257393825.149998</x:v>
      </x:c>
      <x:c r="H40" s="10" t="n">
        <x:f>G40-F40</x:f>
        <x:v>7681991825.149998</x:v>
      </x:c>
    </x:row>
    <x:row r="41">
      <x:c r="A41" s="7" t="str">
        <x:v>1371446</x:v>
      </x:c>
      <x:c r="B41" s="7" t="str">
        <x:v>RS Umum Bunda Padang</x:v>
      </x:c>
      <x:c r="C41" s="7" t="str">
        <x:v>C</x:v>
      </x:c>
      <x:c r="D41" s="7" t="str">
        <x:v>KOTA PADANG</x:v>
      </x:c>
      <x:c r="E41" s="8">
        <x:v>116793</x:v>
      </x:c>
      <x:c r="F41" s="9">
        <x:v>63093005200</x:v>
      </x:c>
      <x:c r="G41" s="9">
        <x:v>70584652510.60995</x:v>
      </x:c>
      <x:c r="H41" s="10" t="n">
        <x:f>G41-F41</x:f>
        <x:v>7491647310.609955</x:v>
      </x:c>
    </x:row>
    <x:row r="42">
      <x:c r="A42" s="7" t="str">
        <x:v>1371451</x:v>
      </x:c>
      <x:c r="B42" s="7" t="str">
        <x:v>RS Ibu dan Anak Cicik</x:v>
      </x:c>
      <x:c r="C42" s="7" t="str">
        <x:v>C</x:v>
      </x:c>
      <x:c r="D42" s="7" t="str">
        <x:v>KOTA PADANG</x:v>
      </x:c>
      <x:c r="E42" s="8">
        <x:v>21034</x:v>
      </x:c>
      <x:c r="F42" s="9">
        <x:v>15514664800</x:v>
      </x:c>
      <x:c r="G42" s="9">
        <x:v>17381387379.909992</x:v>
      </x:c>
      <x:c r="H42" s="10" t="n">
        <x:f>G42-F42</x:f>
        <x:v>1866722579.9099922</x:v>
      </x:c>
    </x:row>
    <x:row r="43">
      <x:c r="A43" s="7" t="str">
        <x:v>1371455</x:v>
      </x:c>
      <x:c r="B43" s="7" t="str">
        <x:v>RS Ibu dan Anak Siti Hawa</x:v>
      </x:c>
      <x:c r="C43" s="7" t="str">
        <x:v>C</x:v>
      </x:c>
      <x:c r="D43" s="7" t="str">
        <x:v>KOTA PADANG</x:v>
      </x:c>
      <x:c r="E43" s="8">
        <x:v>6886</x:v>
      </x:c>
      <x:c r="F43" s="9">
        <x:v>7408996000</x:v>
      </x:c>
      <x:c r="G43" s="9">
        <x:v>8720779811.69</x:v>
      </x:c>
      <x:c r="H43" s="10" t="n">
        <x:f>G43-F43</x:f>
        <x:v>1311783811.6900005</x:v>
      </x:c>
    </x:row>
    <x:row r="44">
      <x:c r="A44" s="7" t="str">
        <x:v>1371456</x:v>
      </x:c>
      <x:c r="B44" s="7" t="str">
        <x:v>RS Islam Siti Rahmah</x:v>
      </x:c>
      <x:c r="C44" s="7" t="str">
        <x:v>C</x:v>
      </x:c>
      <x:c r="D44" s="7" t="str">
        <x:v>KOTA PADANG</x:v>
      </x:c>
      <x:c r="E44" s="8">
        <x:v>93439</x:v>
      </x:c>
      <x:c r="F44" s="9">
        <x:v>54148989700</x:v>
      </x:c>
      <x:c r="G44" s="9">
        <x:v>66120573919.850044</x:v>
      </x:c>
      <x:c r="H44" s="10" t="n">
        <x:f>G44-F44</x:f>
        <x:v>11971584219.850044</x:v>
      </x:c>
    </x:row>
    <x:row r="45">
      <x:c r="A45" s="7" t="str">
        <x:v>1371459</x:v>
      </x:c>
      <x:c r="B45" s="7" t="str">
        <x:v>RS Khusus Mata Regina Eye Center</x:v>
      </x:c>
      <x:c r="C45" s="7" t="str">
        <x:v>C</x:v>
      </x:c>
      <x:c r="D45" s="7" t="str">
        <x:v>KOTA PADANG</x:v>
      </x:c>
      <x:c r="E45" s="8">
        <x:v>25399</x:v>
      </x:c>
      <x:c r="F45" s="9">
        <x:v>18944779600</x:v>
      </x:c>
      <x:c r="G45" s="9">
        <x:v>20128966064.14</x:v>
      </x:c>
      <x:c r="H45" s="10" t="n">
        <x:f>G45-F45</x:f>
        <x:v>1184186464.1399994</x:v>
      </x:c>
    </x:row>
    <x:row r="46">
      <x:c r="A46" s="7" t="str">
        <x:v>1371460</x:v>
      </x:c>
      <x:c r="B46" s="7" t="str">
        <x:v>RS Ibu dan Anak Mutiara Bunda</x:v>
      </x:c>
      <x:c r="C46" s="7" t="str">
        <x:v>C</x:v>
      </x:c>
      <x:c r="D46" s="7" t="str">
        <x:v>KOTA PADANG</x:v>
      </x:c>
      <x:c r="E46" s="8">
        <x:v>5721</x:v>
      </x:c>
      <x:c r="F46" s="9">
        <x:v>8259307600</x:v>
      </x:c>
      <x:c r="G46" s="9">
        <x:v>9316471288.670002</x:v>
      </x:c>
      <x:c r="H46" s="10" t="n">
        <x:f>G46-F46</x:f>
        <x:v>1057163688.670002</x:v>
      </x:c>
    </x:row>
    <x:row r="47">
      <x:c r="A47" s="7" t="str">
        <x:v>1371462</x:v>
      </x:c>
      <x:c r="B47" s="7" t="str">
        <x:v>RS Umum Naili DBS</x:v>
      </x:c>
      <x:c r="C47" s="7" t="str">
        <x:v>C</x:v>
      </x:c>
      <x:c r="D47" s="7" t="str">
        <x:v>KOTA PADANG</x:v>
      </x:c>
      <x:c r="E47" s="8">
        <x:v>42553</x:v>
      </x:c>
      <x:c r="F47" s="9">
        <x:v>24690412100</x:v>
      </x:c>
      <x:c r="G47" s="9">
        <x:v>28665572770.96999</x:v>
      </x:c>
      <x:c r="H47" s="10" t="n">
        <x:f>G47-F47</x:f>
        <x:v>3975160670.96999</x:v>
      </x:c>
    </x:row>
    <x:row r="48">
      <x:c r="A48" s="7" t="str">
        <x:v>1371463</x:v>
      </x:c>
      <x:c r="B48" s="7" t="str">
        <x:v>RS Khusus Bedah Kartika Docta</x:v>
      </x:c>
      <x:c r="C48" s="7" t="str">
        <x:v>C</x:v>
      </x:c>
      <x:c r="D48" s="7" t="str">
        <x:v>KOTA PADANG</x:v>
      </x:c>
      <x:c r="E48" s="8">
        <x:v>3107</x:v>
      </x:c>
      <x:c r="F48" s="9">
        <x:v>8373410600</x:v>
      </x:c>
      <x:c r="G48" s="9">
        <x:v>11485589770.23</x:v>
      </x:c>
      <x:c r="H48" s="10" t="n">
        <x:f>G48-F48</x:f>
        <x:v>3112179170.2299995</x:v>
      </x:c>
    </x:row>
    <x:row r="49">
      <x:c r="A49" s="7" t="str">
        <x:v>1371464</x:v>
      </x:c>
      <x:c r="B49" s="7" t="str">
        <x:v>RS. Universitas Andalas</x:v>
      </x:c>
      <x:c r="C49" s="7" t="str">
        <x:v>B</x:v>
      </x:c>
      <x:c r="D49" s="7" t="str">
        <x:v>KOTA PADANG</x:v>
      </x:c>
      <x:c r="E49" s="8">
        <x:v>47475</x:v>
      </x:c>
      <x:c r="F49" s="9">
        <x:v>65219484600</x:v>
      </x:c>
      <x:c r="G49" s="9">
        <x:v>78193794474.01999</x:v>
      </x:c>
      <x:c r="H49" s="10" t="n">
        <x:f>G49-F49</x:f>
        <x:v>12974309874.019989</x:v>
      </x:c>
    </x:row>
    <x:row r="50">
      <x:c r="A50" s="7" t="str">
        <x:v>1371465</x:v>
      </x:c>
      <x:c r="B50" s="7" t="str">
        <x:v>RS Ibu dan Anak Restu Ibu</x:v>
      </x:c>
      <x:c r="C50" s="7" t="str">
        <x:v>C</x:v>
      </x:c>
      <x:c r="D50" s="7" t="str">
        <x:v>KOTA PADANG</x:v>
      </x:c>
      <x:c r="E50" s="8">
        <x:v>3890</x:v>
      </x:c>
      <x:c r="F50" s="9">
        <x:v>5131399300</x:v>
      </x:c>
      <x:c r="G50" s="9">
        <x:v>5750061695.890001</x:v>
      </x:c>
      <x:c r="H50" s="10" t="n">
        <x:f>G50-F50</x:f>
        <x:v>618662395.8900013</x:v>
      </x:c>
    </x:row>
    <x:row r="51">
      <x:c r="A51" s="7" t="str">
        <x:v>1371466</x:v>
      </x:c>
      <x:c r="B51" s="7" t="str">
        <x:v>RS Umum Hermina Padang</x:v>
      </x:c>
      <x:c r="C51" s="7" t="str">
        <x:v>C</x:v>
      </x:c>
      <x:c r="D51" s="7" t="str">
        <x:v>KOTA PADANG</x:v>
      </x:c>
      <x:c r="E51" s="8">
        <x:v>91500</x:v>
      </x:c>
      <x:c r="F51" s="9">
        <x:v>48055243100</x:v>
      </x:c>
      <x:c r="G51" s="9">
        <x:v>58466045115.71001</x:v>
      </x:c>
      <x:c r="H51" s="10" t="n">
        <x:f>G51-F51</x:f>
        <x:v>10410802015.710007</x:v>
      </x:c>
    </x:row>
    <x:row r="52">
      <x:c r="A52" s="7" t="str">
        <x:v>1371479</x:v>
      </x:c>
      <x:c r="B52" s="7" t="str">
        <x:v>RUMKITAL Dr.dr. Tarmizi Taher</x:v>
      </x:c>
      <x:c r="C52" s="7" t="str">
        <x:v>D</x:v>
      </x:c>
      <x:c r="D52" s="7" t="str">
        <x:v>KOTA PADANG</x:v>
      </x:c>
      <x:c r="E52" s="8">
        <x:v>314</x:v>
      </x:c>
      <x:c r="F52" s="9">
        <x:v>85529300</x:v>
      </x:c>
      <x:c r="G52" s="9">
        <x:v>108568634.48</x:v>
      </x:c>
      <x:c r="H52" s="10" t="n">
        <x:f>G52-F52</x:f>
        <x:v>23039334.480000004</x:v>
      </x:c>
    </x:row>
    <x:row r="53">
      <x:c r="A53" s="7" t="str">
        <x:v>1371480</x:v>
      </x:c>
      <x:c r="B53" s="7" t="str">
        <x:v>RS MATA PADANG EYE CENTER KHATIB</x:v>
      </x:c>
      <x:c r="C53" s="7" t="str">
        <x:v>C</x:v>
      </x:c>
      <x:c r="D53" s="7" t="str">
        <x:v>KOTA PADANG</x:v>
      </x:c>
      <x:c r="E53" s="8">
        <x:v>43056</x:v>
      </x:c>
      <x:c r="F53" s="9">
        <x:v>42553094100</x:v>
      </x:c>
      <x:c r="G53" s="9">
        <x:v>47719391973.55998</x:v>
      </x:c>
      <x:c r="H53" s="10" t="n">
        <x:f>G53-F53</x:f>
        <x:v>5166297873.559982</x:v>
      </x:c>
    </x:row>
    <x:row r="54">
      <x:c r="A54" s="7" t="str">
        <x:v>1371481</x:v>
      </x:c>
      <x:c r="B54" s="7" t="str">
        <x:v>RUMAH SAKIT MATA SUMATERA BARAT</x:v>
      </x:c>
      <x:c r="C54" s="7" t="str">
        <x:v>C</x:v>
      </x:c>
      <x:c r="D54" s="7" t="str">
        <x:v>KOTA PADANG</x:v>
      </x:c>
      <x:c r="E54" s="8">
        <x:v>1268</x:v>
      </x:c>
      <x:c r="F54" s="9">
        <x:v>1020245900</x:v>
      </x:c>
      <x:c r="G54" s="9">
        <x:v>1059312182.5900002</x:v>
      </x:c>
      <x:c r="H54" s="10" t="n">
        <x:f>G54-F54</x:f>
        <x:v>39066282.59000015</x:v>
      </x:c>
    </x:row>
    <x:row r="55">
      <x:c r="A55" s="7" t="str">
        <x:v>1372011</x:v>
      </x:c>
      <x:c r="B55" s="7" t="str">
        <x:v>RS Umum Daerah Mohammad Natsir</x:v>
      </x:c>
      <x:c r="C55" s="7" t="str">
        <x:v>B</x:v>
      </x:c>
      <x:c r="D55" s="7" t="str">
        <x:v>KOTA SOLOK</x:v>
      </x:c>
      <x:c r="E55" s="8">
        <x:v>70701</x:v>
      </x:c>
      <x:c r="F55" s="9">
        <x:v>63362435600</x:v>
      </x:c>
      <x:c r="G55" s="9">
        <x:v>72132666353.19</x:v>
      </x:c>
      <x:c r="H55" s="10" t="n">
        <x:f>G55-F55</x:f>
        <x:v>8770230753.190002</x:v>
      </x:c>
    </x:row>
    <x:row r="56">
      <x:c r="A56" s="7" t="str">
        <x:v>1372012</x:v>
      </x:c>
      <x:c r="B56" s="7" t="str">
        <x:v>RS Tk. IV 01.07.06 Solok</x:v>
      </x:c>
      <x:c r="C56" s="7" t="str">
        <x:v>D</x:v>
      </x:c>
      <x:c r="D56" s="7" t="str">
        <x:v>KOTA SOLOK</x:v>
      </x:c>
      <x:c r="E56" s="8">
        <x:v>22231</x:v>
      </x:c>
      <x:c r="F56" s="9">
        <x:v>12778287500</x:v>
      </x:c>
      <x:c r="G56" s="9">
        <x:v>17865826418.89</x:v>
      </x:c>
      <x:c r="H56" s="10" t="n">
        <x:f>G56-F56</x:f>
        <x:v>5087538918.889999</x:v>
      </x:c>
    </x:row>
    <x:row r="57">
      <x:c r="A57" s="7" t="str">
        <x:v>1372013</x:v>
      </x:c>
      <x:c r="B57" s="7" t="str">
        <x:v>RS Ibu dan Anak Permata Bunda Solok</x:v>
      </x:c>
      <x:c r="C57" s="7" t="str">
        <x:v>C</x:v>
      </x:c>
      <x:c r="D57" s="7" t="str">
        <x:v>KOTA SOLOK</x:v>
      </x:c>
      <x:c r="E57" s="8">
        <x:v>12595</x:v>
      </x:c>
      <x:c r="F57" s="9">
        <x:v>15677509800</x:v>
      </x:c>
      <x:c r="G57" s="9">
        <x:v>18232694412.070007</x:v>
      </x:c>
      <x:c r="H57" s="10" t="n">
        <x:f>G57-F57</x:f>
        <x:v>2555184612.0700073</x:v>
      </x:c>
    </x:row>
    <x:row r="58">
      <x:c r="A58" s="7" t="str">
        <x:v>1372014</x:v>
      </x:c>
      <x:c r="B58" s="7" t="str">
        <x:v>RS Ibu Dan Anak Ananda</x:v>
      </x:c>
      <x:c r="C58" s="7" t="str">
        <x:v>C</x:v>
      </x:c>
      <x:c r="D58" s="7" t="str">
        <x:v>KOTA SOLOK</x:v>
      </x:c>
      <x:c r="E58" s="8">
        <x:v>7165</x:v>
      </x:c>
      <x:c r="F58" s="9">
        <x:v>13639687200</x:v>
      </x:c>
      <x:c r="G58" s="9">
        <x:v>15692228762.41</x:v>
      </x:c>
      <x:c r="H58" s="10" t="n">
        <x:f>G58-F58</x:f>
        <x:v>2052541562.4099998</x:v>
      </x:c>
    </x:row>
    <x:row r="59">
      <x:c r="A59" s="7" t="str">
        <x:v>1372016</x:v>
      </x:c>
      <x:c r="B59" s="7" t="str">
        <x:v>RS Umum Daerah Serambi Madinah Kota Solok</x:v>
      </x:c>
      <x:c r="C59" s="7" t="str">
        <x:v>C</x:v>
      </x:c>
      <x:c r="D59" s="7" t="str">
        <x:v>KOTA SOLOK</x:v>
      </x:c>
      <x:c r="E59" s="8">
        <x:v>10508</x:v>
      </x:c>
      <x:c r="F59" s="9">
        <x:v>7460509600</x:v>
      </x:c>
      <x:c r="G59" s="9">
        <x:v>10342001860.240004</x:v>
      </x:c>
      <x:c r="H59" s="10" t="n">
        <x:f>G59-F59</x:f>
        <x:v>2881492260.2400036</x:v>
      </x:c>
    </x:row>
    <x:row r="60">
      <x:c r="A60" s="7" t="str">
        <x:v>1373012</x:v>
      </x:c>
      <x:c r="B60" s="7" t="str">
        <x:v>RS Umum Daerah Sawah Lunto</x:v>
      </x:c>
      <x:c r="C60" s="7" t="str">
        <x:v>C</x:v>
      </x:c>
      <x:c r="D60" s="7" t="str">
        <x:v>KOTA SAWAHLUNTO</x:v>
      </x:c>
      <x:c r="E60" s="8">
        <x:v>24729</x:v>
      </x:c>
      <x:c r="F60" s="9">
        <x:v>13365011900</x:v>
      </x:c>
      <x:c r="G60" s="9">
        <x:v>16726962621.04</x:v>
      </x:c>
      <x:c r="H60" s="10" t="n">
        <x:f>G60-F60</x:f>
        <x:v>3361950721.040001</x:v>
      </x:c>
    </x:row>
    <x:row r="61">
      <x:c r="A61" s="7" t="str">
        <x:v>1374013</x:v>
      </x:c>
      <x:c r="B61" s="7" t="str">
        <x:v>RS Umum Daerah Padang Panjang</x:v>
      </x:c>
      <x:c r="C61" s="7" t="str">
        <x:v>C</x:v>
      </x:c>
      <x:c r="D61" s="7" t="str">
        <x:v>KOTA PADANG PANJANG</x:v>
      </x:c>
      <x:c r="E61" s="8">
        <x:v>60868</x:v>
      </x:c>
      <x:c r="F61" s="9">
        <x:v>27586609460</x:v>
      </x:c>
      <x:c r="G61" s="9">
        <x:v>34571523494.68999</x:v>
      </x:c>
      <x:c r="H61" s="10" t="n">
        <x:f>G61-F61</x:f>
        <x:v>6984914034.689987</x:v>
      </x:c>
    </x:row>
    <x:row r="62">
      <x:c r="A62" s="7" t="str">
        <x:v>1374024</x:v>
      </x:c>
      <x:c r="B62" s="7" t="str">
        <x:v>RS Umum Ibnu Sina Padang Panjang</x:v>
      </x:c>
      <x:c r="C62" s="7" t="str">
        <x:v>D</x:v>
      </x:c>
      <x:c r="D62" s="7" t="str">
        <x:v>KOTA PADANG PANJANG</x:v>
      </x:c>
      <x:c r="E62" s="8">
        <x:v>29352</x:v>
      </x:c>
      <x:c r="F62" s="9">
        <x:v>17513584600</x:v>
      </x:c>
      <x:c r="G62" s="9">
        <x:v>22559693983.13999</x:v>
      </x:c>
      <x:c r="H62" s="10" t="n">
        <x:f>G62-F62</x:f>
        <x:v>5046109383.139992</x:v>
      </x:c>
    </x:row>
    <x:row r="63">
      <x:c r="A63" s="7" t="str">
        <x:v>1375014</x:v>
      </x:c>
      <x:c r="B63" s="7" t="str">
        <x:v>RS Umum Daerah Dr. Achmad Mochtar</x:v>
      </x:c>
      <x:c r="C63" s="7" t="str">
        <x:v>A</x:v>
      </x:c>
      <x:c r="D63" s="7" t="str">
        <x:v>KOTA BUKITTINGGI</x:v>
      </x:c>
      <x:c r="E63" s="8">
        <x:v>66025</x:v>
      </x:c>
      <x:c r="F63" s="9">
        <x:v>178053199575</x:v>
      </x:c>
      <x:c r="G63" s="9">
        <x:v>146236053873.10004</x:v>
      </x:c>
      <x:c r="H63" s="10" t="n">
        <x:f>G63-F63</x:f>
        <x:v>-31817145701.899963</x:v>
      </x:c>
    </x:row>
    <x:row r="64">
      <x:c r="A64" s="7" t="str">
        <x:v>1375025</x:v>
      </x:c>
      <x:c r="B64" s="7" t="str">
        <x:v>RS Tk. IV Bukittinggi</x:v>
      </x:c>
      <x:c r="C64" s="7" t="str">
        <x:v>D</x:v>
      </x:c>
      <x:c r="D64" s="7" t="str">
        <x:v>KOTA BUKITTINGGI</x:v>
      </x:c>
      <x:c r="E64" s="8">
        <x:v>12151</x:v>
      </x:c>
      <x:c r="F64" s="9">
        <x:v>4378430700</x:v>
      </x:c>
      <x:c r="G64" s="9">
        <x:v>5794839730.310004</x:v>
      </x:c>
      <x:c r="H64" s="10" t="n">
        <x:f>G64-F64</x:f>
        <x:v>1416409030.3100042</x:v>
      </x:c>
    </x:row>
    <x:row r="65">
      <x:c r="A65" s="7" t="str">
        <x:v>1375036</x:v>
      </x:c>
      <x:c r="B65" s="7" t="str">
        <x:v>RS Otak DR. Drs. M. Hatta Bukittinggi</x:v>
      </x:c>
      <x:c r="C65" s="7" t="str">
        <x:v>A</x:v>
      </x:c>
      <x:c r="D65" s="7" t="str">
        <x:v>KOTA BUKITTINGGI</x:v>
      </x:c>
      <x:c r="E65" s="8">
        <x:v>67256</x:v>
      </x:c>
      <x:c r="F65" s="9">
        <x:v>105471658200</x:v>
      </x:c>
      <x:c r="G65" s="9">
        <x:v>90428767414.47003</x:v>
      </x:c>
      <x:c r="H65" s="10" t="n">
        <x:f>G65-F65</x:f>
        <x:v>-15042890785.529968</x:v>
      </x:c>
    </x:row>
    <x:row r="66">
      <x:c r="A66" s="7" t="str">
        <x:v>1375040</x:v>
      </x:c>
      <x:c r="B66" s="7" t="str">
        <x:v>RS Islam Ibnu Sina Bukittinggi</x:v>
      </x:c>
      <x:c r="C66" s="7" t="str">
        <x:v>C</x:v>
      </x:c>
      <x:c r="D66" s="7" t="str">
        <x:v>KOTA BUKITTINGGI</x:v>
      </x:c>
      <x:c r="E66" s="8">
        <x:v>122437</x:v>
      </x:c>
      <x:c r="F66" s="9">
        <x:v>53866876900</x:v>
      </x:c>
      <x:c r="G66" s="9">
        <x:v>63738319046.55001</x:v>
      </x:c>
      <x:c r="H66" s="10" t="n">
        <x:f>G66-F66</x:f>
        <x:v>9871442146.55001</x:v>
      </x:c>
    </x:row>
    <x:row r="67">
      <x:c r="A67" s="7" t="str">
        <x:v>1375051</x:v>
      </x:c>
      <x:c r="B67" s="7" t="str">
        <x:v>RS Umum Madina</x:v>
      </x:c>
      <x:c r="C67" s="7" t="str">
        <x:v>D</x:v>
      </x:c>
      <x:c r="D67" s="7" t="str">
        <x:v>KOTA BUKITTINGGI</x:v>
      </x:c>
      <x:c r="E67" s="8">
        <x:v>50126</x:v>
      </x:c>
      <x:c r="F67" s="9">
        <x:v>24929613100</x:v>
      </x:c>
      <x:c r="G67" s="9">
        <x:v>29076808790.960007</x:v>
      </x:c>
      <x:c r="H67" s="10" t="n">
        <x:f>G67-F67</x:f>
        <x:v>4147195690.9600067</x:v>
      </x:c>
    </x:row>
    <x:row r="68">
      <x:c r="A68" s="7" t="str">
        <x:v>1375053</x:v>
      </x:c>
      <x:c r="B68" s="7" t="str">
        <x:v>RS Umum Daerah Kota Bukittinggi</x:v>
      </x:c>
      <x:c r="C68" s="7" t="str">
        <x:v>C</x:v>
      </x:c>
      <x:c r="D68" s="7" t="str">
        <x:v>KOTA BUKITTINGGI</x:v>
      </x:c>
      <x:c r="E68" s="8">
        <x:v>26708</x:v>
      </x:c>
      <x:c r="F68" s="9">
        <x:v>12827391700</x:v>
      </x:c>
      <x:c r="G68" s="9">
        <x:v>16455735236.929996</x:v>
      </x:c>
      <x:c r="H68" s="10" t="n">
        <x:f>G68-F68</x:f>
        <x:v>3628343536.9299965</x:v>
      </x:c>
    </x:row>
    <x:row r="69">
      <x:c r="A69" s="7" t="str">
        <x:v>1376011</x:v>
      </x:c>
      <x:c r="B69" s="7" t="str">
        <x:v>RS Umum Ibnu Sina Kota Payakumbuh</x:v>
      </x:c>
      <x:c r="C69" s="7" t="str">
        <x:v>C</x:v>
      </x:c>
      <x:c r="D69" s="7" t="str">
        <x:v>KOTA PAYAKUMBUH</x:v>
      </x:c>
      <x:c r="E69" s="8">
        <x:v>64001</x:v>
      </x:c>
      <x:c r="F69" s="9">
        <x:v>32135572500</x:v>
      </x:c>
      <x:c r="G69" s="9">
        <x:v>38218223069.070015</x:v>
      </x:c>
      <x:c r="H69" s="10" t="n">
        <x:f>G69-F69</x:f>
        <x:v>6082650569.070015</x:v>
      </x:c>
    </x:row>
    <x:row r="70">
      <x:c r="A70" s="7" t="str">
        <x:v>1376015</x:v>
      </x:c>
      <x:c r="B70" s="7" t="str">
        <x:v>RS Umum Daerah Dr. Adnaan WD</x:v>
      </x:c>
      <x:c r="C70" s="7" t="str">
        <x:v>C</x:v>
      </x:c>
      <x:c r="D70" s="7" t="str">
        <x:v>KOTA PAYAKUMBUH</x:v>
      </x:c>
      <x:c r="E70" s="8">
        <x:v>90451</x:v>
      </x:c>
      <x:c r="F70" s="9">
        <x:v>45303086800</x:v>
      </x:c>
      <x:c r="G70" s="9">
        <x:v>56719147996.94999</x:v>
      </x:c>
      <x:c r="H70" s="10" t="n">
        <x:f>G70-F70</x:f>
        <x:v>11416061196.94999</x:v>
      </x:c>
    </x:row>
    <x:row r="71">
      <x:c r="A71" s="7" t="str">
        <x:v>1376016</x:v>
      </x:c>
      <x:c r="B71" s="7" t="str">
        <x:v>RS Ibu dan Anak Sukma Bunda</x:v>
      </x:c>
      <x:c r="C71" s="7" t="str">
        <x:v>C</x:v>
      </x:c>
      <x:c r="D71" s="7" t="str">
        <x:v>KOTA PAYAKUMBUH</x:v>
      </x:c>
      <x:c r="E71" s="8">
        <x:v>7008</x:v>
      </x:c>
      <x:c r="F71" s="9">
        <x:v>9749342400</x:v>
      </x:c>
      <x:c r="G71" s="9">
        <x:v>11407476773.71</x:v>
      </x:c>
      <x:c r="H71" s="10" t="n">
        <x:f>G71-F71</x:f>
        <x:v>1658134373.709999</x:v>
      </x:c>
    </x:row>
    <x:row r="72">
      <x:c r="A72" s="7" t="str">
        <x:v>1376017</x:v>
      </x:c>
      <x:c r="B72" s="7" t="str">
        <x:v>RS Ibu dan Anak Annisa Payakumbuh</x:v>
      </x:c>
      <x:c r="C72" s="7" t="str">
        <x:v>C</x:v>
      </x:c>
      <x:c r="D72" s="7" t="str">
        <x:v>KOTA PAYAKUMBUH</x:v>
      </x:c>
      <x:c r="E72" s="8">
        <x:v>10367</x:v>
      </x:c>
      <x:c r="F72" s="9">
        <x:v>14677917900</x:v>
      </x:c>
      <x:c r="G72" s="9">
        <x:v>17289462183.760002</x:v>
      </x:c>
      <x:c r="H72" s="10" t="n">
        <x:f>G72-F72</x:f>
        <x:v>2611544283.760002</x:v>
      </x:c>
    </x:row>
    <x:row r="73">
      <x:c r="A73" s="7" t="str">
        <x:v>1377003</x:v>
      </x:c>
      <x:c r="B73" s="7" t="str">
        <x:v>RS Umum Aisyiyah Pariaman</x:v>
      </x:c>
      <x:c r="C73" s="7" t="str">
        <x:v>C</x:v>
      </x:c>
      <x:c r="D73" s="7" t="str">
        <x:v>KOTA PARIAMAN</x:v>
      </x:c>
      <x:c r="E73" s="8">
        <x:v>35895</x:v>
      </x:c>
      <x:c r="F73" s="9">
        <x:v>20802387000</x:v>
      </x:c>
      <x:c r="G73" s="9">
        <x:v>23903690062.379997</x:v>
      </x:c>
      <x:c r="H73" s="10" t="n">
        <x:f>G73-F73</x:f>
        <x:v>3101303062.3799973</x:v>
      </x:c>
    </x:row>
    <x:row r="74">
      <x:c r="A74" s="7" t="str">
        <x:v>1377005</x:v>
      </x:c>
      <x:c r="B74" s="7" t="str">
        <x:v>RS Umum Tamar Medical Centre</x:v>
      </x:c>
      <x:c r="C74" s="7" t="str">
        <x:v>D</x:v>
      </x:c>
      <x:c r="D74" s="7" t="str">
        <x:v>KOTA PARIAMAN</x:v>
      </x:c>
      <x:c r="E74" s="8">
        <x:v>32139</x:v>
      </x:c>
      <x:c r="F74" s="9">
        <x:v>17079784600</x:v>
      </x:c>
      <x:c r="G74" s="9">
        <x:v>22576108009.180008</x:v>
      </x:c>
      <x:c r="H74" s="10" t="n">
        <x:f>G74-F74</x:f>
        <x:v>5496323409.180008</x:v>
      </x:c>
    </x:row>
    <x:row r="75">
      <x:c r="A75" s="7" t="str">
        <x:v>1377007</x:v>
      </x:c>
      <x:c r="B75" s="7" t="str">
        <x:v>RS Umum Daerah Dr Sadikin Kota Pariaman</x:v>
      </x:c>
      <x:c r="C75" s="7" t="str">
        <x:v>D</x:v>
      </x:c>
      <x:c r="D75" s="7" t="str">
        <x:v>KOTA PARIAMAN</x:v>
      </x:c>
      <x:c r="E75" s="8">
        <x:v>13270</x:v>
      </x:c>
      <x:c r="F75" s="9">
        <x:v>6203843800</x:v>
      </x:c>
      <x:c r="G75" s="9">
        <x:v>8563189828.389997</x:v>
      </x:c>
      <x:c r="H75" s="10" t="n">
        <x:f>G75-F75</x:f>
        <x:v>2359346028.3899965</x:v>
      </x:c>
    </x:row>
    <x:row r="76">
      <x:c r="A76" s="7" t="str">
        <x:v>1377008</x:v>
      </x:c>
      <x:c r="B76" s="7" t="str">
        <x:v>RS Ibu dan Anak Citra Aguswar Medical Center</x:v>
      </x:c>
      <x:c r="C76" s="7" t="str">
        <x:v>C</x:v>
      </x:c>
      <x:c r="D76" s="7" t="str">
        <x:v>KOTA PARIAMAN</x:v>
      </x:c>
      <x:c r="E76" s="8">
        <x:v>406</x:v>
      </x:c>
      <x:c r="F76" s="9">
        <x:v>773170100</x:v>
      </x:c>
      <x:c r="G76" s="9">
        <x:v>943053471.32</x:v>
      </x:c>
      <x:c r="H76" s="10" t="n">
        <x:f>G76-F76</x:f>
        <x:v>169883371.32000005</x:v>
      </x:c>
    </x:row>
    <x:row r="77">
      <x:c r="A77" s="7" t="str">
        <x:v>1401011</x:v>
      </x:c>
      <x:c r="B77" s="7" t="str">
        <x:v>RS Umum Daerah Teluk Kuantan</x:v>
      </x:c>
      <x:c r="C77" s="7" t="str">
        <x:v>C</x:v>
      </x:c>
      <x:c r="D77" s="7" t="str">
        <x:v>KUANTAN SINGINGI</x:v>
      </x:c>
      <x:c r="E77" s="8">
        <x:v>42634</x:v>
      </x:c>
      <x:c r="F77" s="9">
        <x:v>36186391000</x:v>
      </x:c>
      <x:c r="G77" s="9">
        <x:v>46903339455.359985</x:v>
      </x:c>
      <x:c r="H77" s="10" t="n">
        <x:f>G77-F77</x:f>
        <x:v>10716948455.359985</x:v>
      </x:c>
    </x:row>
    <x:row r="78">
      <x:c r="A78" s="7" t="str">
        <x:v>1401012</x:v>
      </x:c>
      <x:c r="B78" s="7" t="str">
        <x:v>RS Ibu dan Anak Milano</x:v>
      </x:c>
      <x:c r="C78" s="7" t="str">
        <x:v>C</x:v>
      </x:c>
      <x:c r="D78" s="7" t="str">
        <x:v>KUANTAN SINGINGI</x:v>
      </x:c>
      <x:c r="E78" s="8">
        <x:v>4938</x:v>
      </x:c>
      <x:c r="F78" s="9">
        <x:v>9994112900</x:v>
      </x:c>
      <x:c r="G78" s="9">
        <x:v>11133734658.460001</x:v>
      </x:c>
      <x:c r="H78" s="10" t="n">
        <x:f>G78-F78</x:f>
        <x:v>1139621758.460001</x:v>
      </x:c>
    </x:row>
    <x:row r="79">
      <x:c r="A79" s="7" t="str">
        <x:v>1402012</x:v>
      </x:c>
      <x:c r="B79" s="7" t="str">
        <x:v>RS Umum Daerah  Indrasari Rengat</x:v>
      </x:c>
      <x:c r="C79" s="7" t="str">
        <x:v>C</x:v>
      </x:c>
      <x:c r="D79" s="7" t="str">
        <x:v>INDRAGIRI HULU</x:v>
      </x:c>
      <x:c r="E79" s="8">
        <x:v>27639</x:v>
      </x:c>
      <x:c r="F79" s="9">
        <x:v>22455065170</x:v>
      </x:c>
      <x:c r="G79" s="9">
        <x:v>27989349792.15</x:v>
      </x:c>
      <x:c r="H79" s="10" t="n">
        <x:f>G79-F79</x:f>
        <x:v>5534284622.150002</x:v>
      </x:c>
    </x:row>
    <x:row r="80">
      <x:c r="A80" s="7" t="str">
        <x:v>1402013</x:v>
      </x:c>
      <x:c r="B80" s="7" t="str">
        <x:v>RS Umum  Kasih Ibu Rengat</x:v>
      </x:c>
      <x:c r="C80" s="7" t="str">
        <x:v>D</x:v>
      </x:c>
      <x:c r="D80" s="7" t="str">
        <x:v>INDRAGIRI HULU</x:v>
      </x:c>
      <x:c r="E80" s="8">
        <x:v>14223</x:v>
      </x:c>
      <x:c r="F80" s="9">
        <x:v>17043782800</x:v>
      </x:c>
      <x:c r="G80" s="9">
        <x:v>21507395579.76002</x:v>
      </x:c>
      <x:c r="H80" s="10" t="n">
        <x:f>G80-F80</x:f>
        <x:v>4463612779.760021</x:v>
      </x:c>
    </x:row>
    <x:row r="81">
      <x:c r="A81" s="7" t="str">
        <x:v>1402014</x:v>
      </x:c>
      <x:c r="B81" s="7" t="str">
        <x:v>RS Ibu dan Anak  Safira</x:v>
      </x:c>
      <x:c r="C81" s="7" t="str">
        <x:v>C</x:v>
      </x:c>
      <x:c r="D81" s="7" t="str">
        <x:v>INDRAGIRI HULU</x:v>
      </x:c>
      <x:c r="E81" s="8">
        <x:v>1553</x:v>
      </x:c>
      <x:c r="F81" s="9">
        <x:v>3294023400</x:v>
      </x:c>
      <x:c r="G81" s="9">
        <x:v>3606654412.9100003</x:v>
      </x:c>
      <x:c r="H81" s="10" t="n">
        <x:f>G81-F81</x:f>
        <x:v>312631012.9100003</x:v>
      </x:c>
    </x:row>
    <x:row r="82">
      <x:c r="A82" s="7" t="str">
        <x:v>1402015</x:v>
      </x:c>
      <x:c r="B82" s="7" t="str">
        <x:v>RS Muizzah</x:v>
      </x:c>
      <x:c r="C82" s="7" t="str">
        <x:v>D</x:v>
      </x:c>
      <x:c r="D82" s="7" t="str">
        <x:v>INDRAGIRI HULU</x:v>
      </x:c>
      <x:c r="E82" s="8">
        <x:v>8337</x:v>
      </x:c>
      <x:c r="F82" s="9">
        <x:v>10948918400</x:v>
      </x:c>
      <x:c r="G82" s="9">
        <x:v>13313792583.329992</x:v>
      </x:c>
      <x:c r="H82" s="10" t="n">
        <x:f>G82-F82</x:f>
        <x:v>2364874183.3299923</x:v>
      </x:c>
    </x:row>
    <x:row r="83">
      <x:c r="A83" s="7" t="str">
        <x:v>1403013</x:v>
      </x:c>
      <x:c r="B83" s="7" t="str">
        <x:v>RS Umum Daerah  Puri Husada Tembilahan</x:v>
      </x:c>
      <x:c r="C83" s="7" t="str">
        <x:v>C</x:v>
      </x:c>
      <x:c r="D83" s="7" t="str">
        <x:v>INDRAGIRI HILIR</x:v>
      </x:c>
      <x:c r="E83" s="8">
        <x:v>49756</x:v>
      </x:c>
      <x:c r="F83" s="9">
        <x:v>54580751890</x:v>
      </x:c>
      <x:c r="G83" s="9">
        <x:v>66495286654.69998</x:v>
      </x:c>
      <x:c r="H83" s="10" t="n">
        <x:f>G83-F83</x:f>
        <x:v>11914534764.699982</x:v>
      </x:c>
    </x:row>
    <x:row r="84">
      <x:c r="A84" s="7" t="str">
        <x:v>1403024</x:v>
      </x:c>
      <x:c r="B84" s="7" t="str">
        <x:v>RS Umum Daerah  Raja Musa</x:v>
      </x:c>
      <x:c r="C84" s="7" t="str">
        <x:v>D</x:v>
      </x:c>
      <x:c r="D84" s="7" t="str">
        <x:v>INDRAGIRI HILIR</x:v>
      </x:c>
      <x:c r="E84" s="8">
        <x:v>4166</x:v>
      </x:c>
      <x:c r="F84" s="9">
        <x:v>5450788600</x:v>
      </x:c>
      <x:c r="G84" s="9">
        <x:v>7229554223.699998</x:v>
      </x:c>
      <x:c r="H84" s="10" t="n">
        <x:f>G84-F84</x:f>
        <x:v>1778765623.699998</x:v>
      </x:c>
    </x:row>
    <x:row r="85">
      <x:c r="A85" s="7" t="str">
        <x:v>1403035</x:v>
      </x:c>
      <x:c r="B85" s="7" t="str">
        <x:v>RS Umum Daerah  Tengku Sulung</x:v>
      </x:c>
      <x:c r="C85" s="7" t="str">
        <x:v>D</x:v>
      </x:c>
      <x:c r="D85" s="7" t="str">
        <x:v>INDRAGIRI HILIR</x:v>
      </x:c>
      <x:c r="E85" s="8">
        <x:v>747</x:v>
      </x:c>
      <x:c r="F85" s="9">
        <x:v>1244436500</x:v>
      </x:c>
      <x:c r="G85" s="9">
        <x:v>1707104424.2200005</x:v>
      </x:c>
      <x:c r="H85" s="10" t="n">
        <x:f>G85-F85</x:f>
        <x:v>462667924.2200005</x:v>
      </x:c>
    </x:row>
    <x:row r="86">
      <x:c r="A86" s="7" t="str">
        <x:v>1403037</x:v>
      </x:c>
      <x:c r="B86" s="7" t="str">
        <x:v>RS 3M Plus</x:v>
      </x:c>
      <x:c r="C86" s="7" t="str">
        <x:v>D</x:v>
      </x:c>
      <x:c r="D86" s="7" t="str">
        <x:v>INDRAGIRI HILIR</x:v>
      </x:c>
      <x:c r="E86" s="8">
        <x:v>19681</x:v>
      </x:c>
      <x:c r="F86" s="9">
        <x:v>18300070200</x:v>
      </x:c>
      <x:c r="G86" s="9">
        <x:v>22084597346.710007</x:v>
      </x:c>
      <x:c r="H86" s="10" t="n">
        <x:f>G86-F86</x:f>
        <x:v>3784527146.7100067</x:v>
      </x:c>
    </x:row>
    <x:row r="87">
      <x:c r="A87" s="7" t="str">
        <x:v>1404014</x:v>
      </x:c>
      <x:c r="B87" s="7" t="str">
        <x:v>RS Umum Daerah  Selasih Riau</x:v>
      </x:c>
      <x:c r="C87" s="7" t="str">
        <x:v>C</x:v>
      </x:c>
      <x:c r="D87" s="7" t="str">
        <x:v>PELALAWAN</x:v>
      </x:c>
      <x:c r="E87" s="8">
        <x:v>25012</x:v>
      </x:c>
      <x:c r="F87" s="9">
        <x:v>20632216700</x:v>
      </x:c>
      <x:c r="G87" s="9">
        <x:v>25469769866.99</x:v>
      </x:c>
      <x:c r="H87" s="10" t="n">
        <x:f>G87-F87</x:f>
        <x:v>4837553166.990002</x:v>
      </x:c>
    </x:row>
    <x:row r="88">
      <x:c r="A88" s="7" t="str">
        <x:v>1404025</x:v>
      </x:c>
      <x:c r="B88" s="7" t="str">
        <x:v>RS Umum  Efarina</x:v>
      </x:c>
      <x:c r="C88" s="7" t="str">
        <x:v>C</x:v>
      </x:c>
      <x:c r="D88" s="7" t="str">
        <x:v>PELALAWAN</x:v>
      </x:c>
      <x:c r="E88" s="8">
        <x:v>27172</x:v>
      </x:c>
      <x:c r="F88" s="9">
        <x:v>42613535200</x:v>
      </x:c>
      <x:c r="G88" s="9">
        <x:v>48905746428.93002</x:v>
      </x:c>
      <x:c r="H88" s="10" t="n">
        <x:f>G88-F88</x:f>
        <x:v>6292211228.930023</x:v>
      </x:c>
    </x:row>
    <x:row r="89">
      <x:c r="A89" s="7" t="str">
        <x:v>1404026</x:v>
      </x:c>
      <x:c r="B89" s="7" t="str">
        <x:v>RS Umum  Medicare Sorek</x:v>
      </x:c>
      <x:c r="C89" s="7" t="str">
        <x:v>D</x:v>
      </x:c>
      <x:c r="D89" s="7" t="str">
        <x:v>PELALAWAN</x:v>
      </x:c>
      <x:c r="E89" s="8">
        <x:v>15602</x:v>
      </x:c>
      <x:c r="F89" s="9">
        <x:v>19248617400</x:v>
      </x:c>
      <x:c r="G89" s="9">
        <x:v>23946342020.049988</x:v>
      </x:c>
      <x:c r="H89" s="10" t="n">
        <x:f>G89-F89</x:f>
        <x:v>4697724620.049988</x:v>
      </x:c>
    </x:row>
    <x:row r="90">
      <x:c r="A90" s="7" t="str">
        <x:v>1404027</x:v>
      </x:c>
      <x:c r="B90" s="7" t="str">
        <x:v>RS Umum  Amalia Medika</x:v>
      </x:c>
      <x:c r="C90" s="7" t="str">
        <x:v>D</x:v>
      </x:c>
      <x:c r="D90" s="7" t="str">
        <x:v>PELALAWAN</x:v>
      </x:c>
      <x:c r="E90" s="8">
        <x:v>24725</x:v>
      </x:c>
      <x:c r="F90" s="9">
        <x:v>20324356700</x:v>
      </x:c>
      <x:c r="G90" s="9">
        <x:v>25718685692.809994</x:v>
      </x:c>
      <x:c r="H90" s="10" t="n">
        <x:f>G90-F90</x:f>
        <x:v>5394328992.809994</x:v>
      </x:c>
    </x:row>
    <x:row r="91">
      <x:c r="A91" s="7" t="str">
        <x:v>1405015</x:v>
      </x:c>
      <x:c r="B91" s="7" t="str">
        <x:v>RS Umum Daerah Tengku Rafi'an Siak Sri Indrapura</x:v>
      </x:c>
      <x:c r="C91" s="7" t="str">
        <x:v>C</x:v>
      </x:c>
      <x:c r="D91" s="7" t="str">
        <x:v>SIAK</x:v>
      </x:c>
      <x:c r="E91" s="8">
        <x:v>48645</x:v>
      </x:c>
      <x:c r="F91" s="9">
        <x:v>37350743190</x:v>
      </x:c>
      <x:c r="G91" s="9">
        <x:v>46086357096.73</x:v>
      </x:c>
      <x:c r="H91" s="10" t="n">
        <x:f>G91-F91</x:f>
        <x:v>8735613906.730003</x:v>
      </x:c>
    </x:row>
    <x:row r="92">
      <x:c r="A92" s="7" t="str">
        <x:v>1405017</x:v>
      </x:c>
      <x:c r="B92" s="7" t="str">
        <x:v>RS Umum Daerah Tualang</x:v>
      </x:c>
      <x:c r="C92" s="7" t="str">
        <x:v>D</x:v>
      </x:c>
      <x:c r="D92" s="7" t="str">
        <x:v>SIAK</x:v>
      </x:c>
      <x:c r="E92" s="8">
        <x:v>8164</x:v>
      </x:c>
      <x:c r="F92" s="9">
        <x:v>2950922100</x:v>
      </x:c>
      <x:c r="G92" s="9">
        <x:v>3893911454.45</x:v>
      </x:c>
      <x:c r="H92" s="10" t="n">
        <x:f>G92-F92</x:f>
        <x:v>942989354.4499998</x:v>
      </x:c>
    </x:row>
    <x:row r="93">
      <x:c r="A93" s="7" t="str">
        <x:v>1406016</x:v>
      </x:c>
      <x:c r="B93" s="7" t="str">
        <x:v>RS Umum Daerah  Bangkinang</x:v>
      </x:c>
      <x:c r="C93" s="7" t="str">
        <x:v>C</x:v>
      </x:c>
      <x:c r="D93" s="7" t="str">
        <x:v>KAMPAR</x:v>
      </x:c>
      <x:c r="E93" s="8">
        <x:v>59650</x:v>
      </x:c>
      <x:c r="F93" s="9">
        <x:v>37673946540</x:v>
      </x:c>
      <x:c r="G93" s="9">
        <x:v>46026334586.82999</x:v>
      </x:c>
      <x:c r="H93" s="10" t="n">
        <x:f>G93-F93</x:f>
        <x:v>8352388046.829987</x:v>
      </x:c>
    </x:row>
    <x:row r="94">
      <x:c r="A94" s="7" t="str">
        <x:v>1406031</x:v>
      </x:c>
      <x:c r="B94" s="7" t="str">
        <x:v>RS Umum  Tandun</x:v>
      </x:c>
      <x:c r="C94" s="7" t="str">
        <x:v>D</x:v>
      </x:c>
      <x:c r="D94" s="7" t="str">
        <x:v>KAMPAR</x:v>
      </x:c>
      <x:c r="E94" s="8">
        <x:v>12560</x:v>
      </x:c>
      <x:c r="F94" s="9">
        <x:v>7036966400</x:v>
      </x:c>
      <x:c r="G94" s="9">
        <x:v>8717353517.030003</x:v>
      </x:c>
      <x:c r="H94" s="10" t="n">
        <x:f>G94-F94</x:f>
        <x:v>1680387117.0300026</x:v>
      </x:c>
    </x:row>
    <x:row r="95">
      <x:c r="A95" s="7" t="str">
        <x:v>1406043</x:v>
      </x:c>
      <x:c r="B95" s="7" t="str">
        <x:v>RS Umum  Mesra</x:v>
      </x:c>
      <x:c r="C95" s="7" t="str">
        <x:v>D</x:v>
      </x:c>
      <x:c r="D95" s="7" t="str">
        <x:v>KAMPAR</x:v>
      </x:c>
      <x:c r="E95" s="8">
        <x:v>36650</x:v>
      </x:c>
      <x:c r="F95" s="9">
        <x:v>23517914500</x:v>
      </x:c>
      <x:c r="G95" s="9">
        <x:v>30208485429.099995</x:v>
      </x:c>
      <x:c r="H95" s="10" t="n">
        <x:f>G95-F95</x:f>
        <x:v>6690570929.099995</x:v>
      </x:c>
    </x:row>
    <x:row r="96">
      <x:c r="A96" s="7" t="str">
        <x:v>1406044</x:v>
      </x:c>
      <x:c r="B96" s="7" t="str">
        <x:v>RS Ibu Anak  Husada Bunda</x:v>
      </x:c>
      <x:c r="C96" s="7" t="str">
        <x:v>C</x:v>
      </x:c>
      <x:c r="D96" s="7" t="str">
        <x:v>KAMPAR</x:v>
      </x:c>
      <x:c r="E96" s="8">
        <x:v>4129</x:v>
      </x:c>
      <x:c r="F96" s="9">
        <x:v>8199424400</x:v>
      </x:c>
      <x:c r="G96" s="9">
        <x:v>9281954448.21</x:v>
      </x:c>
      <x:c r="H96" s="10" t="n">
        <x:f>G96-F96</x:f>
        <x:v>1082530048.209999</x:v>
      </x:c>
    </x:row>
    <x:row r="97">
      <x:c r="A97" s="7" t="str">
        <x:v>1406045</x:v>
      </x:c>
      <x:c r="B97" s="7" t="str">
        <x:v>RS Ibu Anak  Bunda Anisyah</x:v>
      </x:c>
      <x:c r="C97" s="7" t="str">
        <x:v>C</x:v>
      </x:c>
      <x:c r="D97" s="7" t="str">
        <x:v>KAMPAR</x:v>
      </x:c>
      <x:c r="E97" s="8">
        <x:v>1931</x:v>
      </x:c>
      <x:c r="F97" s="9">
        <x:v>3500869000</x:v>
      </x:c>
      <x:c r="G97" s="9">
        <x:v>4075791759.5399995</x:v>
      </x:c>
      <x:c r="H97" s="10" t="n">
        <x:f>G97-F97</x:f>
        <x:v>574922759.5399995</x:v>
      </x:c>
    </x:row>
    <x:row r="98">
      <x:c r="A98" s="7" t="str">
        <x:v>1406046</x:v>
      </x:c>
      <x:c r="B98" s="7" t="str">
        <x:v>RS Norfa Husada</x:v>
      </x:c>
      <x:c r="C98" s="7" t="str">
        <x:v>C</x:v>
      </x:c>
      <x:c r="D98" s="7" t="str">
        <x:v>KAMPAR</x:v>
      </x:c>
      <x:c r="E98" s="8">
        <x:v>2669</x:v>
      </x:c>
      <x:c r="F98" s="9">
        <x:v>5528854000</x:v>
      </x:c>
      <x:c r="G98" s="9">
        <x:v>6002434934.69</x:v>
      </x:c>
      <x:c r="H98" s="10" t="n">
        <x:f>G98-F98</x:f>
        <x:v>473580934.6899996</x:v>
      </x:c>
    </x:row>
    <x:row r="99">
      <x:c r="A99" s="7" t="str">
        <x:v>1406057</x:v>
      </x:c>
      <x:c r="B99" s="7" t="str">
        <x:v>RS Umum Pelita</x:v>
      </x:c>
      <x:c r="C99" s="7" t="str">
        <x:v>C</x:v>
      </x:c>
      <x:c r="D99" s="7" t="str">
        <x:v>KAMPAR</x:v>
      </x:c>
      <x:c r="E99" s="8">
        <x:v>5763</x:v>
      </x:c>
      <x:c r="F99" s="9">
        <x:v>6290679700</x:v>
      </x:c>
      <x:c r="G99" s="9">
        <x:v>7365446619.619998</x:v>
      </x:c>
      <x:c r="H99" s="10" t="n">
        <x:f>G99-F99</x:f>
        <x:v>1074766919.619998</x:v>
      </x:c>
    </x:row>
    <x:row r="100">
      <x:c r="A100" s="7" t="str">
        <x:v>1406058</x:v>
      </x:c>
      <x:c r="B100" s="7" t="str">
        <x:v>RS Nurlima</x:v>
      </x:c>
      <x:c r="C100" s="7" t="str">
        <x:v>D</x:v>
      </x:c>
      <x:c r="D100" s="7" t="str">
        <x:v>KAMPAR</x:v>
      </x:c>
      <x:c r="E100" s="8">
        <x:v>5005</x:v>
      </x:c>
      <x:c r="F100" s="9">
        <x:v>5778330400</x:v>
      </x:c>
      <x:c r="G100" s="9">
        <x:v>7802594356.300001</x:v>
      </x:c>
      <x:c r="H100" s="10" t="n">
        <x:f>G100-F100</x:f>
        <x:v>2024263956.3000011</x:v>
      </x:c>
    </x:row>
    <x:row r="101">
      <x:c r="A101" s="7" t="str">
        <x:v>1407011</x:v>
      </x:c>
      <x:c r="B101" s="7" t="str">
        <x:v>RS Umum Daerah  Rokan Hulu</x:v>
      </x:c>
      <x:c r="C101" s="7" t="str">
        <x:v>C</x:v>
      </x:c>
      <x:c r="D101" s="7" t="str">
        <x:v>ROKAN HULU</x:v>
      </x:c>
      <x:c r="E101" s="8">
        <x:v>33033</x:v>
      </x:c>
      <x:c r="F101" s="9">
        <x:v>24537173000</x:v>
      </x:c>
      <x:c r="G101" s="9">
        <x:v>29584443881.239986</x:v>
      </x:c>
      <x:c r="H101" s="10" t="n">
        <x:f>G101-F101</x:f>
        <x:v>5047270881.239986</x:v>
      </x:c>
    </x:row>
    <x:row r="102">
      <x:c r="A102" s="7" t="str">
        <x:v>1407012</x:v>
      </x:c>
      <x:c r="B102" s="7" t="str">
        <x:v>RS Umum  Awal Bros Ujung Batu</x:v>
      </x:c>
      <x:c r="C102" s="7" t="str">
        <x:v>C</x:v>
      </x:c>
      <x:c r="D102" s="7" t="str">
        <x:v>ROKAN HULU</x:v>
      </x:c>
      <x:c r="E102" s="8">
        <x:v>67061</x:v>
      </x:c>
      <x:c r="F102" s="9">
        <x:v>63651424150</x:v>
      </x:c>
      <x:c r="G102" s="9">
        <x:v>73742637865.48999</x:v>
      </x:c>
      <x:c r="H102" s="10" t="n">
        <x:f>G102-F102</x:f>
        <x:v>10091213715.48999</x:v>
      </x:c>
    </x:row>
    <x:row r="103">
      <x:c r="A103" s="7" t="str">
        <x:v>1407014</x:v>
      </x:c>
      <x:c r="B103" s="7" t="str">
        <x:v>RS Umum  Surya Insani</x:v>
      </x:c>
      <x:c r="C103" s="7" t="str">
        <x:v>C</x:v>
      </x:c>
      <x:c r="D103" s="7" t="str">
        <x:v>ROKAN HULU</x:v>
      </x:c>
      <x:c r="E103" s="8">
        <x:v>30976</x:v>
      </x:c>
      <x:c r="F103" s="9">
        <x:v>35183161600</x:v>
      </x:c>
      <x:c r="G103" s="9">
        <x:v>40405101166.78001</x:v>
      </x:c>
      <x:c r="H103" s="10" t="n">
        <x:f>G103-F103</x:f>
        <x:v>5221939566.780006</x:v>
      </x:c>
    </x:row>
    <x:row r="104">
      <x:c r="A104" s="7" t="str">
        <x:v>1408011</x:v>
      </x:c>
      <x:c r="B104" s="7" t="str">
        <x:v>RS Umum Daerah  Bengkalis</x:v>
      </x:c>
      <x:c r="C104" s="7" t="str">
        <x:v>B</x:v>
      </x:c>
      <x:c r="D104" s="7" t="str">
        <x:v>BENGKALIS</x:v>
      </x:c>
      <x:c r="E104" s="8">
        <x:v>52049</x:v>
      </x:c>
      <x:c r="F104" s="9">
        <x:v>41543788260</x:v>
      </x:c>
      <x:c r="G104" s="9">
        <x:v>48418673380.229996</x:v>
      </x:c>
      <x:c r="H104" s="10" t="n">
        <x:f>G104-F104</x:f>
        <x:v>6874885120.229996</x:v>
      </x:c>
    </x:row>
    <x:row r="105">
      <x:c r="A105" s="7" t="str">
        <x:v>1408032</x:v>
      </x:c>
      <x:c r="B105" s="7" t="str">
        <x:v>RS Umum Daerah  Kec.Mandau</x:v>
      </x:c>
      <x:c r="C105" s="7" t="str">
        <x:v>C</x:v>
      </x:c>
      <x:c r="D105" s="7" t="str">
        <x:v>BENGKALIS</x:v>
      </x:c>
      <x:c r="E105" s="8">
        <x:v>63735</x:v>
      </x:c>
      <x:c r="F105" s="9">
        <x:v>40076628980</x:v>
      </x:c>
      <x:c r="G105" s="9">
        <x:v>48336244820.500015</x:v>
      </x:c>
      <x:c r="H105" s="10" t="n">
        <x:f>G105-F105</x:f>
        <x:v>8259615840.500015</x:v>
      </x:c>
    </x:row>
    <x:row r="106">
      <x:c r="A106" s="7" t="str">
        <x:v>1408055</x:v>
      </x:c>
      <x:c r="B106" s="7" t="str">
        <x:v>RS Umum Mutiasari</x:v>
      </x:c>
      <x:c r="C106" s="7" t="str">
        <x:v>D</x:v>
      </x:c>
      <x:c r="D106" s="7" t="str">
        <x:v>BENGKALIS</x:v>
      </x:c>
      <x:c r="E106" s="8">
        <x:v>63403</x:v>
      </x:c>
      <x:c r="F106" s="9">
        <x:v>30589937400</x:v>
      </x:c>
      <x:c r="G106" s="9">
        <x:v>39862027058.83001</x:v>
      </x:c>
      <x:c r="H106" s="10" t="n">
        <x:f>G106-F106</x:f>
        <x:v>9272089658.83001</x:v>
      </x:c>
    </x:row>
    <x:row r="107">
      <x:c r="A107" s="7" t="str">
        <x:v>1408079</x:v>
      </x:c>
      <x:c r="B107" s="7" t="str">
        <x:v>RS Umum  Thursina</x:v>
      </x:c>
      <x:c r="C107" s="7" t="str">
        <x:v>D</x:v>
      </x:c>
      <x:c r="D107" s="7" t="str">
        <x:v>BENGKALIS</x:v>
      </x:c>
      <x:c r="E107" s="8">
        <x:v>15309</x:v>
      </x:c>
      <x:c r="F107" s="9">
        <x:v>12133654000</x:v>
      </x:c>
      <x:c r="G107" s="9">
        <x:v>15578181752.830004</x:v>
      </x:c>
      <x:c r="H107" s="10" t="n">
        <x:f>G107-F107</x:f>
        <x:v>3444527752.8300037</x:v>
      </x:c>
    </x:row>
    <x:row r="108">
      <x:c r="A108" s="7" t="str">
        <x:v>1408080</x:v>
      </x:c>
      <x:c r="B108" s="7" t="str">
        <x:v>RS Umum  Permata Hati</x:v>
      </x:c>
      <x:c r="C108" s="7" t="str">
        <x:v>C</x:v>
      </x:c>
      <x:c r="D108" s="7" t="str">
        <x:v>BENGKALIS</x:v>
      </x:c>
      <x:c r="E108" s="8">
        <x:v>68841</x:v>
      </x:c>
      <x:c r="F108" s="9">
        <x:v>38856405600</x:v>
      </x:c>
      <x:c r="G108" s="9">
        <x:v>43771982220.33998</x:v>
      </x:c>
      <x:c r="H108" s="10" t="n">
        <x:f>G108-F108</x:f>
        <x:v>4915576620.339981</x:v>
      </x:c>
    </x:row>
    <x:row r="109">
      <x:c r="A109" s="7" t="str">
        <x:v>1409013</x:v>
      </x:c>
      <x:c r="B109" s="7" t="str">
        <x:v>RS Umum  Indah</x:v>
      </x:c>
      <x:c r="C109" s="7" t="str">
        <x:v>D</x:v>
      </x:c>
      <x:c r="D109" s="7" t="str">
        <x:v>ROKAN HILIR</x:v>
      </x:c>
      <x:c r="E109" s="8">
        <x:v>1345</x:v>
      </x:c>
      <x:c r="F109" s="9">
        <x:v>2162448300</x:v>
      </x:c>
      <x:c r="G109" s="9">
        <x:v>2872730243.7599993</x:v>
      </x:c>
      <x:c r="H109" s="10" t="n">
        <x:f>G109-F109</x:f>
        <x:v>710281943.7599993</x:v>
      </x:c>
    </x:row>
    <x:row r="110">
      <x:c r="A110" s="7" t="str">
        <x:v>1409014</x:v>
      </x:c>
      <x:c r="B110" s="7" t="str">
        <x:v>RS Umum Cahaya</x:v>
      </x:c>
      <x:c r="C110" s="7" t="str">
        <x:v>D</x:v>
      </x:c>
      <x:c r="D110" s="7" t="str">
        <x:v>ROKAN HILIR</x:v>
      </x:c>
      <x:c r="E110" s="8">
        <x:v>808</x:v>
      </x:c>
      <x:c r="F110" s="9">
        <x:v>1190440900</x:v>
      </x:c>
      <x:c r="G110" s="9">
        <x:v>1688486083.7600005</x:v>
      </x:c>
      <x:c r="H110" s="10" t="n">
        <x:f>G110-F110</x:f>
        <x:v>498045183.76000047</x:v>
      </x:c>
    </x:row>
    <x:row r="111">
      <x:c r="A111" s="7" t="str">
        <x:v>1409022</x:v>
      </x:c>
      <x:c r="B111" s="7" t="str">
        <x:v>RS Umum Daerah  Dr. RM. Pratomo Bagansiapiapi</x:v>
      </x:c>
      <x:c r="C111" s="7" t="str">
        <x:v>C</x:v>
      </x:c>
      <x:c r="D111" s="7" t="str">
        <x:v>ROKAN HILIR</x:v>
      </x:c>
      <x:c r="E111" s="8">
        <x:v>19473</x:v>
      </x:c>
      <x:c r="F111" s="9">
        <x:v>21958459070</x:v>
      </x:c>
      <x:c r="G111" s="9">
        <x:v>27608893485.770008</x:v>
      </x:c>
      <x:c r="H111" s="10" t="n">
        <x:f>G111-F111</x:f>
        <x:v>5650434415.770008</x:v>
      </x:c>
    </x:row>
    <x:row r="112">
      <x:c r="A112" s="7" t="str">
        <x:v>1409033</x:v>
      </x:c>
      <x:c r="B112" s="7" t="str">
        <x:v>RS Umum Awal Bros Bagan Batu</x:v>
      </x:c>
      <x:c r="C112" s="7" t="str">
        <x:v>C</x:v>
      </x:c>
      <x:c r="D112" s="7" t="str">
        <x:v>ROKAN HILIR</x:v>
      </x:c>
      <x:c r="E112" s="8">
        <x:v>38186</x:v>
      </x:c>
      <x:c r="F112" s="9">
        <x:v>50436174400</x:v>
      </x:c>
      <x:c r="G112" s="9">
        <x:v>59709497288.560005</x:v>
      </x:c>
      <x:c r="H112" s="10" t="n">
        <x:f>G112-F112</x:f>
        <x:v>9273322888.560005</x:v>
      </x:c>
    </x:row>
    <x:row r="113">
      <x:c r="A113" s="7" t="str">
        <x:v>1410043</x:v>
      </x:c>
      <x:c r="B113" s="7" t="str">
        <x:v>RS Umum Daerah  Kabupaten Kepulauan Meranti</x:v>
      </x:c>
      <x:c r="C113" s="7" t="str">
        <x:v>C</x:v>
      </x:c>
      <x:c r="D113" s="7" t="str">
        <x:v>KEPULAUAN MERANTI</x:v>
      </x:c>
      <x:c r="E113" s="8">
        <x:v>38556</x:v>
      </x:c>
      <x:c r="F113" s="9">
        <x:v>22844904500</x:v>
      </x:c>
      <x:c r="G113" s="9">
        <x:v>28173581836.89</x:v>
      </x:c>
      <x:c r="H113" s="10" t="n">
        <x:f>G113-F113</x:f>
        <x:v>5328677336.889999</x:v>
      </x:c>
    </x:row>
    <x:row r="114">
      <x:c r="A114" s="7" t="str">
        <x:v>1471011</x:v>
      </x:c>
      <x:c r="B114" s="7" t="str">
        <x:v>RS Umum Daerah  Arifin Achmad</x:v>
      </x:c>
      <x:c r="C114" s="7" t="str">
        <x:v>A</x:v>
      </x:c>
      <x:c r="D114" s="7" t="str">
        <x:v>KOTA PEKANBARU</x:v>
      </x:c>
      <x:c r="E114" s="8">
        <x:v>98707</x:v>
      </x:c>
      <x:c r="F114" s="9">
        <x:v>277026036250</x:v>
      </x:c>
      <x:c r="G114" s="9">
        <x:v>222274618671.1799</x:v>
      </x:c>
      <x:c r="H114" s="10" t="n">
        <x:f>G114-F114</x:f>
        <x:v>-54751417578.8201</x:v>
      </x:c>
    </x:row>
    <x:row r="115">
      <x:c r="A115" s="7" t="str">
        <x:v>1471022</x:v>
      </x:c>
      <x:c r="B115" s="7" t="str">
        <x:v>RS Tk. IV Pekanbaru</x:v>
      </x:c>
      <x:c r="C115" s="7" t="str">
        <x:v>D</x:v>
      </x:c>
      <x:c r="D115" s="7" t="str">
        <x:v>KOTA PEKANBARU</x:v>
      </x:c>
      <x:c r="E115" s="8">
        <x:v>2335</x:v>
      </x:c>
      <x:c r="F115" s="9">
        <x:v>2177576400</x:v>
      </x:c>
      <x:c r="G115" s="9">
        <x:v>2843082390.8100004</x:v>
      </x:c>
      <x:c r="H115" s="10" t="n">
        <x:f>G115-F115</x:f>
        <x:v>665505990.8100004</x:v>
      </x:c>
    </x:row>
    <x:row r="116">
      <x:c r="A116" s="7" t="str">
        <x:v>1471033</x:v>
      </x:c>
      <x:c r="B116" s="7" t="str">
        <x:v>RS Bhayangkara Tk. III Kota Pekanbaru</x:v>
      </x:c>
      <x:c r="C116" s="7" t="str">
        <x:v>C</x:v>
      </x:c>
      <x:c r="D116" s="7" t="str">
        <x:v>KOTA PEKANBARU</x:v>
      </x:c>
      <x:c r="E116" s="8">
        <x:v>12093</x:v>
      </x:c>
      <x:c r="F116" s="9">
        <x:v>8062367100</x:v>
      </x:c>
      <x:c r="G116" s="9">
        <x:v>9952664532.330004</x:v>
      </x:c>
      <x:c r="H116" s="10" t="n">
        <x:f>G116-F116</x:f>
        <x:v>1890297432.3300037</x:v>
      </x:c>
    </x:row>
    <x:row r="117">
      <x:c r="A117" s="7" t="str">
        <x:v>1471055</x:v>
      </x:c>
      <x:c r="B117" s="7" t="str">
        <x:v>RS Santa Maria Pekanbaru</x:v>
      </x:c>
      <x:c r="C117" s="7" t="str">
        <x:v>B</x:v>
      </x:c>
      <x:c r="D117" s="7" t="str">
        <x:v>KOTA PEKANBARU</x:v>
      </x:c>
      <x:c r="E117" s="8">
        <x:v>54599</x:v>
      </x:c>
      <x:c r="F117" s="9">
        <x:v>82297575760</x:v>
      </x:c>
      <x:c r="G117" s="9">
        <x:v>70908907480.89001</x:v>
      </x:c>
      <x:c r="H117" s="10" t="n">
        <x:f>G117-F117</x:f>
        <x:v>-11388668279.109985</x:v>
      </x:c>
    </x:row>
    <x:row r="118">
      <x:c r="A118" s="7" t="str">
        <x:v>1471067</x:v>
      </x:c>
      <x:c r="B118" s="7" t="str">
        <x:v>RS Umum  Eka Hospital Pekanbaru</x:v>
      </x:c>
      <x:c r="C118" s="7" t="str">
        <x:v>B</x:v>
      </x:c>
      <x:c r="D118" s="7" t="str">
        <x:v>KOTA PEKANBARU</x:v>
      </x:c>
      <x:c r="E118" s="8">
        <x:v>51529</x:v>
      </x:c>
      <x:c r="F118" s="9">
        <x:v>71420776150</x:v>
      </x:c>
      <x:c r="G118" s="9">
        <x:v>74767497856.25003</x:v>
      </x:c>
      <x:c r="H118" s="10" t="n">
        <x:f>G118-F118</x:f>
        <x:v>3346721706.2500305</x:v>
      </x:c>
    </x:row>
    <x:row r="119">
      <x:c r="A119" s="7" t="str">
        <x:v>1471079</x:v>
      </x:c>
      <x:c r="B119" s="7" t="str">
        <x:v>RS Umum  Syafira</x:v>
      </x:c>
      <x:c r="C119" s="7" t="str">
        <x:v>C</x:v>
      </x:c>
      <x:c r="D119" s="7" t="str">
        <x:v>KOTA PEKANBARU</x:v>
      </x:c>
      <x:c r="E119" s="8">
        <x:v>143761</x:v>
      </x:c>
      <x:c r="F119" s="9">
        <x:v>84020974450</x:v>
      </x:c>
      <x:c r="G119" s="9">
        <x:v>96633430367.72</x:v>
      </x:c>
      <x:c r="H119" s="10" t="n">
        <x:f>G119-F119</x:f>
        <x:v>12612455917.720001</x:v>
      </x:c>
    </x:row>
    <x:row r="120">
      <x:c r="A120" s="7" t="str">
        <x:v>1471091</x:v>
      </x:c>
      <x:c r="B120" s="7" t="str">
        <x:v>RS Umum Daerah  Petala Bumi</x:v>
      </x:c>
      <x:c r="C120" s="7" t="str">
        <x:v>C</x:v>
      </x:c>
      <x:c r="D120" s="7" t="str">
        <x:v>KOTA PEKANBARU</x:v>
      </x:c>
      <x:c r="E120" s="8">
        <x:v>22220</x:v>
      </x:c>
      <x:c r="F120" s="9">
        <x:v>10399246400</x:v>
      </x:c>
      <x:c r="G120" s="9">
        <x:v>12596075951.939995</x:v>
      </x:c>
      <x:c r="H120" s="10" t="n">
        <x:f>G120-F120</x:f>
        <x:v>2196829551.939995</x:v>
      </x:c>
    </x:row>
    <x:row r="121">
      <x:c r="A121" s="7" t="str">
        <x:v>1471135</x:v>
      </x:c>
      <x:c r="B121" s="7" t="str">
        <x:v>RS Umum  Islam Ibnu Sina</x:v>
      </x:c>
      <x:c r="C121" s="7" t="str">
        <x:v>C</x:v>
      </x:c>
      <x:c r="D121" s="7" t="str">
        <x:v>KOTA PEKANBARU</x:v>
      </x:c>
      <x:c r="E121" s="8">
        <x:v>75746</x:v>
      </x:c>
      <x:c r="F121" s="9">
        <x:v>42017654100</x:v>
      </x:c>
      <x:c r="G121" s="9">
        <x:v>48991480224.719986</x:v>
      </x:c>
      <x:c r="H121" s="10" t="n">
        <x:f>G121-F121</x:f>
        <x:v>6973826124.719986</x:v>
      </x:c>
    </x:row>
    <x:row r="122">
      <x:c r="A122" s="7" t="str">
        <x:v>1471146</x:v>
      </x:c>
      <x:c r="B122" s="7" t="str">
        <x:v>RS Jiwa Tampan</x:v>
      </x:c>
      <x:c r="C122" s="7" t="str">
        <x:v>A</x:v>
      </x:c>
      <x:c r="D122" s="7" t="str">
        <x:v>KOTA PEKANBARU</x:v>
      </x:c>
      <x:c r="E122" s="8">
        <x:v>8170</x:v>
      </x:c>
      <x:c r="F122" s="9">
        <x:v>9607452100</x:v>
      </x:c>
      <x:c r="G122" s="9">
        <x:v>11971759086.100002</x:v>
      </x:c>
      <x:c r="H122" s="10" t="n">
        <x:f>G122-F122</x:f>
        <x:v>2364306986.1000023</x:v>
      </x:c>
    </x:row>
    <x:row r="123">
      <x:c r="A123" s="7" t="str">
        <x:v>1471150</x:v>
      </x:c>
      <x:c r="B123" s="7" t="str">
        <x:v>RS Prof. Dr. Tabrani</x:v>
      </x:c>
      <x:c r="C123" s="7" t="str">
        <x:v>C</x:v>
      </x:c>
      <x:c r="D123" s="7" t="str">
        <x:v>KOTA PEKANBARU</x:v>
      </x:c>
      <x:c r="E123" s="8">
        <x:v>39219</x:v>
      </x:c>
      <x:c r="F123" s="9">
        <x:v>29641234300</x:v>
      </x:c>
      <x:c r="G123" s="9">
        <x:v>33712817624.029987</x:v>
      </x:c>
      <x:c r="H123" s="10" t="n">
        <x:f>G123-F123</x:f>
        <x:v>4071583324.0299873</x:v>
      </x:c>
    </x:row>
    <x:row r="124">
      <x:c r="A124" s="7" t="str">
        <x:v>1471161</x:v>
      </x:c>
      <x:c r="B124" s="7" t="str">
        <x:v>RS Umum  Bina Kasih</x:v>
      </x:c>
      <x:c r="C124" s="7" t="str">
        <x:v>D</x:v>
      </x:c>
      <x:c r="D124" s="7" t="str">
        <x:v>KOTA PEKANBARU</x:v>
      </x:c>
      <x:c r="E124" s="8">
        <x:v>11323</x:v>
      </x:c>
      <x:c r="F124" s="9">
        <x:v>8093425600</x:v>
      </x:c>
      <x:c r="G124" s="9">
        <x:v>9681456283.94</x:v>
      </x:c>
      <x:c r="H124" s="10" t="n">
        <x:f>G124-F124</x:f>
        <x:v>1588030683.9400005</x:v>
      </x:c>
    </x:row>
    <x:row r="125">
      <x:c r="A125" s="7" t="str">
        <x:v>1471215</x:v>
      </x:c>
      <x:c r="B125" s="7" t="str">
        <x:v>RS Angkatan Udara dr. Sukirman Lanud Roesmin Nurjadin</x:v>
      </x:c>
      <x:c r="C125" s="7" t="str">
        <x:v>D</x:v>
      </x:c>
      <x:c r="D125" s="7" t="str">
        <x:v>KOTA PEKANBARU</x:v>
      </x:c>
      <x:c r="E125" s="8">
        <x:v>1787</x:v>
      </x:c>
      <x:c r="F125" s="9">
        <x:v>1155901600</x:v>
      </x:c>
      <x:c r="G125" s="9">
        <x:v>1572330593.27</x:v>
      </x:c>
      <x:c r="H125" s="10" t="n">
        <x:f>G125-F125</x:f>
        <x:v>416428993.27</x:v>
      </x:c>
    </x:row>
    <x:row r="126">
      <x:c r="A126" s="7" t="str">
        <x:v>1471226</x:v>
      </x:c>
      <x:c r="B126" s="7" t="str">
        <x:v>RS Umum  Awal Bros Pekanbaru</x:v>
      </x:c>
      <x:c r="C126" s="7" t="str">
        <x:v>A</x:v>
      </x:c>
      <x:c r="D126" s="7" t="str">
        <x:v>KOTA PEKANBARU</x:v>
      </x:c>
      <x:c r="E126" s="8">
        <x:v>184979</x:v>
      </x:c>
      <x:c r="F126" s="9">
        <x:v>402042812100</x:v>
      </x:c>
      <x:c r="G126" s="9">
        <x:v>303938930242.96</x:v>
      </x:c>
      <x:c r="H126" s="10" t="n">
        <x:f>G126-F126</x:f>
        <x:v>-98103881857.03998</x:v>
      </x:c>
    </x:row>
    <x:row r="127">
      <x:c r="A127" s="7" t="str">
        <x:v>1471237</x:v>
      </x:c>
      <x:c r="B127" s="7" t="str">
        <x:v>RS Murni Teguh Eria</x:v>
      </x:c>
      <x:c r="C127" s="7" t="str">
        <x:v>C</x:v>
      </x:c>
      <x:c r="D127" s="7" t="str">
        <x:v>KOTA PEKANBARU</x:v>
      </x:c>
      <x:c r="E127" s="8">
        <x:v>23338</x:v>
      </x:c>
      <x:c r="F127" s="9">
        <x:v>34468954500</x:v>
      </x:c>
      <x:c r="G127" s="9">
        <x:v>40990648529.65002</x:v>
      </x:c>
      <x:c r="H127" s="10" t="n">
        <x:f>G127-F127</x:f>
        <x:v>6521694029.650017</x:v>
      </x:c>
    </x:row>
    <x:row r="128">
      <x:c r="A128" s="7" t="str">
        <x:v>1471371</x:v>
      </x:c>
      <x:c r="B128" s="7" t="str">
        <x:v>RS Umum  Lancang Kuning</x:v>
      </x:c>
      <x:c r="C128" s="7" t="str">
        <x:v>C</x:v>
      </x:c>
      <x:c r="D128" s="7" t="str">
        <x:v>KOTA PEKANBARU</x:v>
      </x:c>
      <x:c r="E128" s="8">
        <x:v>811</x:v>
      </x:c>
      <x:c r="F128" s="9">
        <x:v>578726400</x:v>
      </x:c>
      <x:c r="G128" s="9">
        <x:v>760507553.2300001</x:v>
      </x:c>
      <x:c r="H128" s="10" t="n">
        <x:f>G128-F128</x:f>
        <x:v>181781153.23000014</x:v>
      </x:c>
    </x:row>
    <x:row r="129">
      <x:c r="A129" s="7" t="str">
        <x:v>1471382</x:v>
      </x:c>
      <x:c r="B129" s="7" t="str">
        <x:v>RS Umum  Pekanbaru Medical Center</x:v>
      </x:c>
      <x:c r="C129" s="7" t="str">
        <x:v>C</x:v>
      </x:c>
      <x:c r="D129" s="7" t="str">
        <x:v>KOTA PEKANBARU</x:v>
      </x:c>
      <x:c r="E129" s="8">
        <x:v>30258</x:v>
      </x:c>
      <x:c r="F129" s="9">
        <x:v>26781079300</x:v>
      </x:c>
      <x:c r="G129" s="9">
        <x:v>30821636506.619976</x:v>
      </x:c>
      <x:c r="H129" s="10" t="n">
        <x:f>G129-F129</x:f>
        <x:v>4040557206.619976</x:v>
      </x:c>
    </x:row>
    <x:row r="130">
      <x:c r="A130" s="7" t="str">
        <x:v>1471384</x:v>
      </x:c>
      <x:c r="B130" s="7" t="str">
        <x:v>RS Awal Bros A. Yani</x:v>
      </x:c>
      <x:c r="C130" s="7" t="str">
        <x:v>C</x:v>
      </x:c>
      <x:c r="D130" s="7" t="str">
        <x:v>KOTA PEKANBARU</x:v>
      </x:c>
      <x:c r="E130" s="8">
        <x:v>200516</x:v>
      </x:c>
      <x:c r="F130" s="9">
        <x:v>133183166750</x:v>
      </x:c>
      <x:c r="G130" s="9">
        <x:v>142894262246.53998</x:v>
      </x:c>
      <x:c r="H130" s="10" t="n">
        <x:f>G130-F130</x:f>
        <x:v>9711095496.539978</x:v>
      </x:c>
    </x:row>
    <x:row r="131">
      <x:c r="A131" s="7" t="str">
        <x:v>1471386</x:v>
      </x:c>
      <x:c r="B131" s="7" t="str">
        <x:v>RS Ibu dan Anak Annisa</x:v>
      </x:c>
      <x:c r="C131" s="7" t="str">
        <x:v>C</x:v>
      </x:c>
      <x:c r="D131" s="7" t="str">
        <x:v>KOTA PEKANBARU</x:v>
      </x:c>
      <x:c r="E131" s="8">
        <x:v>12612</x:v>
      </x:c>
      <x:c r="F131" s="9">
        <x:v>15397291600</x:v>
      </x:c>
      <x:c r="G131" s="9">
        <x:v>17300103837.33</x:v>
      </x:c>
      <x:c r="H131" s="10" t="n">
        <x:f>G131-F131</x:f>
        <x:v>1902812237.3300018</x:v>
      </x:c>
    </x:row>
    <x:row r="132">
      <x:c r="A132" s="7" t="str">
        <x:v>1471387</x:v>
      </x:c>
      <x:c r="B132" s="7" t="str">
        <x:v>RS Ibu dan Anak  Zainab</x:v>
      </x:c>
      <x:c r="C132" s="7" t="str">
        <x:v>C</x:v>
      </x:c>
      <x:c r="D132" s="7" t="str">
        <x:v>KOTA PEKANBARU</x:v>
      </x:c>
      <x:c r="E132" s="8">
        <x:v>43237</x:v>
      </x:c>
      <x:c r="F132" s="9">
        <x:v>30268660900</x:v>
      </x:c>
      <x:c r="G132" s="9">
        <x:v>35347614223.25001</x:v>
      </x:c>
      <x:c r="H132" s="10" t="n">
        <x:f>G132-F132</x:f>
        <x:v>5078953323.250008</x:v>
      </x:c>
    </x:row>
    <x:row r="133">
      <x:c r="A133" s="7" t="str">
        <x:v>1471390</x:v>
      </x:c>
      <x:c r="B133" s="7" t="str">
        <x:v>RS Umum  Awal Bros Panam</x:v>
      </x:c>
      <x:c r="C133" s="7" t="str">
        <x:v>B</x:v>
      </x:c>
      <x:c r="D133" s="7" t="str">
        <x:v>KOTA PEKANBARU</x:v>
      </x:c>
      <x:c r="E133" s="8">
        <x:v>183213</x:v>
      </x:c>
      <x:c r="F133" s="9">
        <x:v>186976038500</x:v>
      </x:c>
      <x:c r="G133" s="9">
        <x:v>181121172061.25</x:v>
      </x:c>
      <x:c r="H133" s="10" t="n">
        <x:f>G133-F133</x:f>
        <x:v>-5854866438.75</x:v>
      </x:c>
    </x:row>
    <x:row r="134">
      <x:c r="A134" s="7" t="str">
        <x:v>1471391</x:v>
      </x:c>
      <x:c r="B134" s="7" t="str">
        <x:v>RS Khusus Mata Pekanbaru Eye Center</x:v>
      </x:c>
      <x:c r="C134" s="7" t="str">
        <x:v>C</x:v>
      </x:c>
      <x:c r="D134" s="7" t="str">
        <x:v>KOTA PEKANBARU</x:v>
      </x:c>
      <x:c r="E134" s="8">
        <x:v>18647</x:v>
      </x:c>
      <x:c r="F134" s="9">
        <x:v>12905445500</x:v>
      </x:c>
      <x:c r="G134" s="9">
        <x:v>13303897808.749996</x:v>
      </x:c>
      <x:c r="H134" s="10" t="n">
        <x:f>G134-F134</x:f>
        <x:v>398452308.7499962</x:v>
      </x:c>
    </x:row>
    <x:row r="135">
      <x:c r="A135" s="7" t="str">
        <x:v>1471392</x:v>
      </x:c>
      <x:c r="B135" s="7" t="str">
        <x:v>RS Umum  Universitas Riau</x:v>
      </x:c>
      <x:c r="C135" s="7" t="str">
        <x:v>D</x:v>
      </x:c>
      <x:c r="D135" s="7" t="str">
        <x:v>KOTA PEKANBARU</x:v>
      </x:c>
      <x:c r="E135" s="8">
        <x:v>2403</x:v>
      </x:c>
      <x:c r="F135" s="9">
        <x:v>1815636500</x:v>
      </x:c>
      <x:c r="G135" s="9">
        <x:v>2529471319.870001</x:v>
      </x:c>
      <x:c r="H135" s="10" t="n">
        <x:f>G135-F135</x:f>
        <x:v>713834819.8700008</x:v>
      </x:c>
    </x:row>
    <x:row r="136">
      <x:c r="A136" s="7" t="str">
        <x:v>1471395</x:v>
      </x:c>
      <x:c r="B136" s="7" t="str">
        <x:v>RS Ibu Anak  Budhi Mulia</x:v>
      </x:c>
      <x:c r="C136" s="7" t="str">
        <x:v>C</x:v>
      </x:c>
      <x:c r="D136" s="7" t="str">
        <x:v>KOTA PEKANBARU</x:v>
      </x:c>
      <x:c r="E136" s="8">
        <x:v>11513</x:v>
      </x:c>
      <x:c r="F136" s="9">
        <x:v>18593880600</x:v>
      </x:c>
      <x:c r="G136" s="9">
        <x:v>20122051103.4</x:v>
      </x:c>
      <x:c r="H136" s="10" t="n">
        <x:f>G136-F136</x:f>
        <x:v>1528170503.4000015</x:v>
      </x:c>
    </x:row>
    <x:row r="137">
      <x:c r="A137" s="7" t="str">
        <x:v>1471396</x:v>
      </x:c>
      <x:c r="B137" s="7" t="str">
        <x:v>Aulia Hospital</x:v>
      </x:c>
      <x:c r="C137" s="7" t="str">
        <x:v>C</x:v>
      </x:c>
      <x:c r="D137" s="7" t="str">
        <x:v>KOTA PEKANBARU</x:v>
      </x:c>
      <x:c r="E137" s="8">
        <x:v>106077</x:v>
      </x:c>
      <x:c r="F137" s="9">
        <x:v>86166004750</x:v>
      </x:c>
      <x:c r="G137" s="9">
        <x:v>97888708165.38998</x:v>
      </x:c>
      <x:c r="H137" s="10" t="n">
        <x:f>G137-F137</x:f>
        <x:v>11722703415.389984</x:v>
      </x:c>
    </x:row>
    <x:row r="138">
      <x:c r="A138" s="7" t="str">
        <x:v>1471397</x:v>
      </x:c>
      <x:c r="B138" s="7" t="str">
        <x:v>RS Umum  Prima Pekanbaru</x:v>
      </x:c>
      <x:c r="C138" s="7" t="str">
        <x:v>C</x:v>
      </x:c>
      <x:c r="D138" s="7" t="str">
        <x:v>KOTA PEKANBARU</x:v>
      </x:c>
      <x:c r="E138" s="8">
        <x:v>137437</x:v>
      </x:c>
      <x:c r="F138" s="9">
        <x:v>101388112750</x:v>
      </x:c>
      <x:c r="G138" s="9">
        <x:v>140719890837.49997</x:v>
      </x:c>
      <x:c r="H138" s="10" t="n">
        <x:f>G138-F138</x:f>
        <x:v>39331778087.49997</x:v>
      </x:c>
    </x:row>
    <x:row r="139">
      <x:c r="A139" s="7" t="str">
        <x:v>1471398</x:v>
      </x:c>
      <x:c r="B139" s="7" t="str">
        <x:v>RS Daerah Madani Kota Pekanbaru</x:v>
      </x:c>
      <x:c r="C139" s="7" t="str">
        <x:v>C</x:v>
      </x:c>
      <x:c r="D139" s="7" t="str">
        <x:v>KOTA PEKANBARU</x:v>
      </x:c>
      <x:c r="E139" s="8">
        <x:v>7693</x:v>
      </x:c>
      <x:c r="F139" s="9">
        <x:v>5542333900</x:v>
      </x:c>
      <x:c r="G139" s="9">
        <x:v>6974853453.109999</x:v>
      </x:c>
      <x:c r="H139" s="10" t="n">
        <x:f>G139-F139</x:f>
        <x:v>1432519553.1099987</x:v>
      </x:c>
    </x:row>
    <x:row r="140">
      <x:c r="A140" s="7" t="str">
        <x:v>1471399</x:v>
      </x:c>
      <x:c r="B140" s="7" t="str">
        <x:v>RS Hermina Pekanbaru</x:v>
      </x:c>
      <x:c r="C140" s="7" t="str">
        <x:v>C</x:v>
      </x:c>
      <x:c r="D140" s="7" t="str">
        <x:v>KOTA PEKANBARU</x:v>
      </x:c>
      <x:c r="E140" s="8">
        <x:v>29438</x:v>
      </x:c>
      <x:c r="F140" s="9">
        <x:v>37026084600</x:v>
      </x:c>
      <x:c r="G140" s="9">
        <x:v>45649647532.509995</x:v>
      </x:c>
      <x:c r="H140" s="10" t="n">
        <x:f>G140-F140</x:f>
        <x:v>8623562932.509995</x:v>
      </x:c>
    </x:row>
    <x:row r="141">
      <x:c r="A141" s="7" t="str">
        <x:v>1472080</x:v>
      </x:c>
      <x:c r="B141" s="7" t="str">
        <x:v>RS Awal Bros Dumai</x:v>
      </x:c>
      <x:c r="C141" s="7" t="str">
        <x:v>C</x:v>
      </x:c>
      <x:c r="D141" s="7" t="str">
        <x:v>KOTA DUMAI</x:v>
      </x:c>
      <x:c r="E141" s="8">
        <x:v>76338</x:v>
      </x:c>
      <x:c r="F141" s="9">
        <x:v>68856532600</x:v>
      </x:c>
      <x:c r="G141" s="9">
        <x:v>84641404949.31003</x:v>
      </x:c>
      <x:c r="H141" s="10" t="n">
        <x:f>G141-F141</x:f>
        <x:v>15784872349.310028</x:v>
      </x:c>
    </x:row>
    <x:row r="142">
      <x:c r="A142" s="7" t="str">
        <x:v>1473013</x:v>
      </x:c>
      <x:c r="B142" s="7" t="str">
        <x:v>RS Umum Daerah  Kota Dumai</x:v>
      </x:c>
      <x:c r="C142" s="7" t="str">
        <x:v>B</x:v>
      </x:c>
      <x:c r="D142" s="7" t="str">
        <x:v>KOTA DUMAI</x:v>
      </x:c>
      <x:c r="E142" s="8">
        <x:v>63910</x:v>
      </x:c>
      <x:c r="F142" s="9">
        <x:v>65905296900</x:v>
      </x:c>
      <x:c r="G142" s="9">
        <x:v>71437042019.48001</x:v>
      </x:c>
      <x:c r="H142" s="10" t="n">
        <x:f>G142-F142</x:f>
        <x:v>5531745119.480011</x:v>
      </x:c>
    </x:row>
    <x:row r="143">
      <x:c r="A143" s="7" t="str">
        <x:v>1473024</x:v>
      </x:c>
      <x:c r="B143" s="7" t="str">
        <x:v>RS Pertamina Dumai</x:v>
      </x:c>
      <x:c r="C143" s="7" t="str">
        <x:v>D</x:v>
      </x:c>
      <x:c r="D143" s="7" t="str">
        <x:v>KOTA DUMAI</x:v>
      </x:c>
      <x:c r="E143" s="8">
        <x:v>10798</x:v>
      </x:c>
      <x:c r="F143" s="9">
        <x:v>9068894200</x:v>
      </x:c>
      <x:c r="G143" s="9">
        <x:v>11399517008.229998</x:v>
      </x:c>
      <x:c r="H143" s="10" t="n">
        <x:f>G143-F143</x:f>
        <x:v>2330622808.2299976</x:v>
      </x:c>
    </x:row>
    <x:row r="144">
      <x:c r="A144" s="7" t="str">
        <x:v>1473079</x:v>
      </x:c>
      <x:c r="B144" s="7" t="str">
        <x:v>RS Awal Bros Yasmine</x:v>
      </x:c>
      <x:c r="C144" s="7" t="str">
        <x:v>D</x:v>
      </x:c>
      <x:c r="D144" s="7" t="str">
        <x:v>KOTA DUMAI</x:v>
      </x:c>
      <x:c r="E144" s="8">
        <x:v>3367</x:v>
      </x:c>
      <x:c r="F144" s="9">
        <x:v>5463454800</x:v>
      </x:c>
      <x:c r="G144" s="9">
        <x:v>6760146730.369996</x:v>
      </x:c>
      <x:c r="H144" s="10" t="n">
        <x:f>G144-F144</x:f>
        <x:v>1296691930.369996</x:v>
      </x:c>
    </x:row>
    <x:row r="145">
      <x:c r="A145" s="7" t="str">
        <x:v>1473081</x:v>
      </x:c>
      <x:c r="B145" s="7" t="str">
        <x:v>Naray Hospital</x:v>
      </x:c>
      <x:c r="C145" s="7" t="str">
        <x:v>C</x:v>
      </x:c>
      <x:c r="D145" s="7" t="str">
        <x:v>KOTA DUMAI</x:v>
      </x:c>
      <x:c r="E145" s="8">
        <x:v>7890</x:v>
      </x:c>
      <x:c r="F145" s="9">
        <x:v>9287285400</x:v>
      </x:c>
      <x:c r="G145" s="9">
        <x:v>11043413799.689997</x:v>
      </x:c>
      <x:c r="H145" s="10" t="n">
        <x:f>G145-F145</x:f>
        <x:v>1756128399.6899967</x:v>
      </x:c>
    </x:row>
    <x:row r="146">
      <x:c r="A146" s="7" t="str">
        <x:v>1501012</x:v>
      </x:c>
      <x:c r="B146" s="7" t="str">
        <x:v>RS Umum Daerah Mayjen H. A. Thalib</x:v>
      </x:c>
      <x:c r="C146" s="7" t="str">
        <x:v>C</x:v>
      </x:c>
      <x:c r="D146" s="7" t="str">
        <x:v>KERINCI</x:v>
      </x:c>
      <x:c r="E146" s="8">
        <x:v>28238</x:v>
      </x:c>
      <x:c r="F146" s="9">
        <x:v>18504105400</x:v>
      </x:c>
      <x:c r="G146" s="9">
        <x:v>24961461153.920006</x:v>
      </x:c>
      <x:c r="H146" s="10" t="n">
        <x:f>G146-F146</x:f>
        <x:v>6457355753.920006</x:v>
      </x:c>
    </x:row>
    <x:row r="147">
      <x:c r="A147" s="7" t="str">
        <x:v>1502014</x:v>
      </x:c>
      <x:c r="B147" s="7" t="str">
        <x:v>RS Umum Daerah Kolonel Abundjani/Bangko</x:v>
      </x:c>
      <x:c r="C147" s="7" t="str">
        <x:v>C</x:v>
      </x:c>
      <x:c r="D147" s="7" t="str">
        <x:v>MERANGIN</x:v>
      </x:c>
      <x:c r="E147" s="8">
        <x:v>27493</x:v>
      </x:c>
      <x:c r="F147" s="9">
        <x:v>25121834380</x:v>
      </x:c>
      <x:c r="G147" s="9">
        <x:v>31729183380.58</x:v>
      </x:c>
      <x:c r="H147" s="10" t="n">
        <x:f>G147-F147</x:f>
        <x:v>6607349000.580002</x:v>
      </x:c>
    </x:row>
    <x:row r="148">
      <x:c r="A148" s="7" t="str">
        <x:v>1502015</x:v>
      </x:c>
      <x:c r="B148" s="7" t="str">
        <x:v>RS Raudhah</x:v>
      </x:c>
      <x:c r="C148" s="7" t="str">
        <x:v>C</x:v>
      </x:c>
      <x:c r="D148" s="7" t="str">
        <x:v>MERANGIN</x:v>
      </x:c>
      <x:c r="E148" s="8">
        <x:v>11951</x:v>
      </x:c>
      <x:c r="F148" s="9">
        <x:v>17028827200</x:v>
      </x:c>
      <x:c r="G148" s="9">
        <x:v>20429802385.080006</x:v>
      </x:c>
      <x:c r="H148" s="10" t="n">
        <x:f>G148-F148</x:f>
        <x:v>3400975185.0800056</x:v>
      </x:c>
    </x:row>
    <x:row r="149">
      <x:c r="A149" s="7" t="str">
        <x:v>1502018</x:v>
      </x:c>
      <x:c r="B149" s="7" t="str">
        <x:v>RS Andimas</x:v>
      </x:c>
      <x:c r="C149" s="7" t="str">
        <x:v>D</x:v>
      </x:c>
      <x:c r="D149" s="7" t="str">
        <x:v>MERANGIN</x:v>
      </x:c>
      <x:c r="E149" s="8">
        <x:v>1360</x:v>
      </x:c>
      <x:c r="F149" s="9">
        <x:v>2817113900</x:v>
      </x:c>
      <x:c r="G149" s="9">
        <x:v>3602314956.9199996</x:v>
      </x:c>
      <x:c r="H149" s="10" t="n">
        <x:f>G149-F149</x:f>
        <x:v>785201056.9199996</x:v>
      </x:c>
    </x:row>
    <x:row r="150">
      <x:c r="A150" s="7" t="str">
        <x:v>1502019</x:v>
      </x:c>
      <x:c r="B150" s="7" t="str">
        <x:v>RS Merangin Medical Centre</x:v>
      </x:c>
      <x:c r="C150" s="7" t="str">
        <x:v>D</x:v>
      </x:c>
      <x:c r="D150" s="7" t="str">
        <x:v>MERANGIN</x:v>
      </x:c>
      <x:c r="E150" s="8">
        <x:v>10398</x:v>
      </x:c>
      <x:c r="F150" s="9">
        <x:v>13066416200</x:v>
      </x:c>
      <x:c r="G150" s="9">
        <x:v>17546765024.639996</x:v>
      </x:c>
      <x:c r="H150" s="10" t="n">
        <x:f>G150-F150</x:f>
        <x:v>4480348824.639996</x:v>
      </x:c>
    </x:row>
    <x:row r="151">
      <x:c r="A151" s="7" t="str">
        <x:v>1503036</x:v>
      </x:c>
      <x:c r="B151" s="7" t="str">
        <x:v>RS Umum Daerah Prof. Dr. H.  Chatib Quzwain</x:v>
      </x:c>
      <x:c r="C151" s="7" t="str">
        <x:v>C</x:v>
      </x:c>
      <x:c r="D151" s="7" t="str">
        <x:v>SAROLANGUN</x:v>
      </x:c>
      <x:c r="E151" s="8">
        <x:v>18657</x:v>
      </x:c>
      <x:c r="F151" s="9">
        <x:v>17295112500</x:v>
      </x:c>
      <x:c r="G151" s="9">
        <x:v>23372372639.949997</x:v>
      </x:c>
      <x:c r="H151" s="10" t="n">
        <x:f>G151-F151</x:f>
        <x:v>6077260139.949997</x:v>
      </x:c>
    </x:row>
    <x:row r="152">
      <x:c r="A152" s="7" t="str">
        <x:v>1503039</x:v>
      </x:c>
      <x:c r="B152" s="7" t="str">
        <x:v>RS Langit Golden Medika</x:v>
      </x:c>
      <x:c r="C152" s="7" t="str">
        <x:v>C</x:v>
      </x:c>
      <x:c r="D152" s="7" t="str">
        <x:v>SAROLANGUN</x:v>
      </x:c>
      <x:c r="E152" s="8">
        <x:v>17472</x:v>
      </x:c>
      <x:c r="F152" s="9">
        <x:v>18746768000</x:v>
      </x:c>
      <x:c r="G152" s="9">
        <x:v>23011215552.55</x:v>
      </x:c>
      <x:c r="H152" s="10" t="n">
        <x:f>G152-F152</x:f>
        <x:v>4264447552.549999</x:v>
      </x:c>
    </x:row>
    <x:row r="153">
      <x:c r="A153" s="7" t="str">
        <x:v>1504015</x:v>
      </x:c>
      <x:c r="B153" s="7" t="str">
        <x:v>RS Umum Daerah Haji Abdoel Madjid Batoe</x:v>
      </x:c>
      <x:c r="C153" s="7" t="str">
        <x:v>C</x:v>
      </x:c>
      <x:c r="D153" s="7" t="str">
        <x:v>BATANG HARI</x:v>
      </x:c>
      <x:c r="E153" s="8">
        <x:v>35056</x:v>
      </x:c>
      <x:c r="F153" s="9">
        <x:v>30419147880</x:v>
      </x:c>
      <x:c r="G153" s="9">
        <x:v>39522742880.87999</x:v>
      </x:c>
      <x:c r="H153" s="10" t="n">
        <x:f>G153-F153</x:f>
        <x:v>9103595000.87999</x:v>
      </x:c>
    </x:row>
    <x:row r="154">
      <x:c r="A154" s="7" t="str">
        <x:v>1504017</x:v>
      </x:c>
      <x:c r="B154" s="7" t="str">
        <x:v>RS Royal Prima</x:v>
      </x:c>
      <x:c r="C154" s="7" t="str">
        <x:v>C</x:v>
      </x:c>
      <x:c r="D154" s="7" t="str">
        <x:v>BATANG HARI</x:v>
      </x:c>
      <x:c r="E154" s="8">
        <x:v>21851</x:v>
      </x:c>
      <x:c r="F154" s="9">
        <x:v>16216214000</x:v>
      </x:c>
      <x:c r="G154" s="9">
        <x:v>20626681476.579998</x:v>
      </x:c>
      <x:c r="H154" s="10" t="n">
        <x:f>G154-F154</x:f>
        <x:v>4410467476.579998</x:v>
      </x:c>
    </x:row>
    <x:row r="155">
      <x:c r="A155" s="7" t="str">
        <x:v>1504018</x:v>
      </x:c>
      <x:c r="B155" s="7" t="str">
        <x:v>RS Mitra Medika Batang Hari</x:v>
      </x:c>
      <x:c r="C155" s="7" t="str">
        <x:v>C</x:v>
      </x:c>
      <x:c r="D155" s="7" t="str">
        <x:v>BATANG HARI</x:v>
      </x:c>
      <x:c r="E155" s="8">
        <x:v>11663</x:v>
      </x:c>
      <x:c r="F155" s="9">
        <x:v>16308112700</x:v>
      </x:c>
      <x:c r="G155" s="9">
        <x:v>19908463378.589993</x:v>
      </x:c>
      <x:c r="H155" s="10" t="n">
        <x:f>G155-F155</x:f>
        <x:v>3600350678.5899925</x:v>
      </x:c>
    </x:row>
    <x:row r="156">
      <x:c r="A156" s="7" t="str">
        <x:v>1505016</x:v>
      </x:c>
      <x:c r="B156" s="7" t="str">
        <x:v>RS Umum Daerah Ahmad Ripin</x:v>
      </x:c>
      <x:c r="C156" s="7" t="str">
        <x:v>C</x:v>
      </x:c>
      <x:c r="D156" s="7" t="str">
        <x:v>MUARO JAMBI</x:v>
      </x:c>
      <x:c r="E156" s="8">
        <x:v>4753</x:v>
      </x:c>
      <x:c r="F156" s="9">
        <x:v>2916337800</x:v>
      </x:c>
      <x:c r="G156" s="9">
        <x:v>3670946503.830001</x:v>
      </x:c>
      <x:c r="H156" s="10" t="n">
        <x:f>G156-F156</x:f>
        <x:v>754608703.8300009</x:v>
      </x:c>
    </x:row>
    <x:row r="157">
      <x:c r="A157" s="7" t="str">
        <x:v>1505027</x:v>
      </x:c>
      <x:c r="B157" s="7" t="str">
        <x:v>RS Umum Daerah Sungai Bahar</x:v>
      </x:c>
      <x:c r="C157" s="7" t="str">
        <x:v>D</x:v>
      </x:c>
      <x:c r="D157" s="7" t="str">
        <x:v>MUARO JAMBI</x:v>
      </x:c>
      <x:c r="E157" s="8">
        <x:v>3877</x:v>
      </x:c>
      <x:c r="F157" s="9">
        <x:v>3451400600</x:v>
      </x:c>
      <x:c r="G157" s="9">
        <x:v>4922549984.6</x:v>
      </x:c>
      <x:c r="H157" s="10" t="n">
        <x:f>G157-F157</x:f>
        <x:v>1471149384.6000004</x:v>
      </x:c>
    </x:row>
    <x:row r="158">
      <x:c r="A158" s="7" t="str">
        <x:v>1505028</x:v>
      </x:c>
      <x:c r="B158" s="7" t="str">
        <x:v>RS Umum Daerah Sungai Gelam</x:v>
      </x:c>
      <x:c r="C158" s="7" t="str">
        <x:v>D</x:v>
      </x:c>
      <x:c r="D158" s="7" t="str">
        <x:v>MUARO JAMBI</x:v>
      </x:c>
      <x:c r="E158" s="8">
        <x:v>951</x:v>
      </x:c>
      <x:c r="F158" s="9">
        <x:v>873174200</x:v>
      </x:c>
      <x:c r="G158" s="9">
        <x:v>1280881179.4800003</x:v>
      </x:c>
      <x:c r="H158" s="10" t="n">
        <x:f>G158-F158</x:f>
        <x:v>407706979.48000026</x:v>
      </x:c>
    </x:row>
    <x:row r="159">
      <x:c r="A159" s="7" t="str">
        <x:v>1506011</x:v>
      </x:c>
      <x:c r="B159" s="7" t="str">
        <x:v>RS Umum Daerah Nurdin Hamzah</x:v>
      </x:c>
      <x:c r="C159" s="7" t="str">
        <x:v>C</x:v>
      </x:c>
      <x:c r="D159" s="7" t="str">
        <x:v>TANJUNG JABUNG TIMUR</x:v>
      </x:c>
      <x:c r="E159" s="8">
        <x:v>12111</x:v>
      </x:c>
      <x:c r="F159" s="9">
        <x:v>9454322100</x:v>
      </x:c>
      <x:c r="G159" s="9">
        <x:v>11943424013.940002</x:v>
      </x:c>
      <x:c r="H159" s="10" t="n">
        <x:f>G159-F159</x:f>
        <x:v>2489101913.9400024</x:v>
      </x:c>
    </x:row>
    <x:row r="160">
      <x:c r="A160" s="7" t="str">
        <x:v>1507010</x:v>
      </x:c>
      <x:c r="B160" s="7" t="str">
        <x:v>RS Umum Daerah KH. Daud Arif</x:v>
      </x:c>
      <x:c r="C160" s="7" t="str">
        <x:v>C</x:v>
      </x:c>
      <x:c r="D160" s="7" t="str">
        <x:v>TANJUNG JABUNG BARAT</x:v>
      </x:c>
      <x:c r="E160" s="8">
        <x:v>32902</x:v>
      </x:c>
      <x:c r="F160" s="9">
        <x:v>23830477100</x:v>
      </x:c>
      <x:c r="G160" s="9">
        <x:v>30869421272.2</x:v>
      </x:c>
      <x:c r="H160" s="10" t="n">
        <x:f>G160-F160</x:f>
        <x:v>7038944172.200001</x:v>
      </x:c>
    </x:row>
    <x:row r="161">
      <x:c r="A161" s="7" t="str">
        <x:v>1507013</x:v>
      </x:c>
      <x:c r="B161" s="7" t="str">
        <x:v>RS Umum Daerah Suryah Khairuddin</x:v>
      </x:c>
      <x:c r="C161" s="7" t="str">
        <x:v>D</x:v>
      </x:c>
      <x:c r="D161" s="7" t="str">
        <x:v>TANJUNG JABUNG BARAT</x:v>
      </x:c>
      <x:c r="E161" s="8">
        <x:v>3697</x:v>
      </x:c>
      <x:c r="F161" s="9">
        <x:v>2212408100</x:v>
      </x:c>
      <x:c r="G161" s="9">
        <x:v>3090287257.67</x:v>
      </x:c>
      <x:c r="H161" s="10" t="n">
        <x:f>G161-F161</x:f>
        <x:v>877879157.6700001</x:v>
      </x:c>
    </x:row>
    <x:row r="162">
      <x:c r="A162" s="7" t="str">
        <x:v>1508002</x:v>
      </x:c>
      <x:c r="B162" s="7" t="str">
        <x:v>RS Umum Setia Budi</x:v>
      </x:c>
      <x:c r="C162" s="7" t="str">
        <x:v>D</x:v>
      </x:c>
      <x:c r="D162" s="7" t="str">
        <x:v>TEBO</x:v>
      </x:c>
      <x:c r="E162" s="8">
        <x:v>5408</x:v>
      </x:c>
      <x:c r="F162" s="9">
        <x:v>4213259600</x:v>
      </x:c>
      <x:c r="G162" s="9">
        <x:v>5403910929.460002</x:v>
      </x:c>
      <x:c r="H162" s="10" t="n">
        <x:f>G162-F162</x:f>
        <x:v>1190651329.460002</x:v>
      </x:c>
    </x:row>
    <x:row r="163">
      <x:c r="A163" s="7" t="str">
        <x:v>1508013</x:v>
      </x:c>
      <x:c r="B163" s="7" t="str">
        <x:v>RS Umum Daerah Sultan Thaha Saifuddin</x:v>
      </x:c>
      <x:c r="C163" s="7" t="str">
        <x:v>C</x:v>
      </x:c>
      <x:c r="D163" s="7" t="str">
        <x:v>TEBO</x:v>
      </x:c>
      <x:c r="E163" s="8">
        <x:v>24417</x:v>
      </x:c>
      <x:c r="F163" s="9">
        <x:v>24307375160</x:v>
      </x:c>
      <x:c r="G163" s="9">
        <x:v>30202973995.049988</x:v>
      </x:c>
      <x:c r="H163" s="10" t="n">
        <x:f>G163-F163</x:f>
        <x:v>5895598835.049988</x:v>
      </x:c>
    </x:row>
    <x:row r="164">
      <x:c r="A164" s="7" t="str">
        <x:v>1509013</x:v>
      </x:c>
      <x:c r="B164" s="7" t="str">
        <x:v>RS Umum Daerah H. Hanafie</x:v>
      </x:c>
      <x:c r="C164" s="7" t="str">
        <x:v>B</x:v>
      </x:c>
      <x:c r="D164" s="7" t="str">
        <x:v>BUNGO</x:v>
      </x:c>
      <x:c r="E164" s="8">
        <x:v>63527</x:v>
      </x:c>
      <x:c r="F164" s="9">
        <x:v>81932683665</x:v>
      </x:c>
      <x:c r="G164" s="9">
        <x:v>93594429968.92007</x:v>
      </x:c>
      <x:c r="H164" s="10" t="n">
        <x:f>G164-F164</x:f>
        <x:v>11661746303.920074</x:v>
      </x:c>
    </x:row>
    <x:row r="165">
      <x:c r="A165" s="7" t="str">
        <x:v>1509028</x:v>
      </x:c>
      <x:c r="B165" s="7" t="str">
        <x:v>RS Umum Permata Hati</x:v>
      </x:c>
      <x:c r="C165" s="7" t="str">
        <x:v>C</x:v>
      </x:c>
      <x:c r="D165" s="7" t="str">
        <x:v>BUNGO</x:v>
      </x:c>
      <x:c r="E165" s="8">
        <x:v>28909</x:v>
      </x:c>
      <x:c r="F165" s="9">
        <x:v>31299419200</x:v>
      </x:c>
      <x:c r="G165" s="9">
        <x:v>37729688981.66</x:v>
      </x:c>
      <x:c r="H165" s="10" t="n">
        <x:f>G165-F165</x:f>
        <x:v>6430269781.660004</x:v>
      </x:c>
    </x:row>
    <x:row r="166">
      <x:c r="A166" s="7" t="str">
        <x:v>1509029</x:v>
      </x:c>
      <x:c r="B166" s="7" t="str">
        <x:v>RS Ibu dan Anak Moelia</x:v>
      </x:c>
      <x:c r="C166" s="7" t="str">
        <x:v>C</x:v>
      </x:c>
      <x:c r="D166" s="7" t="str">
        <x:v>BUNGO</x:v>
      </x:c>
      <x:c r="E166" s="8">
        <x:v>2588</x:v>
      </x:c>
      <x:c r="F166" s="9">
        <x:v>7816726000</x:v>
      </x:c>
      <x:c r="G166" s="9">
        <x:v>8760852592.43</x:v>
      </x:c>
      <x:c r="H166" s="10" t="n">
        <x:f>G166-F166</x:f>
        <x:v>944126592.4300003</x:v>
      </x:c>
    </x:row>
    <x:row r="167">
      <x:c r="A167" s="7" t="str">
        <x:v>1509031</x:v>
      </x:c>
      <x:c r="B167" s="7" t="str">
        <x:v>RS Jabal Rahmah Medika</x:v>
      </x:c>
      <x:c r="C167" s="7" t="str">
        <x:v>D</x:v>
      </x:c>
      <x:c r="D167" s="7" t="str">
        <x:v>BUNGO</x:v>
      </x:c>
      <x:c r="E167" s="8">
        <x:v>13876</x:v>
      </x:c>
      <x:c r="F167" s="9">
        <x:v>17912420700</x:v>
      </x:c>
      <x:c r="G167" s="9">
        <x:v>24950051940.269997</x:v>
      </x:c>
      <x:c r="H167" s="10" t="n">
        <x:f>G167-F167</x:f>
        <x:v>7037631240.269997</x:v>
      </x:c>
    </x:row>
    <x:row r="168">
      <x:c r="A168" s="7" t="str">
        <x:v>1571012</x:v>
      </x:c>
      <x:c r="B168" s="7" t="str">
        <x:v>RS Umum Daerah Raden Mattaher Jambi</x:v>
      </x:c>
      <x:c r="C168" s="7" t="str">
        <x:v>B</x:v>
      </x:c>
      <x:c r="D168" s="7" t="str">
        <x:v>KOTA JAMBI</x:v>
      </x:c>
      <x:c r="E168" s="8">
        <x:v>42408</x:v>
      </x:c>
      <x:c r="F168" s="9">
        <x:v>80534384100</x:v>
      </x:c>
      <x:c r="G168" s="9">
        <x:v>92853759100.05</x:v>
      </x:c>
      <x:c r="H168" s="10" t="n">
        <x:f>G168-F168</x:f>
        <x:v>12319375000.050003</x:v>
      </x:c>
    </x:row>
    <x:row r="169">
      <x:c r="A169" s="7" t="str">
        <x:v>1571023</x:v>
      </x:c>
      <x:c r="B169" s="7" t="str">
        <x:v>RS Tk. III 02.06.01  dr. Bratanata</x:v>
      </x:c>
      <x:c r="C169" s="7" t="str">
        <x:v>C</x:v>
      </x:c>
      <x:c r="D169" s="7" t="str">
        <x:v>KOTA JAMBI</x:v>
      </x:c>
      <x:c r="E169" s="8">
        <x:v>52971</x:v>
      </x:c>
      <x:c r="F169" s="9">
        <x:v>46778346000</x:v>
      </x:c>
      <x:c r="G169" s="9">
        <x:v>57699233199.19998</x:v>
      </x:c>
      <x:c r="H169" s="10" t="n">
        <x:f>G169-F169</x:f>
        <x:v>10920887199.199982</x:v>
      </x:c>
    </x:row>
    <x:row r="170">
      <x:c r="A170" s="7" t="str">
        <x:v>1571034</x:v>
      </x:c>
      <x:c r="B170" s="7" t="str">
        <x:v>RS Bhayangkara Jambi</x:v>
      </x:c>
      <x:c r="C170" s="7" t="str">
        <x:v>C</x:v>
      </x:c>
      <x:c r="D170" s="7" t="str">
        <x:v>KOTA JAMBI</x:v>
      </x:c>
      <x:c r="E170" s="8">
        <x:v>48422</x:v>
      </x:c>
      <x:c r="F170" s="9">
        <x:v>44309520600</x:v>
      </x:c>
      <x:c r="G170" s="9">
        <x:v>53296482632.34</x:v>
      </x:c>
      <x:c r="H170" s="10" t="n">
        <x:f>G170-F170</x:f>
        <x:v>8986962032.339996</x:v>
      </x:c>
    </x:row>
    <x:row r="171">
      <x:c r="A171" s="7" t="str">
        <x:v>1571045</x:v>
      </x:c>
      <x:c r="B171" s="7" t="str">
        <x:v>RS Umum Santa Theresia</x:v>
      </x:c>
      <x:c r="C171" s="7" t="str">
        <x:v>C</x:v>
      </x:c>
      <x:c r="D171" s="7" t="str">
        <x:v>KOTA JAMBI</x:v>
      </x:c>
      <x:c r="E171" s="8">
        <x:v>32579</x:v>
      </x:c>
      <x:c r="F171" s="9">
        <x:v>24857734900</x:v>
      </x:c>
      <x:c r="G171" s="9">
        <x:v>28628555391.28999</x:v>
      </x:c>
      <x:c r="H171" s="10" t="n">
        <x:f>G171-F171</x:f>
        <x:v>3770820491.2899895</x:v>
      </x:c>
    </x:row>
    <x:row r="172">
      <x:c r="A172" s="7" t="str">
        <x:v>1571136</x:v>
      </x:c>
      <x:c r="B172" s="7" t="str">
        <x:v>RS Jiwa Daerah Provinsi Jambi</x:v>
      </x:c>
      <x:c r="C172" s="7" t="str">
        <x:v>A</x:v>
      </x:c>
      <x:c r="D172" s="7" t="str">
        <x:v>KOTA JAMBI</x:v>
      </x:c>
      <x:c r="E172" s="8">
        <x:v>11296</x:v>
      </x:c>
      <x:c r="F172" s="9">
        <x:v>7615673900</x:v>
      </x:c>
      <x:c r="G172" s="9">
        <x:v>8283459656.210003</x:v>
      </x:c>
      <x:c r="H172" s="10" t="n">
        <x:f>G172-F172</x:f>
        <x:v>667785756.2100029</x:v>
      </x:c>
    </x:row>
    <x:row r="173">
      <x:c r="A173" s="7" t="str">
        <x:v>1571147</x:v>
      </x:c>
      <x:c r="B173" s="7" t="str">
        <x:v>RS Siloam Jambi</x:v>
      </x:c>
      <x:c r="C173" s="7" t="str">
        <x:v>B</x:v>
      </x:c>
      <x:c r="D173" s="7" t="str">
        <x:v>KOTA JAMBI</x:v>
      </x:c>
      <x:c r="E173" s="8">
        <x:v>10316</x:v>
      </x:c>
      <x:c r="F173" s="9">
        <x:v>7464654550</x:v>
      </x:c>
      <x:c r="G173" s="9">
        <x:v>7991418942.850001</x:v>
      </x:c>
      <x:c r="H173" s="10" t="n">
        <x:f>G173-F173</x:f>
        <x:v>526764392.85000134</x:v>
      </x:c>
    </x:row>
    <x:row r="174">
      <x:c r="A174" s="7" t="str">
        <x:v>1571158</x:v>
      </x:c>
      <x:c r="B174" s="7" t="str">
        <x:v>RS Umum Daerah H. Abdul Manap</x:v>
      </x:c>
      <x:c r="C174" s="7" t="str">
        <x:v>C</x:v>
      </x:c>
      <x:c r="D174" s="7" t="str">
        <x:v>KOTA JAMBI</x:v>
      </x:c>
      <x:c r="E174" s="8">
        <x:v>24824</x:v>
      </x:c>
      <x:c r="F174" s="9">
        <x:v>18037438700</x:v>
      </x:c>
      <x:c r="G174" s="9">
        <x:v>22630887199.150005</x:v>
      </x:c>
      <x:c r="H174" s="10" t="n">
        <x:f>G174-F174</x:f>
        <x:v>4593448499.150005</x:v>
      </x:c>
    </x:row>
    <x:row r="175">
      <x:c r="A175" s="7" t="str">
        <x:v>1571159</x:v>
      </x:c>
      <x:c r="B175" s="7" t="str">
        <x:v>RS Islam Arafah</x:v>
      </x:c>
      <x:c r="C175" s="7" t="str">
        <x:v>C</x:v>
      </x:c>
      <x:c r="D175" s="7" t="str">
        <x:v>KOTA JAMBI</x:v>
      </x:c>
      <x:c r="E175" s="8">
        <x:v>41451</x:v>
      </x:c>
      <x:c r="F175" s="9">
        <x:v>38590204400</x:v>
      </x:c>
      <x:c r="G175" s="9">
        <x:v>45342213205.13001</x:v>
      </x:c>
      <x:c r="H175" s="10" t="n">
        <x:f>G175-F175</x:f>
        <x:v>6752008805.1300125</x:v>
      </x:c>
    </x:row>
    <x:row r="176">
      <x:c r="A176" s="7" t="str">
        <x:v>1571161</x:v>
      </x:c>
      <x:c r="B176" s="7" t="str">
        <x:v>RS Ibu dan Anak Annisa</x:v>
      </x:c>
      <x:c r="C176" s="7" t="str">
        <x:v>C</x:v>
      </x:c>
      <x:c r="D176" s="7" t="str">
        <x:v>KOTA JAMBI</x:v>
      </x:c>
      <x:c r="E176" s="8">
        <x:v>4673</x:v>
      </x:c>
      <x:c r="F176" s="9">
        <x:v>12253035300</x:v>
      </x:c>
      <x:c r="G176" s="9">
        <x:v>13981320029.53</x:v>
      </x:c>
      <x:c r="H176" s="10" t="n">
        <x:f>G176-F176</x:f>
        <x:v>1728284729.5300007</x:v>
      </x:c>
    </x:row>
    <x:row r="177">
      <x:c r="A177" s="7" t="str">
        <x:v>1571162</x:v>
      </x:c>
      <x:c r="B177" s="7" t="str">
        <x:v>RS Umum Kambang</x:v>
      </x:c>
      <x:c r="C177" s="7" t="str">
        <x:v>C</x:v>
      </x:c>
      <x:c r="D177" s="7" t="str">
        <x:v>KOTA JAMBI</x:v>
      </x:c>
      <x:c r="E177" s="8">
        <x:v>33679</x:v>
      </x:c>
      <x:c r="F177" s="9">
        <x:v>22893385200</x:v>
      </x:c>
      <x:c r="G177" s="9">
        <x:v>28067156591.84002</x:v>
      </x:c>
      <x:c r="H177" s="10" t="n">
        <x:f>G177-F177</x:f>
        <x:v>5173771391.840019</x:v>
      </x:c>
    </x:row>
    <x:row r="178">
      <x:c r="A178" s="7" t="str">
        <x:v>1571163</x:v>
      </x:c>
      <x:c r="B178" s="7" t="str">
        <x:v>RS Umum Baiturahim Jambi</x:v>
      </x:c>
      <x:c r="C178" s="7" t="str">
        <x:v>C</x:v>
      </x:c>
      <x:c r="D178" s="7" t="str">
        <x:v>KOTA JAMBI</x:v>
      </x:c>
      <x:c r="E178" s="8">
        <x:v>21639</x:v>
      </x:c>
      <x:c r="F178" s="9">
        <x:v>19139000700</x:v>
      </x:c>
      <x:c r="G178" s="9">
        <x:v>22311560476.379997</x:v>
      </x:c>
      <x:c r="H178" s="10" t="n">
        <x:f>G178-F178</x:f>
        <x:v>3172559776.3799973</x:v>
      </x:c>
    </x:row>
    <x:row r="179">
      <x:c r="A179" s="7" t="str">
        <x:v>1571168</x:v>
      </x:c>
      <x:c r="B179" s="7" t="str">
        <x:v>RS Mitra</x:v>
      </x:c>
      <x:c r="C179" s="7" t="str">
        <x:v>C</x:v>
      </x:c>
      <x:c r="D179" s="7" t="str">
        <x:v>KOTA JAMBI</x:v>
      </x:c>
      <x:c r="E179" s="8">
        <x:v>39616</x:v>
      </x:c>
      <x:c r="F179" s="9">
        <x:v>33635152900</x:v>
      </x:c>
      <x:c r="G179" s="9">
        <x:v>40512380574.83002</x:v>
      </x:c>
      <x:c r="H179" s="10" t="n">
        <x:f>G179-F179</x:f>
        <x:v>6877227674.830017</x:v>
      </x:c>
    </x:row>
    <x:row r="180">
      <x:c r="A180" s="7" t="str">
        <x:v>1571169</x:v>
      </x:c>
      <x:c r="B180" s="7" t="str">
        <x:v>RS Umum Daerah H. Abdurrahman Sayoeti</x:v>
      </x:c>
      <x:c r="C180" s="7" t="str">
        <x:v>D</x:v>
      </x:c>
      <x:c r="D180" s="7" t="str">
        <x:v>KOTA JAMBI</x:v>
      </x:c>
      <x:c r="E180" s="8">
        <x:v>7742</x:v>
      </x:c>
      <x:c r="F180" s="9">
        <x:v>4643427500</x:v>
      </x:c>
      <x:c r="G180" s="9">
        <x:v>6203811278.010001</x:v>
      </x:c>
      <x:c r="H180" s="10" t="n">
        <x:f>G180-F180</x:f>
        <x:v>1560383778.0100012</x:v>
      </x:c>
    </x:row>
    <x:row r="181">
      <x:c r="A181" s="7" t="str">
        <x:v>1571180</x:v>
      </x:c>
      <x:c r="B181" s="7" t="str">
        <x:v>RS Rapha Theresia</x:v>
      </x:c>
      <x:c r="C181" s="7" t="str">
        <x:v>C</x:v>
      </x:c>
      <x:c r="D181" s="7" t="str">
        <x:v>KOTA JAMBI</x:v>
      </x:c>
      <x:c r="E181" s="8">
        <x:v>6042</x:v>
      </x:c>
      <x:c r="F181" s="9">
        <x:v>8352698800</x:v>
      </x:c>
      <x:c r="G181" s="9">
        <x:v>9556954761.710003</x:v>
      </x:c>
      <x:c r="H181" s="10" t="n">
        <x:f>G181-F181</x:f>
        <x:v>1204255961.710003</x:v>
      </x:c>
    </x:row>
    <x:row r="182">
      <x:c r="A182" s="7" t="str">
        <x:v>1572003</x:v>
      </x:c>
      <x:c r="B182" s="7" t="str">
        <x:v>RS Umum Melati</x:v>
      </x:c>
      <x:c r="C182" s="7" t="str">
        <x:v>D</x:v>
      </x:c>
      <x:c r="D182" s="7" t="str">
        <x:v>KOTA SUNGAI PENUH</x:v>
      </x:c>
      <x:c r="E182" s="8">
        <x:v>14027</x:v>
      </x:c>
      <x:c r="F182" s="9">
        <x:v>16121116100</x:v>
      </x:c>
      <x:c r="G182" s="9">
        <x:v>20162149577.57</x:v>
      </x:c>
      <x:c r="H182" s="10" t="n">
        <x:f>G182-F182</x:f>
        <x:v>4041033477.5699997</x:v>
      </x:c>
    </x:row>
    <x:row r="183">
      <x:c r="A183" s="7" t="str">
        <x:v>1701014</x:v>
      </x:c>
      <x:c r="B183" s="7" t="str">
        <x:v>RS Umum Daerah Hasanuddin Damrah Manna</x:v>
      </x:c>
      <x:c r="C183" s="7" t="str">
        <x:v>C</x:v>
      </x:c>
      <x:c r="D183" s="7" t="str">
        <x:v>BENGKULU SELATAN</x:v>
      </x:c>
      <x:c r="E183" s="8">
        <x:v>22921</x:v>
      </x:c>
      <x:c r="F183" s="9">
        <x:v>17891062800</x:v>
      </x:c>
      <x:c r="G183" s="9">
        <x:v>24099253649.68999</x:v>
      </x:c>
      <x:c r="H183" s="10" t="n">
        <x:f>G183-F183</x:f>
        <x:v>6208190849.689991</x:v>
      </x:c>
    </x:row>
    <x:row r="184">
      <x:c r="A184" s="7" t="str">
        <x:v>1701016</x:v>
      </x:c>
      <x:c r="B184" s="7" t="str">
        <x:v>RS As-syifa</x:v>
      </x:c>
      <x:c r="C184" s="7" t="str">
        <x:v>D</x:v>
      </x:c>
      <x:c r="D184" s="7" t="str">
        <x:v>BENGKULU SELATAN</x:v>
      </x:c>
      <x:c r="E184" s="8">
        <x:v>25629</x:v>
      </x:c>
      <x:c r="F184" s="9">
        <x:v>25665432900</x:v>
      </x:c>
      <x:c r="G184" s="9">
        <x:v>33228379836.22001</x:v>
      </x:c>
      <x:c r="H184" s="10" t="n">
        <x:f>G184-F184</x:f>
        <x:v>7562946936.220009</x:v>
      </x:c>
    </x:row>
    <x:row r="185">
      <x:c r="A185" s="7" t="str">
        <x:v>1702015</x:v>
      </x:c>
      <x:c r="B185" s="7" t="str">
        <x:v>RS Umum Daerah Kabupaten Rejang Lebong</x:v>
      </x:c>
      <x:c r="C185" s="7" t="str">
        <x:v>C</x:v>
      </x:c>
      <x:c r="D185" s="7" t="str">
        <x:v>REJANG LEBONG</x:v>
      </x:c>
      <x:c r="E185" s="8">
        <x:v>25690</x:v>
      </x:c>
      <x:c r="F185" s="9">
        <x:v>19029530200</x:v>
      </x:c>
      <x:c r="G185" s="9">
        <x:v>22555680541.27</x:v>
      </x:c>
      <x:c r="H185" s="10" t="n">
        <x:f>G185-F185</x:f>
        <x:v>3526150341.2700005</x:v>
      </x:c>
    </x:row>
    <x:row r="186">
      <x:c r="A186" s="7" t="str">
        <x:v>1702035</x:v>
      </x:c>
      <x:c r="B186" s="7" t="str">
        <x:v>RS An-Nissa</x:v>
      </x:c>
      <x:c r="C186" s="7" t="str">
        <x:v>D</x:v>
      </x:c>
      <x:c r="D186" s="7" t="str">
        <x:v>REJANG LEBONG</x:v>
      </x:c>
      <x:c r="E186" s="8">
        <x:v>3847</x:v>
      </x:c>
      <x:c r="F186" s="9">
        <x:v>6377816300</x:v>
      </x:c>
      <x:c r="G186" s="9">
        <x:v>8569310599.419998</x:v>
      </x:c>
      <x:c r="H186" s="10" t="n">
        <x:f>G186-F186</x:f>
        <x:v>2191494299.419998</x:v>
      </x:c>
    </x:row>
    <x:row r="187">
      <x:c r="A187" s="7" t="str">
        <x:v>1702047</x:v>
      </x:c>
      <x:c r="B187" s="7" t="str">
        <x:v>RS Assalam</x:v>
      </x:c>
      <x:c r="C187" s="7" t="str">
        <x:v>D</x:v>
      </x:c>
      <x:c r="D187" s="7" t="str">
        <x:v>REJANG LEBONG</x:v>
      </x:c>
      <x:c r="E187" s="8">
        <x:v>7517</x:v>
      </x:c>
      <x:c r="F187" s="9">
        <x:v>8890292100</x:v>
      </x:c>
      <x:c r="G187" s="9">
        <x:v>12778216120.739998</x:v>
      </x:c>
      <x:c r="H187" s="10" t="n">
        <x:f>G187-F187</x:f>
        <x:v>3887924020.739998</x:v>
      </x:c>
    </x:row>
    <x:row r="188">
      <x:c r="A188" s="7" t="str">
        <x:v>1703016</x:v>
      </x:c>
      <x:c r="B188" s="7" t="str">
        <x:v>RS Umum Daerah Arga Makmur</x:v>
      </x:c>
      <x:c r="C188" s="7" t="str">
        <x:v>C</x:v>
      </x:c>
      <x:c r="D188" s="7" t="str">
        <x:v>BENGKULU UTARA</x:v>
      </x:c>
      <x:c r="E188" s="8">
        <x:v>19377</x:v>
      </x:c>
      <x:c r="F188" s="9">
        <x:v>18960242015</x:v>
      </x:c>
      <x:c r="G188" s="9">
        <x:v>24064305983.879997</x:v>
      </x:c>
      <x:c r="H188" s="10" t="n">
        <x:f>G188-F188</x:f>
        <x:v>5104063968.879997</x:v>
      </x:c>
    </x:row>
    <x:row r="189">
      <x:c r="A189" s="7" t="str">
        <x:v>1703045</x:v>
      </x:c>
      <x:c r="B189" s="7" t="str">
        <x:v>Charitas Hospital Arga Makmur</x:v>
      </x:c>
      <x:c r="C189" s="7" t="str">
        <x:v>D</x:v>
      </x:c>
      <x:c r="D189" s="7" t="str">
        <x:v>BENGKULU UTARA</x:v>
      </x:c>
      <x:c r="E189" s="8">
        <x:v>13515</x:v>
      </x:c>
      <x:c r="F189" s="9">
        <x:v>8221338300</x:v>
      </x:c>
      <x:c r="G189" s="9">
        <x:v>10770157432.449995</x:v>
      </x:c>
      <x:c r="H189" s="10" t="n">
        <x:f>G189-F189</x:f>
        <x:v>2548819132.449995</x:v>
      </x:c>
    </x:row>
    <x:row r="190">
      <x:c r="A190" s="7" t="str">
        <x:v>1703046</x:v>
      </x:c>
      <x:c r="B190" s="7" t="str">
        <x:v>RS Umum Daerah Lagita</x:v>
      </x:c>
      <x:c r="C190" s="7" t="str">
        <x:v>D</x:v>
      </x:c>
      <x:c r="D190" s="7" t="str">
        <x:v>BENGKULU UTARA</x:v>
      </x:c>
      <x:c r="E190" s="8">
        <x:v>3839</x:v>
      </x:c>
      <x:c r="F190" s="9">
        <x:v>3250269200</x:v>
      </x:c>
      <x:c r="G190" s="9">
        <x:v>4589803891.560005</x:v>
      </x:c>
      <x:c r="H190" s="10" t="n">
        <x:f>G190-F190</x:f>
        <x:v>1339534691.5600052</x:v>
      </x:c>
    </x:row>
    <x:row r="191">
      <x:c r="A191" s="7" t="str">
        <x:v>1704028</x:v>
      </x:c>
      <x:c r="B191" s="7" t="str">
        <x:v>RS Umum Daerah Kaur</x:v>
      </x:c>
      <x:c r="C191" s="7" t="str">
        <x:v>C</x:v>
      </x:c>
      <x:c r="D191" s="7" t="str">
        <x:v>KAUR</x:v>
      </x:c>
      <x:c r="E191" s="8">
        <x:v>8077</x:v>
      </x:c>
      <x:c r="F191" s="9">
        <x:v>9000857100</x:v>
      </x:c>
      <x:c r="G191" s="9">
        <x:v>12061783306.680002</x:v>
      </x:c>
      <x:c r="H191" s="10" t="n">
        <x:f>G191-F191</x:f>
        <x:v>3060926206.680002</x:v>
      </x:c>
    </x:row>
    <x:row r="192">
      <x:c r="A192" s="7" t="str">
        <x:v>1705018</x:v>
      </x:c>
      <x:c r="B192" s="7" t="str">
        <x:v>RS Umum Daerah Tais Kabupaten Seluma</x:v>
      </x:c>
      <x:c r="C192" s="7" t="str">
        <x:v>C</x:v>
      </x:c>
      <x:c r="D192" s="7" t="str">
        <x:v>SELUMA</x:v>
      </x:c>
      <x:c r="E192" s="8">
        <x:v>8131</x:v>
      </x:c>
      <x:c r="F192" s="9">
        <x:v>4776249200</x:v>
      </x:c>
      <x:c r="G192" s="9">
        <x:v>6144494138.779999</x:v>
      </x:c>
      <x:c r="H192" s="10" t="n">
        <x:f>G192-F192</x:f>
        <x:v>1368244938.7799988</x:v>
      </x:c>
    </x:row>
    <x:row r="193">
      <x:c r="A193" s="7" t="str">
        <x:v>1706019</x:v>
      </x:c>
      <x:c r="B193" s="7" t="str">
        <x:v>RS Umum Daerah Mukomuko</x:v>
      </x:c>
      <x:c r="C193" s="7" t="str">
        <x:v>C</x:v>
      </x:c>
      <x:c r="D193" s="7" t="str">
        <x:v>MUKO MUKO</x:v>
      </x:c>
      <x:c r="E193" s="8">
        <x:v>16375</x:v>
      </x:c>
      <x:c r="F193" s="9">
        <x:v>15034654475</x:v>
      </x:c>
      <x:c r="G193" s="9">
        <x:v>19462011293.999996</x:v>
      </x:c>
      <x:c r="H193" s="10" t="n">
        <x:f>G193-F193</x:f>
        <x:v>4427356818.999996</x:v>
      </x:c>
    </x:row>
    <x:row r="194">
      <x:c r="A194" s="7" t="str">
        <x:v>1706020</x:v>
      </x:c>
      <x:c r="B194" s="7" t="str">
        <x:v>RS Ibu dan Anak AL-Barra</x:v>
      </x:c>
      <x:c r="C194" s="7" t="str">
        <x:v>C</x:v>
      </x:c>
      <x:c r="D194" s="7" t="str">
        <x:v>MUKO MUKO</x:v>
      </x:c>
      <x:c r="E194" s="8">
        <x:v>4858</x:v>
      </x:c>
      <x:c r="F194" s="9">
        <x:v>8107193800</x:v>
      </x:c>
      <x:c r="G194" s="9">
        <x:v>9331937797.470003</x:v>
      </x:c>
      <x:c r="H194" s="10" t="n">
        <x:f>G194-F194</x:f>
        <x:v>1224743997.4700031</x:v>
      </x:c>
    </x:row>
    <x:row r="195">
      <x:c r="A195" s="7" t="str">
        <x:v>1707026</x:v>
      </x:c>
      <x:c r="B195" s="7" t="str">
        <x:v>RS Umum Daerah Lebong</x:v>
      </x:c>
      <x:c r="C195" s="7" t="str">
        <x:v>C</x:v>
      </x:c>
      <x:c r="D195" s="7" t="str">
        <x:v>LEBONG</x:v>
      </x:c>
      <x:c r="E195" s="8">
        <x:v>11261</x:v>
      </x:c>
      <x:c r="F195" s="9">
        <x:v>14242791000</x:v>
      </x:c>
      <x:c r="G195" s="9">
        <x:v>17851930848.399998</x:v>
      </x:c>
      <x:c r="H195" s="10" t="n">
        <x:f>G195-F195</x:f>
        <x:v>3609139848.3999977</x:v>
      </x:c>
    </x:row>
    <x:row r="196">
      <x:c r="A196" s="7" t="str">
        <x:v>1708010</x:v>
      </x:c>
      <x:c r="B196" s="7" t="str">
        <x:v>RS Umum Daerah Kepahiang</x:v>
      </x:c>
      <x:c r="C196" s="7" t="str">
        <x:v>C</x:v>
      </x:c>
      <x:c r="D196" s="7" t="str">
        <x:v>KEPAHIANG</x:v>
      </x:c>
      <x:c r="E196" s="8">
        <x:v>13576</x:v>
      </x:c>
      <x:c r="F196" s="9">
        <x:v>13598192600</x:v>
      </x:c>
      <x:c r="G196" s="9">
        <x:v>16622266506.669998</x:v>
      </x:c>
      <x:c r="H196" s="10" t="n">
        <x:f>G196-F196</x:f>
        <x:v>3024073906.669998</x:v>
      </x:c>
    </x:row>
    <x:row r="197">
      <x:c r="A197" s="7" t="str">
        <x:v>1709038</x:v>
      </x:c>
      <x:c r="B197" s="7" t="str">
        <x:v>RS Umum Daerah Bengkulu Tengah</x:v>
      </x:c>
      <x:c r="C197" s="7" t="str">
        <x:v>D</x:v>
      </x:c>
      <x:c r="D197" s="7" t="str">
        <x:v>BENGKULU TENGAH</x:v>
      </x:c>
      <x:c r="E197" s="8">
        <x:v>6524</x:v>
      </x:c>
      <x:c r="F197" s="9">
        <x:v>5199055300</x:v>
      </x:c>
      <x:c r="G197" s="9">
        <x:v>6938735371.359995</x:v>
      </x:c>
      <x:c r="H197" s="10" t="n">
        <x:f>G197-F197</x:f>
        <x:v>1739680071.359995</x:v>
      </x:c>
    </x:row>
    <x:row r="198">
      <x:c r="A198" s="7" t="str">
        <x:v>1771002</x:v>
      </x:c>
      <x:c r="B198" s="7" t="str">
        <x:v>RS Umum Daerah Harapan dan Doa</x:v>
      </x:c>
      <x:c r="C198" s="7" t="str">
        <x:v>C</x:v>
      </x:c>
      <x:c r="D198" s="7" t="str">
        <x:v>KOTA BENGKULU</x:v>
      </x:c>
      <x:c r="E198" s="8">
        <x:v>47863</x:v>
      </x:c>
      <x:c r="F198" s="9">
        <x:v>31404472900</x:v>
      </x:c>
      <x:c r="G198" s="9">
        <x:v>37822239777.04998</x:v>
      </x:c>
      <x:c r="H198" s="10" t="n">
        <x:f>G198-F198</x:f>
        <x:v>6417766877.04998</x:v>
      </x:c>
    </x:row>
    <x:row r="199">
      <x:c r="A199" s="7" t="str">
        <x:v>1771007</x:v>
      </x:c>
      <x:c r="B199" s="7" t="str">
        <x:v>RS Umum Ummi Bengkulu</x:v>
      </x:c>
      <x:c r="C199" s="7" t="str">
        <x:v>C</x:v>
      </x:c>
      <x:c r="D199" s="7" t="str">
        <x:v>KOTA BENGKULU</x:v>
      </x:c>
      <x:c r="E199" s="8">
        <x:v>49451</x:v>
      </x:c>
      <x:c r="F199" s="9">
        <x:v>44123021500</x:v>
      </x:c>
      <x:c r="G199" s="9">
        <x:v>52312401738.320015</x:v>
      </x:c>
      <x:c r="H199" s="10" t="n">
        <x:f>G199-F199</x:f>
        <x:v>8189380238.320015</x:v>
      </x:c>
    </x:row>
    <x:row r="200">
      <x:c r="A200" s="7" t="str">
        <x:v>1771009</x:v>
      </x:c>
      <x:c r="B200" s="7" t="str">
        <x:v>RS Gading Medika</x:v>
      </x:c>
      <x:c r="C200" s="7" t="str">
        <x:v>C</x:v>
      </x:c>
      <x:c r="D200" s="7" t="str">
        <x:v>KOTA BENGKULU</x:v>
      </x:c>
      <x:c r="E200" s="8">
        <x:v>57525</x:v>
      </x:c>
      <x:c r="F200" s="9">
        <x:v>56267706000</x:v>
      </x:c>
      <x:c r="G200" s="9">
        <x:v>68610376390.139984</x:v>
      </x:c>
      <x:c r="H200" s="10" t="n">
        <x:f>G200-F200</x:f>
        <x:v>12342670390.139984</x:v>
      </x:c>
    </x:row>
    <x:row r="201">
      <x:c r="A201" s="7" t="str">
        <x:v>1771014</x:v>
      </x:c>
      <x:c r="B201" s="7" t="str">
        <x:v>RS Umum Daerah Dr. M. Yunus Bengkulu</x:v>
      </x:c>
      <x:c r="C201" s="7" t="str">
        <x:v>B</x:v>
      </x:c>
      <x:c r="D201" s="7" t="str">
        <x:v>KOTA BENGKULU</x:v>
      </x:c>
      <x:c r="E201" s="8">
        <x:v>74220</x:v>
      </x:c>
      <x:c r="F201" s="9">
        <x:v>102391395100</x:v>
      </x:c>
      <x:c r="G201" s="9">
        <x:v>119665103045.78006</x:v>
      </x:c>
      <x:c r="H201" s="10" t="n">
        <x:f>G201-F201</x:f>
        <x:v>17273707945.78006</x:v>
      </x:c>
    </x:row>
    <x:row r="202">
      <x:c r="A202" s="7" t="str">
        <x:v>1771025</x:v>
      </x:c>
      <x:c r="B202" s="7" t="str">
        <x:v>RS Jiwa Soeprapto Provinsi Bengkulu</x:v>
      </x:c>
      <x:c r="C202" s="7" t="str">
        <x:v>B</x:v>
      </x:c>
      <x:c r="D202" s="7" t="str">
        <x:v>KOTA BENGKULU</x:v>
      </x:c>
      <x:c r="E202" s="8">
        <x:v>15430</x:v>
      </x:c>
      <x:c r="F202" s="9">
        <x:v>7463033800</x:v>
      </x:c>
      <x:c r="G202" s="9">
        <x:v>10093505793.4</x:v>
      </x:c>
      <x:c r="H202" s="10" t="n">
        <x:f>G202-F202</x:f>
        <x:v>2630471993.3999996</x:v>
      </x:c>
    </x:row>
    <x:row r="203">
      <x:c r="A203" s="7" t="str">
        <x:v>1771036</x:v>
      </x:c>
      <x:c r="B203" s="7" t="str">
        <x:v>RS Rafflesia Bengkulu</x:v>
      </x:c>
      <x:c r="C203" s="7" t="str">
        <x:v>C</x:v>
      </x:c>
      <x:c r="D203" s="7" t="str">
        <x:v>KOTA BENGKULU</x:v>
      </x:c>
      <x:c r="E203" s="8">
        <x:v>30489</x:v>
      </x:c>
      <x:c r="F203" s="9">
        <x:v>26151617000</x:v>
      </x:c>
      <x:c r="G203" s="9">
        <x:v>30664387212.569992</x:v>
      </x:c>
      <x:c r="H203" s="10" t="n">
        <x:f>G203-F203</x:f>
        <x:v>4512770212.569992</x:v>
      </x:c>
    </x:row>
    <x:row r="204">
      <x:c r="A204" s="7" t="str">
        <x:v>1771040</x:v>
      </x:c>
      <x:c r="B204" s="7" t="str">
        <x:v>RS Tk. IV Bengkulu</x:v>
      </x:c>
      <x:c r="C204" s="7" t="str">
        <x:v>D</x:v>
      </x:c>
      <x:c r="D204" s="7" t="str">
        <x:v>KOTA BENGKULU</x:v>
      </x:c>
      <x:c r="E204" s="8">
        <x:v>9696</x:v>
      </x:c>
      <x:c r="F204" s="9">
        <x:v>8088813900</x:v>
      </x:c>
      <x:c r="G204" s="9">
        <x:v>11349470220.759995</x:v>
      </x:c>
      <x:c r="H204" s="10" t="n">
        <x:f>G204-F204</x:f>
        <x:v>3260656320.7599945</x:v>
      </x:c>
    </x:row>
    <x:row r="205">
      <x:c r="A205" s="7" t="str">
        <x:v>1771051</x:v>
      </x:c>
      <x:c r="B205" s="7" t="str">
        <x:v>RS Bhayangkara Jitra Kota Bengkulu</x:v>
      </x:c>
      <x:c r="C205" s="7" t="str">
        <x:v>C</x:v>
      </x:c>
      <x:c r="D205" s="7" t="str">
        <x:v>KOTA BENGKULU</x:v>
      </x:c>
      <x:c r="E205" s="8">
        <x:v>28730</x:v>
      </x:c>
      <x:c r="F205" s="9">
        <x:v>28045056715</x:v>
      </x:c>
      <x:c r="G205" s="9">
        <x:v>34451870216.84998</x:v>
      </x:c>
      <x:c r="H205" s="10" t="n">
        <x:f>G205-F205</x:f>
        <x:v>6406813501.849983</x:v>
      </x:c>
    </x:row>
    <x:row r="206">
      <x:c r="A206" s="7" t="str">
        <x:v>1771062</x:v>
      </x:c>
      <x:c r="B206" s="7" t="str">
        <x:v>RS Tiara Sella</x:v>
      </x:c>
      <x:c r="C206" s="7" t="str">
        <x:v>C</x:v>
      </x:c>
      <x:c r="D206" s="7" t="str">
        <x:v>KOTA BENGKULU</x:v>
      </x:c>
      <x:c r="E206" s="8">
        <x:v>107139</x:v>
      </x:c>
      <x:c r="F206" s="9">
        <x:v>67858892500</x:v>
      </x:c>
      <x:c r="G206" s="9">
        <x:v>73820703708.87997</x:v>
      </x:c>
      <x:c r="H206" s="10" t="n">
        <x:f>G206-F206</x:f>
        <x:v>5961811208.879974</x:v>
      </x:c>
    </x:row>
    <x:row r="207">
      <x:c r="A207" s="7" t="str">
        <x:v>1771073</x:v>
      </x:c>
      <x:c r="B207" s="7" t="str">
        <x:v>RS Ibu dan Anak Tino Galo Kota Bengkulu</x:v>
      </x:c>
      <x:c r="C207" s="7" t="str">
        <x:v>C</x:v>
      </x:c>
      <x:c r="D207" s="7" t="str">
        <x:v>KOTA BENGKULU</x:v>
      </x:c>
      <x:c r="E207" s="8">
        <x:v>22</x:v>
      </x:c>
      <x:c r="F207" s="9">
        <x:v>4586900</x:v>
      </x:c>
      <x:c r="G207" s="9">
        <x:v>6502630.09</x:v>
      </x:c>
      <x:c r="H207" s="10" t="n">
        <x:f>G207-F207</x:f>
        <x:v>1915730.0899999999</x:v>
      </x:c>
    </x:row>
    <x:row r="208">
      <x:c r="A208" s="7" t="str">
        <x:v>2001013</x:v>
      </x:c>
      <x:c r="B208" s="7" t="str">
        <x:v>RS Umum Daerah Muhammad Sani Kabupaten Karimun</x:v>
      </x:c>
      <x:c r="C208" s="7" t="str">
        <x:v>C</x:v>
      </x:c>
      <x:c r="D208" s="7" t="str">
        <x:v>KARIMUN</x:v>
      </x:c>
      <x:c r="E208" s="8">
        <x:v>71419</x:v>
      </x:c>
      <x:c r="F208" s="9">
        <x:v>37813891370</x:v>
      </x:c>
      <x:c r="G208" s="9">
        <x:v>45778979472.149994</x:v>
      </x:c>
      <x:c r="H208" s="10" t="n">
        <x:f>G208-F208</x:f>
        <x:v>7965088102.149994</x:v>
      </x:c>
    </x:row>
    <x:row r="209">
      <x:c r="A209" s="7" t="str">
        <x:v>2001045</x:v>
      </x:c>
      <x:c r="B209" s="7" t="str">
        <x:v>RS Umum Bhakti Timah</x:v>
      </x:c>
      <x:c r="C209" s="7" t="str">
        <x:v>C</x:v>
      </x:c>
      <x:c r="D209" s="7" t="str">
        <x:v>KARIMUN</x:v>
      </x:c>
      <x:c r="E209" s="8">
        <x:v>34061</x:v>
      </x:c>
      <x:c r="F209" s="9">
        <x:v>23377257650</x:v>
      </x:c>
      <x:c r="G209" s="9">
        <x:v>27270577478.469994</x:v>
      </x:c>
      <x:c r="H209" s="10" t="n">
        <x:f>G209-F209</x:f>
        <x:v>3893319828.4699936</x:v>
      </x:c>
    </x:row>
    <x:row r="210">
      <x:c r="A210" s="7" t="str">
        <x:v>2002002</x:v>
      </x:c>
      <x:c r="B210" s="7" t="str">
        <x:v>RS Umum Daerah  Kabupaten Bintan</x:v>
      </x:c>
      <x:c r="C210" s="7" t="str">
        <x:v>C</x:v>
      </x:c>
      <x:c r="D210" s="7" t="str">
        <x:v>BINTAN</x:v>
      </x:c>
      <x:c r="E210" s="8">
        <x:v>22841</x:v>
      </x:c>
      <x:c r="F210" s="9">
        <x:v>13681643700</x:v>
      </x:c>
      <x:c r="G210" s="9">
        <x:v>17041869032.280003</x:v>
      </x:c>
      <x:c r="H210" s="10" t="n">
        <x:f>G210-F210</x:f>
        <x:v>3360225332.2800026</x:v>
      </x:c>
    </x:row>
    <x:row r="211">
      <x:c r="A211" s="7" t="str">
        <x:v>2002010</x:v>
      </x:c>
      <x:c r="B211" s="7" t="str">
        <x:v>RS Jiwa dan Ketergantungan Obat Engku Haji Daud</x:v>
      </x:c>
      <x:c r="C211" s="7" t="str">
        <x:v>B</x:v>
      </x:c>
      <x:c r="D211" s="7" t="str">
        <x:v>BINTAN</x:v>
      </x:c>
      <x:c r="E211" s="8">
        <x:v>15002</x:v>
      </x:c>
      <x:c r="F211" s="9">
        <x:v>11576281180</x:v>
      </x:c>
      <x:c r="G211" s="9">
        <x:v>14160543263.779997</x:v>
      </x:c>
      <x:c r="H211" s="10" t="n">
        <x:f>G211-F211</x:f>
        <x:v>2584262083.779997</x:v>
      </x:c>
    </x:row>
    <x:row r="212">
      <x:c r="A212" s="7" t="str">
        <x:v>2003011</x:v>
      </x:c>
      <x:c r="B212" s="7" t="str">
        <x:v>RS Umum Daerah Natuna</x:v>
      </x:c>
      <x:c r="C212" s="7" t="str">
        <x:v>C</x:v>
      </x:c>
      <x:c r="D212" s="7" t="str">
        <x:v>NATUNA</x:v>
      </x:c>
      <x:c r="E212" s="8">
        <x:v>29823</x:v>
      </x:c>
      <x:c r="F212" s="9">
        <x:v>20704128720</x:v>
      </x:c>
      <x:c r="G212" s="9">
        <x:v>26073953495.2</x:v>
      </x:c>
      <x:c r="H212" s="10" t="n">
        <x:f>G212-F212</x:f>
        <x:v>5369824775.200001</x:v>
      </x:c>
    </x:row>
    <x:row r="213">
      <x:c r="A213" s="7" t="str">
        <x:v>2003056</x:v>
      </x:c>
      <x:c r="B213" s="7" t="str">
        <x:v>RSAU dr. Yuniati Wisma Karyani</x:v>
      </x:c>
      <x:c r="C213" s="7" t="str">
        <x:v>D</x:v>
      </x:c>
      <x:c r="D213" s="7" t="str">
        <x:v>NATUNA</x:v>
      </x:c>
      <x:c r="E213" s="8">
        <x:v>573</x:v>
      </x:c>
      <x:c r="F213" s="9">
        <x:v>641949700</x:v>
      </x:c>
      <x:c r="G213" s="9">
        <x:v>839511617.7800002</x:v>
      </x:c>
      <x:c r="H213" s="10" t="n">
        <x:f>G213-F213</x:f>
        <x:v>197561917.7800002</x:v>
      </x:c>
    </x:row>
    <x:row r="214">
      <x:c r="A214" s="7" t="str">
        <x:v>2003125</x:v>
      </x:c>
      <x:c r="B214" s="7" t="str">
        <x:v>RS Umum Daerah Palmatak</x:v>
      </x:c>
      <x:c r="C214" s="7" t="str">
        <x:v>D</x:v>
      </x:c>
      <x:c r="D214" s="7" t="str">
        <x:v>NATUNA</x:v>
      </x:c>
      <x:c r="E214" s="8">
        <x:v>1986</x:v>
      </x:c>
      <x:c r="F214" s="9">
        <x:v>1462666300</x:v>
      </x:c>
      <x:c r="G214" s="9">
        <x:v>2150625232.07</x:v>
      </x:c>
      <x:c r="H214" s="10" t="n">
        <x:f>G214-F214</x:f>
        <x:v>687958932.0700002</x:v>
      </x:c>
    </x:row>
    <x:row r="215">
      <x:c r="A215" s="7" t="str">
        <x:v>2004012</x:v>
      </x:c>
      <x:c r="B215" s="7" t="str">
        <x:v>RS Umum Daerah Dabo Kabupaten Lingga</x:v>
      </x:c>
      <x:c r="C215" s="7" t="str">
        <x:v>C</x:v>
      </x:c>
      <x:c r="D215" s="7" t="str">
        <x:v>LINGGA</x:v>
      </x:c>
      <x:c r="E215" s="8">
        <x:v>6994</x:v>
      </x:c>
      <x:c r="F215" s="9">
        <x:v>4931624000</x:v>
      </x:c>
      <x:c r="G215" s="9">
        <x:v>6160559004.819999</x:v>
      </x:c>
      <x:c r="H215" s="10" t="n">
        <x:f>G215-F215</x:f>
        <x:v>1228935004.8199987</x:v>
      </x:c>
    </x:row>
    <x:row r="216">
      <x:c r="A216" s="7" t="str">
        <x:v>2004136</x:v>
      </x:c>
      <x:c r="B216" s="7" t="str">
        <x:v>RS Umum Daerah Encik Mariyam</x:v>
      </x:c>
      <x:c r="C216" s="7" t="str">
        <x:v>D</x:v>
      </x:c>
      <x:c r="D216" s="7" t="str">
        <x:v>LINGGA</x:v>
      </x:c>
      <x:c r="E216" s="8">
        <x:v>5093</x:v>
      </x:c>
      <x:c r="F216" s="9">
        <x:v>3882567600</x:v>
      </x:c>
      <x:c r="G216" s="9">
        <x:v>5587954957.33</x:v>
      </x:c>
      <x:c r="H216" s="10" t="n">
        <x:f>G216-F216</x:f>
        <x:v>1705387357.33</x:v>
      </x:c>
    </x:row>
    <x:row r="217">
      <x:c r="A217" s="7" t="str">
        <x:v>2005002</x:v>
      </x:c>
      <x:c r="B217" s="7" t="str">
        <x:v>RS Umum Daerah Bergerak Jemaja</x:v>
      </x:c>
      <x:c r="C217" s="7" t="str">
        <x:v>D</x:v>
      </x:c>
      <x:c r="D217" s="7" t="str">
        <x:v>KEPULAUAN ANAMBAS</x:v>
      </x:c>
      <x:c r="E217" s="8">
        <x:v>948</x:v>
      </x:c>
      <x:c r="F217" s="9">
        <x:v>483919200</x:v>
      </x:c>
      <x:c r="G217" s="9">
        <x:v>747322108.6399997</x:v>
      </x:c>
      <x:c r="H217" s="10" t="n">
        <x:f>G217-F217</x:f>
        <x:v>263402908.63999975</x:v>
      </x:c>
    </x:row>
    <x:row r="218">
      <x:c r="A218" s="7" t="str">
        <x:v>2071012</x:v>
      </x:c>
      <x:c r="B218" s="7" t="str">
        <x:v>RS Umum Budi Kemuliaan Batam</x:v>
      </x:c>
      <x:c r="C218" s="7" t="str">
        <x:v>B</x:v>
      </x:c>
      <x:c r="D218" s="7" t="str">
        <x:v>KOTA BATAM</x:v>
      </x:c>
      <x:c r="E218" s="8">
        <x:v>46537</x:v>
      </x:c>
      <x:c r="F218" s="9">
        <x:v>51863703100</x:v>
      </x:c>
      <x:c r="G218" s="9">
        <x:v>52319889181.02998</x:v>
      </x:c>
      <x:c r="H218" s="10" t="n">
        <x:f>G218-F218</x:f>
        <x:v>456186081.0299835</x:v>
      </x:c>
    </x:row>
    <x:row r="219">
      <x:c r="A219" s="7" t="str">
        <x:v>2071015</x:v>
      </x:c>
      <x:c r="B219" s="7" t="str">
        <x:v>RS Umum Santa Elisabeth Batam</x:v>
      </x:c>
      <x:c r="C219" s="7" t="str">
        <x:v>C</x:v>
      </x:c>
      <x:c r="D219" s="7" t="str">
        <x:v>KOTA BATAM</x:v>
      </x:c>
      <x:c r="E219" s="8">
        <x:v>38885</x:v>
      </x:c>
      <x:c r="F219" s="9">
        <x:v>24033018800</x:v>
      </x:c>
      <x:c r="G219" s="9">
        <x:v>27123426630.030006</x:v>
      </x:c>
      <x:c r="H219" s="10" t="n">
        <x:f>G219-F219</x:f>
        <x:v>3090407830.0300064</x:v>
      </x:c>
    </x:row>
    <x:row r="220">
      <x:c r="A220" s="7" t="str">
        <x:v>2071023</x:v>
      </x:c>
      <x:c r="B220" s="7" t="str">
        <x:v>RS Umum Harapan Bunda Batam</x:v>
      </x:c>
      <x:c r="C220" s="7" t="str">
        <x:v>C</x:v>
      </x:c>
      <x:c r="D220" s="7" t="str">
        <x:v>KOTA BATAM</x:v>
      </x:c>
      <x:c r="E220" s="8">
        <x:v>38273</x:v>
      </x:c>
      <x:c r="F220" s="9">
        <x:v>30467799550</x:v>
      </x:c>
      <x:c r="G220" s="9">
        <x:v>33298036965.86001</x:v>
      </x:c>
      <x:c r="H220" s="10" t="n">
        <x:f>G220-F220</x:f>
        <x:v>2830237415.8600082</x:v>
      </x:c>
    </x:row>
    <x:row r="221">
      <x:c r="A221" s="7" t="str">
        <x:v>2071034</x:v>
      </x:c>
      <x:c r="B221" s="7" t="str">
        <x:v>RS Badan Pengusahaan Batam</x:v>
      </x:c>
      <x:c r="C221" s="7" t="str">
        <x:v>B</x:v>
      </x:c>
      <x:c r="D221" s="7" t="str">
        <x:v>KOTA BATAM</x:v>
      </x:c>
      <x:c r="E221" s="8">
        <x:v>59615</x:v>
      </x:c>
      <x:c r="F221" s="9">
        <x:v>67730424800</x:v>
      </x:c>
      <x:c r="G221" s="9">
        <x:v>69900030094.78001</x:v>
      </x:c>
      <x:c r="H221" s="10" t="n">
        <x:f>G221-F221</x:f>
        <x:v>2169605294.780014</x:v>
      </x:c>
    </x:row>
    <x:row r="222">
      <x:c r="A222" s="7" t="str">
        <x:v>2071037</x:v>
      </x:c>
      <x:c r="B222" s="7" t="str">
        <x:v>RS Umum Charis Medika</x:v>
      </x:c>
      <x:c r="C222" s="7" t="str">
        <x:v>D</x:v>
      </x:c>
      <x:c r="D222" s="7" t="str">
        <x:v>KOTA BATAM</x:v>
      </x:c>
      <x:c r="E222" s="8">
        <x:v>9029</x:v>
      </x:c>
      <x:c r="F222" s="9">
        <x:v>6494186300</x:v>
      </x:c>
      <x:c r="G222" s="9">
        <x:v>7032025611.779999</x:v>
      </x:c>
      <x:c r="H222" s="10" t="n">
        <x:f>G222-F222</x:f>
        <x:v>537839311.7799988</x:v>
      </x:c>
    </x:row>
    <x:row r="223">
      <x:c r="A223" s="7" t="str">
        <x:v>2071050</x:v>
      </x:c>
      <x:c r="B223" s="7" t="str">
        <x:v>RS Umum Graha Hermine</x:v>
      </x:c>
      <x:c r="C223" s="7" t="str">
        <x:v>C</x:v>
      </x:c>
      <x:c r="D223" s="7" t="str">
        <x:v>KOTA BATAM</x:v>
      </x:c>
      <x:c r="E223" s="8">
        <x:v>37084</x:v>
      </x:c>
      <x:c r="F223" s="9">
        <x:v>30407972100</x:v>
      </x:c>
      <x:c r="G223" s="9">
        <x:v>35560073799.090004</x:v>
      </x:c>
      <x:c r="H223" s="10" t="n">
        <x:f>G223-F223</x:f>
        <x:v>5152101699.090004</x:v>
      </x:c>
    </x:row>
    <x:row r="224">
      <x:c r="A224" s="7" t="str">
        <x:v>2071053</x:v>
      </x:c>
      <x:c r="B224" s="7" t="str">
        <x:v>RS Umum Santa Elisabeth Batam Kota</x:v>
      </x:c>
      <x:c r="C224" s="7" t="str">
        <x:v>C</x:v>
      </x:c>
      <x:c r="D224" s="7" t="str">
        <x:v>KOTA BATAM</x:v>
      </x:c>
      <x:c r="E224" s="8">
        <x:v>59948</x:v>
      </x:c>
      <x:c r="F224" s="9">
        <x:v>34368548500</x:v>
      </x:c>
      <x:c r="G224" s="9">
        <x:v>38870437076.56999</x:v>
      </x:c>
      <x:c r="H224" s="10" t="n">
        <x:f>G224-F224</x:f>
        <x:v>4501888576.569992</x:v>
      </x:c>
    </x:row>
    <x:row r="225">
      <x:c r="A225" s="7" t="str">
        <x:v>2071054</x:v>
      </x:c>
      <x:c r="B225" s="7" t="str">
        <x:v>RS Griya Medika</x:v>
      </x:c>
      <x:c r="C225" s="7" t="str">
        <x:v>C</x:v>
      </x:c>
      <x:c r="D225" s="7" t="str">
        <x:v>KOTA BATAM</x:v>
      </x:c>
      <x:c r="E225" s="8">
        <x:v>856</x:v>
      </x:c>
      <x:c r="F225" s="9">
        <x:v>3165956100</x:v>
      </x:c>
      <x:c r="G225" s="9">
        <x:v>3445566766.36</x:v>
      </x:c>
      <x:c r="H225" s="10" t="n">
        <x:f>G225-F225</x:f>
        <x:v>279610666.36000013</x:v>
      </x:c>
    </x:row>
    <x:row r="226">
      <x:c r="A226" s="7" t="str">
        <x:v>2071056</x:v>
      </x:c>
      <x:c r="B226" s="7" t="str">
        <x:v>RS Umum Camatha Sahidya</x:v>
      </x:c>
      <x:c r="C226" s="7" t="str">
        <x:v>C</x:v>
      </x:c>
      <x:c r="D226" s="7" t="str">
        <x:v>KOTA BATAM</x:v>
      </x:c>
      <x:c r="E226" s="8">
        <x:v>14947</x:v>
      </x:c>
      <x:c r="F226" s="9">
        <x:v>16512838550</x:v>
      </x:c>
      <x:c r="G226" s="9">
        <x:v>17696268608.859997</x:v>
      </x:c>
      <x:c r="H226" s="10" t="n">
        <x:f>G226-F226</x:f>
        <x:v>1183430058.8599968</x:v>
      </x:c>
    </x:row>
    <x:row r="227">
      <x:c r="A227" s="7" t="str">
        <x:v>2071057</x:v>
      </x:c>
      <x:c r="B227" s="7" t="str">
        <x:v>RS Ibu dan Anak Frisdhy Angel</x:v>
      </x:c>
      <x:c r="C227" s="7" t="str">
        <x:v>C</x:v>
      </x:c>
      <x:c r="D227" s="7" t="str">
        <x:v>KOTA BATAM</x:v>
      </x:c>
      <x:c r="E227" s="8">
        <x:v>253</x:v>
      </x:c>
      <x:c r="F227" s="9">
        <x:v>401187000</x:v>
      </x:c>
      <x:c r="G227" s="9">
        <x:v>426036354.04</x:v>
      </x:c>
      <x:c r="H227" s="10" t="n">
        <x:f>G227-F227</x:f>
        <x:v>24849354.04000002</x:v>
      </x:c>
    </x:row>
    <x:row r="228">
      <x:c r="A228" s="7" t="str">
        <x:v>2071059</x:v>
      </x:c>
      <x:c r="B228" s="7" t="str">
        <x:v>RS Umum Soedarsono Darmosoewito</x:v>
      </x:c>
      <x:c r="C228" s="7" t="str">
        <x:v>C</x:v>
      </x:c>
      <x:c r="D228" s="7" t="str">
        <x:v>KOTA BATAM</x:v>
      </x:c>
      <x:c r="E228" s="8">
        <x:v>841</x:v>
      </x:c>
      <x:c r="F228" s="9">
        <x:v>645852100</x:v>
      </x:c>
      <x:c r="G228" s="9">
        <x:v>869371136.98</x:v>
      </x:c>
      <x:c r="H228" s="10" t="n">
        <x:f>G228-F228</x:f>
        <x:v>223519036.98000002</x:v>
      </x:c>
    </x:row>
    <x:row r="229">
      <x:c r="A229" s="7" t="str">
        <x:v>2071103</x:v>
      </x:c>
      <x:c r="B229" s="7" t="str">
        <x:v>RS Umum Awal Bros Batam</x:v>
      </x:c>
      <x:c r="C229" s="7" t="str">
        <x:v>A</x:v>
      </x:c>
      <x:c r="D229" s="7" t="str">
        <x:v>KOTA BATAM</x:v>
      </x:c>
      <x:c r="E229" s="8">
        <x:v>80211</x:v>
      </x:c>
      <x:c r="F229" s="9">
        <x:v>175437059400</x:v>
      </x:c>
      <x:c r="G229" s="9">
        <x:v>141708073887.50003</x:v>
      </x:c>
      <x:c r="H229" s="10" t="n">
        <x:f>G229-F229</x:f>
        <x:v>-33728985512.49997</x:v>
      </x:c>
    </x:row>
    <x:row r="230">
      <x:c r="A230" s="7" t="str">
        <x:v>2071114</x:v>
      </x:c>
      <x:c r="B230" s="7" t="str">
        <x:v>RS Umum Daerah Embung Fatimah Kota Batam</x:v>
      </x:c>
      <x:c r="C230" s="7" t="str">
        <x:v>B</x:v>
      </x:c>
      <x:c r="D230" s="7" t="str">
        <x:v>KOTA BATAM</x:v>
      </x:c>
      <x:c r="E230" s="8">
        <x:v>58369</x:v>
      </x:c>
      <x:c r="F230" s="9">
        <x:v>60205808605</x:v>
      </x:c>
      <x:c r="G230" s="9">
        <x:v>66591311664.25001</x:v>
      </x:c>
      <x:c r="H230" s="10" t="n">
        <x:f>G230-F230</x:f>
        <x:v>6385503059.250008</x:v>
      </x:c>
    </x:row>
    <x:row r="231">
      <x:c r="A231" s="7" t="str">
        <x:v>2072002</x:v>
      </x:c>
      <x:c r="B231" s="7" t="str">
        <x:v>RS Umum Daerah Raja Ahmad Tabib</x:v>
      </x:c>
      <x:c r="C231" s="7" t="str">
        <x:v>B</x:v>
      </x:c>
      <x:c r="D231" s="7" t="str">
        <x:v>KOTA TANJUNG PINANG</x:v>
      </x:c>
      <x:c r="E231" s="8">
        <x:v>78865</x:v>
      </x:c>
      <x:c r="F231" s="9">
        <x:v>73803516800</x:v>
      </x:c>
      <x:c r="G231" s="9">
        <x:v>79350264991.30003</x:v>
      </x:c>
      <x:c r="H231" s="10" t="n">
        <x:f>G231-F231</x:f>
        <x:v>5546748191.300034</x:v>
      </x:c>
    </x:row>
    <x:row r="232">
      <x:c r="A232" s="7" t="str">
        <x:v>2072012</x:v>
      </x:c>
      <x:c r="B232" s="7" t="str">
        <x:v>RS Umum Daerah Kota Tanjung Pinang</x:v>
      </x:c>
      <x:c r="C232" s="7" t="str">
        <x:v>C</x:v>
      </x:c>
      <x:c r="D232" s="7" t="str">
        <x:v>KOTA TANJUNG PINANG</x:v>
      </x:c>
      <x:c r="E232" s="8">
        <x:v>60261</x:v>
      </x:c>
      <x:c r="F232" s="9">
        <x:v>31868765200</x:v>
      </x:c>
      <x:c r="G232" s="9">
        <x:v>38145073520.64</x:v>
      </x:c>
      <x:c r="H232" s="10" t="n">
        <x:f>G232-F232</x:f>
        <x:v>6276308320.639999</x:v>
      </x:c>
    </x:row>
    <x:row r="233">
      <x:c r="A233" s="7" t="str">
        <x:v>2072023</x:v>
      </x:c>
      <x:c r="B233" s="7" t="str">
        <x:v>Rumkital dr. Midiyato Suratani</x:v>
      </x:c>
      <x:c r="C233" s="7" t="str">
        <x:v>B</x:v>
      </x:c>
      <x:c r="D233" s="7" t="str">
        <x:v>KOTA TANJUNG PINANG</x:v>
      </x:c>
      <x:c r="E233" s="8">
        <x:v>47371</x:v>
      </x:c>
      <x:c r="F233" s="9">
        <x:v>52694147905</x:v>
      </x:c>
      <x:c r="G233" s="9">
        <x:v>56221560922.59002</x:v>
      </x:c>
      <x:c r="H233" s="10" t="n">
        <x:f>G233-F233</x:f>
        <x:v>3527413017.590019</x:v>
      </x:c>
    </x:row>
    <x:row r="234">
      <x:c r="A234" s="7" t="str">
        <x:v>2105005</x:v>
      </x:c>
      <x:c r="B234" s="7" t="str">
        <x:v>RS Umum Daerah Tarempa</x:v>
      </x:c>
      <x:c r="C234" s="7" t="str">
        <x:v>D</x:v>
      </x:c>
      <x:c r="D234" s="7" t="str">
        <x:v>KEPULAUAN ANAMBAS</x:v>
      </x:c>
      <x:c r="E234" s="8">
        <x:v>4643</x:v>
      </x:c>
      <x:c r="F234" s="9">
        <x:v>3518745000</x:v>
      </x:c>
      <x:c r="G234" s="9">
        <x:v>5177109535.93</x:v>
      </x:c>
      <x:c r="H234" s="10" t="n">
        <x:f>G234-F234</x:f>
        <x:v>1658364535.9300003</x:v>
      </x:c>
    </x:row>
    <x:row r="235">
      <x:c r="A235" s="7" t="str">
        <x:v>2171061</x:v>
      </x:c>
      <x:c r="B235" s="7" t="str">
        <x:v>RS Bhayangkara Batam Polda Kepri</x:v>
      </x:c>
      <x:c r="C235" s="7" t="str">
        <x:v>D</x:v>
      </x:c>
      <x:c r="D235" s="7" t="str">
        <x:v>KOTA BATAM</x:v>
      </x:c>
      <x:c r="E235" s="8">
        <x:v>3571</x:v>
      </x:c>
      <x:c r="F235" s="9">
        <x:v>3919369600</x:v>
      </x:c>
      <x:c r="G235" s="9">
        <x:v>5267256259.199999</x:v>
      </x:c>
      <x:c r="H235" s="10" t="n">
        <x:f>G235-F235</x:f>
        <x:v>1347886659.1999989</x:v>
      </x:c>
    </x:row>
    <x:row r="236">
      <x:c r="A236" s="7" t="str">
        <x:v>2171062</x:v>
      </x:c>
      <x:c r="B236" s="7" t="str">
        <x:v>RS Keluarga Husada Batam</x:v>
      </x:c>
      <x:c r="C236" s="7" t="str">
        <x:v>C</x:v>
      </x:c>
      <x:c r="D236" s="7" t="str">
        <x:v>KOTA BATAM</x:v>
      </x:c>
      <x:c r="E236" s="8">
        <x:v>112</x:v>
      </x:c>
      <x:c r="F236" s="9">
        <x:v>114653100</x:v>
      </x:c>
      <x:c r="G236" s="9">
        <x:v>126373994.41999999</x:v>
      </x:c>
      <x:c r="H236" s="10" t="n">
        <x:f>G236-F236</x:f>
        <x:v>11720894.419999987</x:v>
      </x:c>
    </x:row>
    <x:row r="237">
      <x:c r="A237" s="7" t="str">
        <x:v>2171063</x:v>
      </x:c>
      <x:c r="B237" s="7" t="str">
        <x:v>RS Ibu dan Anak Kasih Sayang Ibu</x:v>
      </x:c>
      <x:c r="C237" s="7" t="str">
        <x:v>C</x:v>
      </x:c>
      <x:c r="D237" s="7" t="str">
        <x:v>KOTA BATAM</x:v>
      </x:c>
      <x:c r="E237" s="8">
        <x:v>2173</x:v>
      </x:c>
      <x:c r="F237" s="9">
        <x:v>5642319800</x:v>
      </x:c>
      <x:c r="G237" s="9">
        <x:v>5611556478.220006</x:v>
      </x:c>
      <x:c r="H237" s="10" t="n">
        <x:f>G237-F237</x:f>
        <x:v>-30763321.77999401</x:v>
      </x:c>
    </x:row>
    <x:row r="238">
      <x:c r="A238" s="7" t="str">
        <x:v>2171064</x:v>
      </x:c>
      <x:c r="B238" s="7" t="str">
        <x:v>RS Santa Elisabeth Sei Lekop</x:v>
      </x:c>
      <x:c r="C238" s="7" t="str">
        <x:v>D</x:v>
      </x:c>
      <x:c r="D238" s="7" t="str">
        <x:v>KOTA BATAM</x:v>
      </x:c>
      <x:c r="E238" s="8">
        <x:v>6035</x:v>
      </x:c>
      <x:c r="F238" s="9">
        <x:v>5688719200</x:v>
      </x:c>
      <x:c r="G238" s="9">
        <x:v>6862466591.4</x:v>
      </x:c>
      <x:c r="H238" s="10" t="n">
        <x:f>G238-F238</x:f>
        <x:v>1173747391.3999996</x:v>
      </x:c>
    </x:row>
    <x:row r="239">
      <x:c r="A239" s="7" t="str">
        <x:v>2171065</x:v>
      </x:c>
      <x:c r="B239" s="7" t="str">
        <x:v>RS Hj. Bunda Halimah Batam</x:v>
      </x:c>
      <x:c r="C239" s="7" t="str">
        <x:v>B</x:v>
      </x:c>
      <x:c r="D239" s="7" t="str">
        <x:v>KOTA BATAM</x:v>
      </x:c>
      <x:c r="E239" s="8">
        <x:v>38385</x:v>
      </x:c>
      <x:c r="F239" s="9">
        <x:v>48781916300</x:v>
      </x:c>
      <x:c r="G239" s="9">
        <x:v>51456521642.520004</x:v>
      </x:c>
      <x:c r="H239" s="10" t="n">
        <x:f>G239-F239</x:f>
        <x:v>2674605342.5200043</x:v>
      </x:c>
    </x:row>
    <x:row r="240">
      <x:c r="A240" s="7" t="str">
        <x:v>2171077</x:v>
      </x:c>
      <x:c r="B240" s="7" t="str">
        <x:v>RS Jasmine</x:v>
      </x:c>
      <x:c r="C240" s="7" t="str">
        <x:v>D</x:v>
      </x:c>
      <x:c r="D240" s="7" t="str">
        <x:v>KOTA BATAM</x:v>
      </x:c>
      <x:c r="E240" s="8">
        <x:v>1089</x:v>
      </x:c>
      <x:c r="F240" s="9">
        <x:v>3202418600</x:v>
      </x:c>
      <x:c r="G240" s="9">
        <x:v>3740080087.160001</x:v>
      </x:c>
      <x:c r="H240" s="10" t="n">
        <x:f>G240-F240</x:f>
        <x:v>537661487.1600008</x:v>
      </x:c>
    </x:row>
    <x:row r="241">
      <x:c r="A241" s="7" t="str">
        <x:v>2171078</x:v>
      </x:c>
      <x:c r="B241" s="7" t="str">
        <x:v>RS Awal Bros Botania</x:v>
      </x:c>
      <x:c r="C241" s="7" t="str">
        <x:v>C</x:v>
      </x:c>
      <x:c r="D241" s="7" t="str">
        <x:v>KOTA BATAM</x:v>
      </x:c>
      <x:c r="E241" s="8">
        <x:v>132160</x:v>
      </x:c>
      <x:c r="F241" s="9">
        <x:v>94298781450</x:v>
      </x:c>
      <x:c r="G241" s="9">
        <x:v>104903329480.89001</x:v>
      </x:c>
      <x:c r="H241" s="10" t="n">
        <x:f>G241-F241</x:f>
        <x:v>10604548030.890015</x:v>
      </x:c>
    </x:row>
    <x:row r="242">
      <x:c r="A242" s="7" t="str">
        <x:v>2171083</x:v>
      </x:c>
      <x:c r="B242" s="7" t="str">
        <x:v>RS Mutiara Aini</x:v>
      </x:c>
      <x:c r="C242" s="7" t="str">
        <x:v>C</x:v>
      </x:c>
      <x:c r="D242" s="7" t="str">
        <x:v>KOTA BATAM</x:v>
      </x:c>
      <x:c r="E242" s="8">
        <x:v>45961</x:v>
      </x:c>
      <x:c r="F242" s="9">
        <x:v>37797639700</x:v>
      </x:c>
      <x:c r="G242" s="9">
        <x:v>42174307179.159996</x:v>
      </x:c>
      <x:c r="H242" s="10" t="n">
        <x:f>G242-F242</x:f>
        <x:v>4376667479.159996</x:v>
      </x:c>
    </x:row>
    <x:row r="243">
      <x:c r="A243" s="7" t="str">
        <x:v>3201024</x:v>
      </x:c>
      <x:c r="B243" s="7" t="str">
        <x:v>RS Paru Dr. M. Goenawan Partowidigdo</x:v>
      </x:c>
      <x:c r="C243" s="7" t="str">
        <x:v>A</x:v>
      </x:c>
      <x:c r="D243" s="7" t="str">
        <x:v>BOGOR</x:v>
      </x:c>
      <x:c r="E243" s="8">
        <x:v>37878</x:v>
      </x:c>
      <x:c r="F243" s="9">
        <x:v>60823139800</x:v>
      </x:c>
      <x:c r="G243" s="9">
        <x:v>56683925829.380005</x:v>
      </x:c>
      <x:c r="H243" s="10" t="n">
        <x:f>G243-F243</x:f>
        <x:v>-4139213970.619995</x:v>
      </x:c>
    </x:row>
    <x:row r="244">
      <x:c r="A244" s="7" t="str">
        <x:v>3201035</x:v>
      </x:c>
      <x:c r="B244" s="7" t="str">
        <x:v>RS Umum Bhakti Yudha</x:v>
      </x:c>
      <x:c r="C244" s="7" t="str">
        <x:v>C</x:v>
      </x:c>
      <x:c r="D244" s="7" t="str">
        <x:v>KOTA DEPOK</x:v>
      </x:c>
      <x:c r="E244" s="8">
        <x:v>67578</x:v>
      </x:c>
      <x:c r="F244" s="9">
        <x:v>42377594250</x:v>
      </x:c>
      <x:c r="G244" s="9">
        <x:v>48552333480.08001</x:v>
      </x:c>
      <x:c r="H244" s="10" t="n">
        <x:f>G244-F244</x:f>
        <x:v>6174739230.080009</x:v>
      </x:c>
    </x:row>
    <x:row r="245">
      <x:c r="A245" s="7" t="str">
        <x:v>3201046</x:v>
      </x:c>
      <x:c r="B245" s="7" t="str">
        <x:v>RS Umum Daerah Cibinong</x:v>
      </x:c>
      <x:c r="C245" s="7" t="str">
        <x:v>B</x:v>
      </x:c>
      <x:c r="D245" s="7" t="str">
        <x:v>BOGOR</x:v>
      </x:c>
      <x:c r="E245" s="8">
        <x:v>143323</x:v>
      </x:c>
      <x:c r="F245" s="9">
        <x:v>193921719980</x:v>
      </x:c>
      <x:c r="G245" s="9">
        <x:v>210500655898.6501</x:v>
      </x:c>
      <x:c r="H245" s="10" t="n">
        <x:f>G245-F245</x:f>
        <x:v>16578935918.650085</x:v>
      </x:c>
    </x:row>
    <x:row r="246">
      <x:c r="A246" s="7" t="str">
        <x:v>3201050</x:v>
      </x:c>
      <x:c r="B246" s="7" t="str">
        <x:v>RS Umum Daerah Ciawi</x:v>
      </x:c>
      <x:c r="C246" s="7" t="str">
        <x:v>B</x:v>
      </x:c>
      <x:c r="D246" s="7" t="str">
        <x:v>BOGOR</x:v>
      </x:c>
      <x:c r="E246" s="8">
        <x:v>143369</x:v>
      </x:c>
      <x:c r="F246" s="9">
        <x:v>166714730880</x:v>
      </x:c>
      <x:c r="G246" s="9">
        <x:v>184135932515.69992</x:v>
      </x:c>
      <x:c r="H246" s="10" t="n">
        <x:f>G246-F246</x:f>
        <x:v>17421201635.69992</x:v>
      </x:c>
    </x:row>
    <x:row r="247">
      <x:c r="A247" s="7" t="str">
        <x:v>3201061</x:v>
      </x:c>
      <x:c r="B247" s="7" t="str">
        <x:v>RS Umum Tugu Ibu</x:v>
      </x:c>
      <x:c r="C247" s="7" t="str">
        <x:v>C</x:v>
      </x:c>
      <x:c r="D247" s="7" t="str">
        <x:v>BOGOR</x:v>
      </x:c>
      <x:c r="E247" s="8">
        <x:v>62912</x:v>
      </x:c>
      <x:c r="F247" s="9">
        <x:v>28572020600</x:v>
      </x:c>
      <x:c r="G247" s="9">
        <x:v>32748805089.029984</x:v>
      </x:c>
      <x:c r="H247" s="10" t="n">
        <x:f>G247-F247</x:f>
        <x:v>4176784489.0299835</x:v>
      </x:c>
    </x:row>
    <x:row r="248">
      <x:c r="A248" s="7" t="str">
        <x:v>3201083</x:v>
      </x:c>
      <x:c r="B248" s="7" t="str">
        <x:v>RS Umum Daerah R. Moh. Noh Nur</x:v>
      </x:c>
      <x:c r="C248" s="7" t="str">
        <x:v>B</x:v>
      </x:c>
      <x:c r="D248" s="7" t="str">
        <x:v>BOGOR</x:v>
      </x:c>
      <x:c r="E248" s="8">
        <x:v>174684</x:v>
      </x:c>
      <x:c r="F248" s="9">
        <x:v>137658762735</x:v>
      </x:c>
      <x:c r="G248" s="9">
        <x:v>156183841006.96988</x:v>
      </x:c>
      <x:c r="H248" s="10" t="n">
        <x:f>G248-F248</x:f>
        <x:v>18525078271.96988</x:v>
      </x:c>
    </x:row>
    <x:row r="249">
      <x:c r="A249" s="7" t="str">
        <x:v>3201094</x:v>
      </x:c>
      <x:c r="B249" s="7" t="str">
        <x:v>RS Umum Annisa</x:v>
      </x:c>
      <x:c r="C249" s="7" t="str">
        <x:v>C</x:v>
      </x:c>
      <x:c r="D249" s="7" t="str">
        <x:v>BOGOR</x:v>
      </x:c>
      <x:c r="E249" s="8">
        <x:v>52372</x:v>
      </x:c>
      <x:c r="F249" s="9">
        <x:v>33582137100</x:v>
      </x:c>
      <x:c r="G249" s="9">
        <x:v>37380243968.01002</x:v>
      </x:c>
      <x:c r="H249" s="10" t="n">
        <x:f>G249-F249</x:f>
        <x:v>3798106868.0100174</x:v>
      </x:c>
    </x:row>
    <x:row r="250">
      <x:c r="A250" s="7" t="str">
        <x:v>3201115</x:v>
      </x:c>
      <x:c r="B250" s="7" t="str">
        <x:v>RS Mitra Keluarga Bina Husada</x:v>
      </x:c>
      <x:c r="C250" s="7" t="str">
        <x:v>C</x:v>
      </x:c>
      <x:c r="D250" s="7" t="str">
        <x:v>BOGOR</x:v>
      </x:c>
      <x:c r="E250" s="8">
        <x:v>76676</x:v>
      </x:c>
      <x:c r="F250" s="9">
        <x:v>43920664400</x:v>
      </x:c>
      <x:c r="G250" s="9">
        <x:v>47993024701.39999</x:v>
      </x:c>
      <x:c r="H250" s="10" t="n">
        <x:f>G250-F250</x:f>
        <x:v>4072360301.3999863</x:v>
      </x:c>
    </x:row>
    <x:row r="251">
      <x:c r="A251" s="7" t="str">
        <x:v>3201126</x:v>
      </x:c>
      <x:c r="B251" s="7" t="str">
        <x:v>RS Umum Hermina Depok</x:v>
      </x:c>
      <x:c r="C251" s="7" t="str">
        <x:v>B</x:v>
      </x:c>
      <x:c r="D251" s="7" t="str">
        <x:v>BOGOR</x:v>
      </x:c>
      <x:c r="E251" s="8">
        <x:v>118768</x:v>
      </x:c>
      <x:c r="F251" s="9">
        <x:v>142871763600</x:v>
      </x:c>
      <x:c r="G251" s="9">
        <x:v>156197047393.50006</x:v>
      </x:c>
      <x:c r="H251" s="10" t="n">
        <x:f>G251-F251</x:f>
        <x:v>13325283793.500061</x:v>
      </x:c>
    </x:row>
    <x:row r="252">
      <x:c r="A252" s="7" t="str">
        <x:v>3201130</x:v>
      </x:c>
      <x:c r="B252" s="7" t="str">
        <x:v>RS Citra Insani</x:v>
      </x:c>
      <x:c r="C252" s="7" t="str">
        <x:v>D</x:v>
      </x:c>
      <x:c r="D252" s="7" t="str">
        <x:v>BOGOR</x:v>
      </x:c>
      <x:c r="E252" s="8">
        <x:v>4896</x:v>
      </x:c>
      <x:c r="F252" s="9">
        <x:v>6297711400</x:v>
      </x:c>
      <x:c r="G252" s="9">
        <x:v>7687330236.470002</x:v>
      </x:c>
      <x:c r="H252" s="10" t="n">
        <x:f>G252-F252</x:f>
        <x:v>1389618836.4700022</x:v>
      </x:c>
    </x:row>
    <x:row r="253">
      <x:c r="A253" s="7" t="str">
        <x:v>3201141</x:v>
      </x:c>
      <x:c r="B253" s="7" t="str">
        <x:v>RS Ibu dan Anak Tumbuh Kembang</x:v>
      </x:c>
      <x:c r="C253" s="7" t="str">
        <x:v>C</x:v>
      </x:c>
      <x:c r="D253" s="7" t="str">
        <x:v>BOGOR</x:v>
      </x:c>
      <x:c r="E253" s="8">
        <x:v>5746</x:v>
      </x:c>
      <x:c r="F253" s="9">
        <x:v>6540631500</x:v>
      </x:c>
      <x:c r="G253" s="9">
        <x:v>7157314388.589999</x:v>
      </x:c>
      <x:c r="H253" s="10" t="n">
        <x:f>G253-F253</x:f>
        <x:v>616682888.5899992</x:v>
      </x:c>
    </x:row>
    <x:row r="254">
      <x:c r="A254" s="7" t="str">
        <x:v>3201150</x:v>
      </x:c>
      <x:c r="B254" s="7" t="str">
        <x:v>RS Umum Family Medical Center</x:v>
      </x:c>
      <x:c r="C254" s="7" t="str">
        <x:v>C</x:v>
      </x:c>
      <x:c r="D254" s="7" t="str">
        <x:v>BOGOR</x:v>
      </x:c>
      <x:c r="E254" s="8">
        <x:v>51681</x:v>
      </x:c>
      <x:c r="F254" s="9">
        <x:v>28346380900</x:v>
      </x:c>
      <x:c r="G254" s="9">
        <x:v>31279751870.80001</x:v>
      </x:c>
      <x:c r="H254" s="10" t="n">
        <x:f>G254-F254</x:f>
        <x:v>2933370970.8000107</x:v>
      </x:c>
    </x:row>
    <x:row r="255">
      <x:c r="A255" s="7" t="str">
        <x:v>3201152</x:v>
      </x:c>
      <x:c r="B255" s="7" t="str">
        <x:v>RS Umum Mary Cileungsi Hijau</x:v>
      </x:c>
      <x:c r="C255" s="7" t="str">
        <x:v>C</x:v>
      </x:c>
      <x:c r="D255" s="7" t="str">
        <x:v>BOGOR</x:v>
      </x:c>
      <x:c r="E255" s="8">
        <x:v>55281</x:v>
      </x:c>
      <x:c r="F255" s="9">
        <x:v>43426990400</x:v>
      </x:c>
      <x:c r="G255" s="9">
        <x:v>48158235671.56</x:v>
      </x:c>
      <x:c r="H255" s="10" t="n">
        <x:f>G255-F255</x:f>
        <x:v>4731245271.559998</x:v>
      </x:c>
    </x:row>
    <x:row r="256">
      <x:c r="A256" s="7" t="str">
        <x:v>3201185</x:v>
      </x:c>
      <x:c r="B256" s="7" t="str">
        <x:v>RS Umum Meilia</x:v>
      </x:c>
      <x:c r="C256" s="7" t="str">
        <x:v>B</x:v>
      </x:c>
      <x:c r="D256" s="7" t="str">
        <x:v>BOGOR</x:v>
      </x:c>
      <x:c r="E256" s="8">
        <x:v>60479</x:v>
      </x:c>
      <x:c r="F256" s="9">
        <x:v>47382337600</x:v>
      </x:c>
      <x:c r="G256" s="9">
        <x:v>46566305594.82001</x:v>
      </x:c>
      <x:c r="H256" s="10" t="n">
        <x:f>G256-F256</x:f>
        <x:v>-816032005.1799927</x:v>
      </x:c>
    </x:row>
    <x:row r="257">
      <x:c r="A257" s="7" t="str">
        <x:v>3201196</x:v>
      </x:c>
      <x:c r="B257" s="7" t="str">
        <x:v>RS Umum Bunda Margonda</x:v>
      </x:c>
      <x:c r="C257" s="7" t="str">
        <x:v>C</x:v>
      </x:c>
      <x:c r="D257" s="7" t="str">
        <x:v>BOGOR</x:v>
      </x:c>
      <x:c r="E257" s="8">
        <x:v>47061</x:v>
      </x:c>
      <x:c r="F257" s="9">
        <x:v>29674883600</x:v>
      </x:c>
      <x:c r="G257" s="9">
        <x:v>32836818946.460014</x:v>
      </x:c>
      <x:c r="H257" s="10" t="n">
        <x:f>G257-F257</x:f>
        <x:v>3161935346.4600143</x:v>
      </x:c>
    </x:row>
    <x:row r="258">
      <x:c r="A258" s="7" t="str">
        <x:v>3201207</x:v>
      </x:c>
      <x:c r="B258" s="7" t="str">
        <x:v>RS dr. Abdul Radjak Cileungsi</x:v>
      </x:c>
      <x:c r="C258" s="7" t="str">
        <x:v>C</x:v>
      </x:c>
      <x:c r="D258" s="7" t="str">
        <x:v>BOGOR</x:v>
      </x:c>
      <x:c r="E258" s="8">
        <x:v>53202</x:v>
      </x:c>
      <x:c r="F258" s="9">
        <x:v>42249023600</x:v>
      </x:c>
      <x:c r="G258" s="9">
        <x:v>48772272363.46999</x:v>
      </x:c>
      <x:c r="H258" s="10" t="n">
        <x:f>G258-F258</x:f>
        <x:v>6523248763.469994</x:v>
      </x:c>
    </x:row>
    <x:row r="259">
      <x:c r="A259" s="7" t="str">
        <x:v>3201218</x:v>
      </x:c>
      <x:c r="B259" s="7" t="str">
        <x:v>RS Umum Islam Bogor</x:v>
      </x:c>
      <x:c r="C259" s="7" t="str">
        <x:v>C</x:v>
      </x:c>
      <x:c r="D259" s="7" t="str">
        <x:v>BOGOR</x:v>
      </x:c>
      <x:c r="E259" s="8">
        <x:v>55432</x:v>
      </x:c>
      <x:c r="F259" s="9">
        <x:v>30362543600</x:v>
      </x:c>
      <x:c r="G259" s="9">
        <x:v>35091369817.09</x:v>
      </x:c>
      <x:c r="H259" s="10" t="n">
        <x:f>G259-F259</x:f>
        <x:v>4728826217.089996</x:v>
      </x:c>
    </x:row>
    <x:row r="260">
      <x:c r="A260" s="7" t="str">
        <x:v>3201229</x:v>
      </x:c>
      <x:c r="B260" s="7" t="str">
        <x:v>RS Umum Citama</x:v>
      </x:c>
      <x:c r="C260" s="7" t="str">
        <x:v>C</x:v>
      </x:c>
      <x:c r="D260" s="7" t="str">
        <x:v>BOGOR</x:v>
      </x:c>
      <x:c r="E260" s="8">
        <x:v>69458</x:v>
      </x:c>
      <x:c r="F260" s="9">
        <x:v>44758248100</x:v>
      </x:c>
      <x:c r="G260" s="9">
        <x:v>51070105463.13999</x:v>
      </x:c>
      <x:c r="H260" s="10" t="n">
        <x:f>G260-F260</x:f>
        <x:v>6311857363.139992</x:v>
      </x:c>
    </x:row>
    <x:row r="261">
      <x:c r="A261" s="7" t="str">
        <x:v>3201230</x:v>
      </x:c>
      <x:c r="B261" s="7" t="str">
        <x:v>RS Umum Sentra Medika Cibinong</x:v>
      </x:c>
      <x:c r="C261" s="7" t="str">
        <x:v>B</x:v>
      </x:c>
      <x:c r="D261" s="7" t="str">
        <x:v>BOGOR</x:v>
      </x:c>
      <x:c r="E261" s="8">
        <x:v>130853</x:v>
      </x:c>
      <x:c r="F261" s="9">
        <x:v>178315269160</x:v>
      </x:c>
      <x:c r="G261" s="9">
        <x:v>187092226305.2299</x:v>
      </x:c>
      <x:c r="H261" s="10" t="n">
        <x:f>G261-F261</x:f>
        <x:v>8776957145.229889</x:v>
      </x:c>
    </x:row>
    <x:row r="262">
      <x:c r="A262" s="7" t="str">
        <x:v>3201231</x:v>
      </x:c>
      <x:c r="B262" s="7" t="str">
        <x:v>RS Sentosa</x:v>
      </x:c>
      <x:c r="C262" s="7" t="str">
        <x:v>C</x:v>
      </x:c>
      <x:c r="D262" s="7" t="str">
        <x:v>BOGOR</x:v>
      </x:c>
      <x:c r="E262" s="8">
        <x:v>42737</x:v>
      </x:c>
      <x:c r="F262" s="9">
        <x:v>32779835800</x:v>
      </x:c>
      <x:c r="G262" s="9">
        <x:v>36787887276.55</x:v>
      </x:c>
      <x:c r="H262" s="10" t="n">
        <x:f>G262-F262</x:f>
        <x:v>4008051476.550003</x:v>
      </x:c>
    </x:row>
    <x:row r="263">
      <x:c r="A263" s="7" t="str">
        <x:v>3201232</x:v>
      </x:c>
      <x:c r="B263" s="7" t="str">
        <x:v>RS Umum Daerah RH. Satibi</x:v>
      </x:c>
      <x:c r="C263" s="7" t="str">
        <x:v>B</x:v>
      </x:c>
      <x:c r="D263" s="7" t="str">
        <x:v>BOGOR</x:v>
      </x:c>
      <x:c r="E263" s="8">
        <x:v>81504</x:v>
      </x:c>
      <x:c r="F263" s="9">
        <x:v>142470182390</x:v>
      </x:c>
      <x:c r="G263" s="9">
        <x:v>158580425062.96997</x:v>
      </x:c>
      <x:c r="H263" s="10" t="n">
        <x:f>G263-F263</x:f>
        <x:v>16110242672.96997</x:v>
      </x:c>
    </x:row>
    <x:row r="264">
      <x:c r="A264" s="7" t="str">
        <x:v>3201233</x:v>
      </x:c>
      <x:c r="B264" s="7" t="str">
        <x:v>RS Umum Rumah Sehat Terpadu Dompet Dhuafa</x:v>
      </x:c>
      <x:c r="C264" s="7" t="str">
        <x:v>C</x:v>
      </x:c>
      <x:c r="D264" s="7" t="str">
        <x:v>BOGOR</x:v>
      </x:c>
      <x:c r="E264" s="8">
        <x:v>72607</x:v>
      </x:c>
      <x:c r="F264" s="9">
        <x:v>48098598700</x:v>
      </x:c>
      <x:c r="G264" s="9">
        <x:v>54821203273.95999</x:v>
      </x:c>
      <x:c r="H264" s="10" t="n">
        <x:f>G264-F264</x:f>
        <x:v>6722604573.959991</x:v>
      </x:c>
    </x:row>
    <x:row r="265">
      <x:c r="A265" s="7" t="str">
        <x:v>3201236</x:v>
      </x:c>
      <x:c r="B265" s="7" t="str">
        <x:v>RS Umum Medika Dramaga</x:v>
      </x:c>
      <x:c r="C265" s="7" t="str">
        <x:v>C</x:v>
      </x:c>
      <x:c r="D265" s="7" t="str">
        <x:v>BOGOR</x:v>
      </x:c>
      <x:c r="E265" s="8">
        <x:v>93905</x:v>
      </x:c>
      <x:c r="F265" s="9">
        <x:v>47402449400</x:v>
      </x:c>
      <x:c r="G265" s="9">
        <x:v>55299597805.37001</x:v>
      </x:c>
      <x:c r="H265" s="10" t="n">
        <x:f>G265-F265</x:f>
        <x:v>7897148405.37001</x:v>
      </x:c>
    </x:row>
    <x:row r="266">
      <x:c r="A266" s="7" t="str">
        <x:v>3201238</x:v>
      </x:c>
      <x:c r="B266" s="7" t="str">
        <x:v>RS Umum Hermina Mekarsari</x:v>
      </x:c>
      <x:c r="C266" s="7" t="str">
        <x:v>C</x:v>
      </x:c>
      <x:c r="D266" s="7" t="str">
        <x:v>BOGOR</x:v>
      </x:c>
      <x:c r="E266" s="8">
        <x:v>112530</x:v>
      </x:c>
      <x:c r="F266" s="9">
        <x:v>74074031550</x:v>
      </x:c>
      <x:c r="G266" s="9">
        <x:v>85805166954.89</x:v>
      </x:c>
      <x:c r="H266" s="10" t="n">
        <x:f>G266-F266</x:f>
        <x:v>11731135404.89</x:v>
      </x:c>
    </x:row>
    <x:row r="267">
      <x:c r="A267" s="7" t="str">
        <x:v>3201239</x:v>
      </x:c>
      <x:c r="B267" s="7" t="str">
        <x:v>RSU Assalam</x:v>
      </x:c>
      <x:c r="C267" s="7" t="str">
        <x:v>D</x:v>
      </x:c>
      <x:c r="D267" s="7" t="str">
        <x:v>BOGOR</x:v>
      </x:c>
      <x:c r="E267" s="8">
        <x:v>11330</x:v>
      </x:c>
      <x:c r="F267" s="9">
        <x:v>12909632500</x:v>
      </x:c>
      <x:c r="G267" s="9">
        <x:v>15047837769.520006</x:v>
      </x:c>
      <x:c r="H267" s="10" t="n">
        <x:f>G267-F267</x:f>
        <x:v>2138205269.5200062</x:v>
      </x:c>
    </x:row>
    <x:row r="268">
      <x:c r="A268" s="7" t="str">
        <x:v>3201240</x:v>
      </x:c>
      <x:c r="B268" s="7" t="str">
        <x:v>RS Umum Juliana</x:v>
      </x:c>
      <x:c r="C268" s="7" t="str">
        <x:v>C</x:v>
      </x:c>
      <x:c r="D268" s="7" t="str">
        <x:v>BOGOR</x:v>
      </x:c>
      <x:c r="E268" s="8">
        <x:v>49047</x:v>
      </x:c>
      <x:c r="F268" s="9">
        <x:v>30724899600</x:v>
      </x:c>
      <x:c r="G268" s="9">
        <x:v>35710358085.94999</x:v>
      </x:c>
      <x:c r="H268" s="10" t="n">
        <x:f>G268-F268</x:f>
        <x:v>4985458485.949989</x:v>
      </x:c>
    </x:row>
    <x:row r="269">
      <x:c r="A269" s="7" t="str">
        <x:v>3201241</x:v>
      </x:c>
      <x:c r="B269" s="7" t="str">
        <x:v>RS Umum Ummi</x:v>
      </x:c>
      <x:c r="C269" s="7" t="str">
        <x:v>C</x:v>
      </x:c>
      <x:c r="D269" s="7" t="str">
        <x:v>BOGOR</x:v>
      </x:c>
      <x:c r="E269" s="8">
        <x:v>159122</x:v>
      </x:c>
      <x:c r="F269" s="9">
        <x:v>120399056000</x:v>
      </x:c>
      <x:c r="G269" s="9">
        <x:v>143972304584.73996</x:v>
      </x:c>
      <x:c r="H269" s="10" t="n">
        <x:f>G269-F269</x:f>
        <x:v>23573248584.73996</x:v>
      </x:c>
    </x:row>
    <x:row r="270">
      <x:c r="A270" s="7" t="str">
        <x:v>3201242</x:v>
      </x:c>
      <x:c r="B270" s="7" t="str">
        <x:v>RS Umum Kenari Graha Medika</x:v>
      </x:c>
      <x:c r="C270" s="7" t="str">
        <x:v>D</x:v>
      </x:c>
      <x:c r="D270" s="7" t="str">
        <x:v>BOGOR</x:v>
      </x:c>
      <x:c r="E270" s="8">
        <x:v>15657</x:v>
      </x:c>
      <x:c r="F270" s="9">
        <x:v>14647850800</x:v>
      </x:c>
      <x:c r="G270" s="9">
        <x:v>18445024945.530006</x:v>
      </x:c>
      <x:c r="H270" s="10" t="n">
        <x:f>G270-F270</x:f>
        <x:v>3797174145.5300064</x:v>
      </x:c>
    </x:row>
    <x:row r="271">
      <x:c r="A271" s="7" t="str">
        <x:v>3201243</x:v>
      </x:c>
      <x:c r="B271" s="7" t="str">
        <x:v>RS Ibu dan Anak Sawojajar</x:v>
      </x:c>
      <x:c r="C271" s="7" t="str">
        <x:v>C</x:v>
      </x:c>
      <x:c r="D271" s="7" t="str">
        <x:v>BOGOR</x:v>
      </x:c>
      <x:c r="E271" s="8">
        <x:v>3301</x:v>
      </x:c>
      <x:c r="F271" s="9">
        <x:v>3167794200</x:v>
      </x:c>
      <x:c r="G271" s="9">
        <x:v>3646879652.3399997</x:v>
      </x:c>
      <x:c r="H271" s="10" t="n">
        <x:f>G271-F271</x:f>
        <x:v>479085452.3399997</x:v>
      </x:c>
    </x:row>
    <x:row r="272">
      <x:c r="A272" s="7" t="str">
        <x:v>3201244</x:v>
      </x:c>
      <x:c r="B272" s="7" t="str">
        <x:v>RS Umum Permata Jonggol</x:v>
      </x:c>
      <x:c r="C272" s="7" t="str">
        <x:v>C</x:v>
      </x:c>
      <x:c r="D272" s="7" t="str">
        <x:v>BOGOR</x:v>
      </x:c>
      <x:c r="E272" s="8">
        <x:v>101485</x:v>
      </x:c>
      <x:c r="F272" s="9">
        <x:v>65201103650</x:v>
      </x:c>
      <x:c r="G272" s="9">
        <x:v>74606066219.03</x:v>
      </x:c>
      <x:c r="H272" s="10" t="n">
        <x:f>G272-F272</x:f>
        <x:v>9404962569.029999</x:v>
      </x:c>
    </x:row>
    <x:row r="273">
      <x:c r="A273" s="7" t="str">
        <x:v>3201245</x:v>
      </x:c>
      <x:c r="B273" s="7" t="str">
        <x:v>RS Umum Karya Bhakti Pratiwi</x:v>
      </x:c>
      <x:c r="C273" s="7" t="str">
        <x:v>C</x:v>
      </x:c>
      <x:c r="D273" s="7" t="str">
        <x:v>BOGOR</x:v>
      </x:c>
      <x:c r="E273" s="8">
        <x:v>111320</x:v>
      </x:c>
      <x:c r="F273" s="9">
        <x:v>68902631100</x:v>
      </x:c>
      <x:c r="G273" s="9">
        <x:v>79675690590.6</x:v>
      </x:c>
      <x:c r="H273" s="10" t="n">
        <x:f>G273-F273</x:f>
        <x:v>10773059490.600006</x:v>
      </x:c>
    </x:row>
    <x:row r="274">
      <x:c r="A274" s="7" t="str">
        <x:v>3201246</x:v>
      </x:c>
      <x:c r="B274" s="7" t="str">
        <x:v>RS Ibu dan Anak Bunda Suryatni</x:v>
      </x:c>
      <x:c r="C274" s="7" t="str">
        <x:v>C</x:v>
      </x:c>
      <x:c r="D274" s="7" t="str">
        <x:v>BOGOR</x:v>
      </x:c>
      <x:c r="E274" s="8">
        <x:v>4093</x:v>
      </x:c>
      <x:c r="F274" s="9">
        <x:v>8232195800</x:v>
      </x:c>
      <x:c r="G274" s="9">
        <x:v>9241255262.300001</x:v>
      </x:c>
      <x:c r="H274" s="10" t="n">
        <x:f>G274-F274</x:f>
        <x:v>1009059462.3000011</x:v>
      </x:c>
    </x:row>
    <x:row r="275">
      <x:c r="A275" s="7" t="str">
        <x:v>3201247</x:v>
      </x:c>
      <x:c r="B275" s="7" t="str">
        <x:v>RS EMC Sentul</x:v>
      </x:c>
      <x:c r="C275" s="7" t="str">
        <x:v>B</x:v>
      </x:c>
      <x:c r="D275" s="7" t="str">
        <x:v>BOGOR</x:v>
      </x:c>
      <x:c r="E275" s="8">
        <x:v>9529</x:v>
      </x:c>
      <x:c r="F275" s="9">
        <x:v>8980491500</x:v>
      </x:c>
      <x:c r="G275" s="9">
        <x:v>8518608908.160002</x:v>
      </x:c>
      <x:c r="H275" s="10" t="n">
        <x:f>G275-F275</x:f>
        <x:v>-461882591.83999825</x:v>
      </x:c>
    </x:row>
    <x:row r="276">
      <x:c r="A276" s="7" t="str">
        <x:v>3201249</x:v>
      </x:c>
      <x:c r="B276" s="7" t="str">
        <x:v>RS Asysyifaa</x:v>
      </x:c>
      <x:c r="C276" s="7" t="str">
        <x:v>C</x:v>
      </x:c>
      <x:c r="D276" s="7" t="str">
        <x:v>BOGOR</x:v>
      </x:c>
      <x:c r="E276" s="8">
        <x:v>41047</x:v>
      </x:c>
      <x:c r="F276" s="9">
        <x:v>33136854600</x:v>
      </x:c>
      <x:c r="G276" s="9">
        <x:v>39263767333.55</x:v>
      </x:c>
      <x:c r="H276" s="10" t="n">
        <x:f>G276-F276</x:f>
        <x:v>6126912733.550003</x:v>
      </x:c>
    </x:row>
    <x:row r="277">
      <x:c r="A277" s="7" t="str">
        <x:v>3201250</x:v>
      </x:c>
      <x:c r="B277" s="7" t="str">
        <x:v>RS Helsa Citeureup</x:v>
      </x:c>
      <x:c r="C277" s="7" t="str">
        <x:v>C</x:v>
      </x:c>
      <x:c r="D277" s="7" t="str">
        <x:v>BOGOR</x:v>
      </x:c>
      <x:c r="E277" s="8">
        <x:v>14387</x:v>
      </x:c>
      <x:c r="F277" s="9">
        <x:v>15947353800</x:v>
      </x:c>
      <x:c r="G277" s="9">
        <x:v>18383338511.729996</x:v>
      </x:c>
      <x:c r="H277" s="10" t="n">
        <x:f>G277-F277</x:f>
        <x:v>2435984711.7299957</x:v>
      </x:c>
    </x:row>
    <x:row r="278">
      <x:c r="A278" s="7" t="str">
        <x:v>3201251</x:v>
      </x:c>
      <x:c r="B278" s="7" t="str">
        <x:v>RS Umum Siloam Hospitals Bogor</x:v>
      </x:c>
      <x:c r="C278" s="7" t="str">
        <x:v>C</x:v>
      </x:c>
      <x:c r="D278" s="7" t="str">
        <x:v>KOTA BOGOR</x:v>
      </x:c>
      <x:c r="E278" s="8">
        <x:v>12</x:v>
      </x:c>
      <x:c r="F278" s="9">
        <x:v>4449900</x:v>
      </x:c>
      <x:c r="G278" s="9">
        <x:v>4298168.84</x:v>
      </x:c>
      <x:c r="H278" s="10" t="n">
        <x:f>G278-F278</x:f>
        <x:v>-151731.16000000015</x:v>
      </x:c>
    </x:row>
    <x:row r="279">
      <x:c r="A279" s="7" t="str">
        <x:v>3201252</x:v>
      </x:c>
      <x:c r="B279" s="7" t="str">
        <x:v>RS Harapan Sehati</x:v>
      </x:c>
      <x:c r="C279" s="7" t="str">
        <x:v>C</x:v>
      </x:c>
      <x:c r="D279" s="7" t="str">
        <x:v>KOTA BOGOR</x:v>
      </x:c>
      <x:c r="E279" s="8">
        <x:v>23372</x:v>
      </x:c>
      <x:c r="F279" s="9">
        <x:v>13665915200</x:v>
      </x:c>
      <x:c r="G279" s="9">
        <x:v>16262513143.720005</x:v>
      </x:c>
      <x:c r="H279" s="10" t="n">
        <x:f>G279-F279</x:f>
        <x:v>2596597943.720005</x:v>
      </x:c>
    </x:row>
    <x:row r="280">
      <x:c r="A280" s="7" t="str">
        <x:v>3201254</x:v>
      </x:c>
      <x:c r="B280" s="7" t="str">
        <x:v>Bogor Senior Hospital</x:v>
      </x:c>
      <x:c r="C280" s="7" t="str">
        <x:v>C</x:v>
      </x:c>
      <x:c r="D280" s="7" t="str">
        <x:v>KOTA BOGOR</x:v>
      </x:c>
      <x:c r="E280" s="8">
        <x:v>21272</x:v>
      </x:c>
      <x:c r="F280" s="9">
        <x:v>17742024400</x:v>
      </x:c>
      <x:c r="G280" s="9">
        <x:v>23323854848.039997</x:v>
      </x:c>
      <x:c r="H280" s="10" t="n">
        <x:f>G280-F280</x:f>
        <x:v>5581830448.039997</x:v>
      </x:c>
    </x:row>
    <x:row r="281">
      <x:c r="A281" s="7" t="str">
        <x:v>3201256</x:v>
      </x:c>
      <x:c r="B281" s="7" t="str">
        <x:v>RS Universitas Indonesia</x:v>
      </x:c>
      <x:c r="C281" s="7" t="str">
        <x:v>A</x:v>
      </x:c>
      <x:c r="D281" s="7" t="str">
        <x:v>KOTA DEPOK</x:v>
      </x:c>
      <x:c r="E281" s="8">
        <x:v>139021</x:v>
      </x:c>
      <x:c r="F281" s="9">
        <x:v>266369238455</x:v>
      </x:c>
      <x:c r="G281" s="9">
        <x:v>210860983041.99</x:v>
      </x:c>
      <x:c r="H281" s="10" t="n">
        <x:f>G281-F281</x:f>
        <x:v>-55508255413.01001</x:v>
      </x:c>
    </x:row>
    <x:row r="282">
      <x:c r="A282" s="7" t="str">
        <x:v>3201257</x:v>
      </x:c>
      <x:c r="B282" s="7" t="str">
        <x:v>RS Umum Nuraida</x:v>
      </x:c>
      <x:c r="C282" s="7" t="str">
        <x:v>C</x:v>
      </x:c>
      <x:c r="D282" s="7" t="str">
        <x:v>BOGOR</x:v>
      </x:c>
      <x:c r="E282" s="8">
        <x:v>13868</x:v>
      </x:c>
      <x:c r="F282" s="9">
        <x:v>12494365800</x:v>
      </x:c>
      <x:c r="G282" s="9">
        <x:v>14484992122.990005</x:v>
      </x:c>
      <x:c r="H282" s="10" t="n">
        <x:f>G282-F282</x:f>
        <x:v>1990626322.9900055</x:v>
      </x:c>
    </x:row>
    <x:row r="283">
      <x:c r="A283" s="7" t="str">
        <x:v>3201258</x:v>
      </x:c>
      <x:c r="B283" s="7" t="str">
        <x:v>RS Eka Hospital</x:v>
      </x:c>
      <x:c r="C283" s="7" t="str">
        <x:v>B</x:v>
      </x:c>
      <x:c r="D283" s="7" t="str">
        <x:v>BOGOR</x:v>
      </x:c>
      <x:c r="E283" s="8">
        <x:v>8455</x:v>
      </x:c>
      <x:c r="F283" s="9">
        <x:v>7914106600</x:v>
      </x:c>
      <x:c r="G283" s="9">
        <x:v>7830907225.270002</x:v>
      </x:c>
      <x:c r="H283" s="10" t="n">
        <x:f>G283-F283</x:f>
        <x:v>-83199374.72999763</x:v>
      </x:c>
    </x:row>
    <x:row r="284">
      <x:c r="A284" s="7" t="str">
        <x:v>3201259</x:v>
      </x:c>
      <x:c r="B284" s="7" t="str">
        <x:v>RS Pena 98</x:v>
      </x:c>
      <x:c r="C284" s="7" t="str">
        <x:v>C</x:v>
      </x:c>
      <x:c r="D284" s="7" t="str">
        <x:v>BOGOR</x:v>
      </x:c>
      <x:c r="E284" s="8">
        <x:v>44625</x:v>
      </x:c>
      <x:c r="F284" s="9">
        <x:v>41563451500</x:v>
      </x:c>
      <x:c r="G284" s="9">
        <x:v>48105401432.16999</x:v>
      </x:c>
      <x:c r="H284" s="10" t="n">
        <x:f>G284-F284</x:f>
        <x:v>6541949932.169991</x:v>
      </x:c>
    </x:row>
    <x:row r="285">
      <x:c r="A285" s="7" t="str">
        <x:v>3201271</x:v>
      </x:c>
      <x:c r="B285" s="7" t="str">
        <x:v>RS Islam Aysha</x:v>
      </x:c>
      <x:c r="C285" s="7" t="str">
        <x:v>C</x:v>
      </x:c>
      <x:c r="D285" s="7" t="str">
        <x:v>BOGOR</x:v>
      </x:c>
      <x:c r="E285" s="8">
        <x:v>41163</x:v>
      </x:c>
      <x:c r="F285" s="9">
        <x:v>35486365500</x:v>
      </x:c>
      <x:c r="G285" s="9">
        <x:v>41197607945.54997</x:v>
      </x:c>
      <x:c r="H285" s="10" t="n">
        <x:f>G285-F285</x:f>
        <x:v>5711242445.549973</x:v>
      </x:c>
    </x:row>
    <x:row r="286">
      <x:c r="A286" s="7" t="str">
        <x:v>3201272</x:v>
      </x:c>
      <x:c r="B286" s="7" t="str">
        <x:v>RS Paragon</x:v>
      </x:c>
      <x:c r="C286" s="7" t="str">
        <x:v>C</x:v>
      </x:c>
      <x:c r="D286" s="7" t="str">
        <x:v>BOGOR</x:v>
      </x:c>
      <x:c r="E286" s="8">
        <x:v>25307</x:v>
      </x:c>
      <x:c r="F286" s="9">
        <x:v>21911306500</x:v>
      </x:c>
      <x:c r="G286" s="9">
        <x:v>26090556185.609997</x:v>
      </x:c>
      <x:c r="H286" s="10" t="n">
        <x:f>G286-F286</x:f>
        <x:v>4179249685.609997</x:v>
      </x:c>
    </x:row>
    <x:row r="287">
      <x:c r="A287" s="7" t="str">
        <x:v>3201273</x:v>
      </x:c>
      <x:c r="B287" s="7" t="str">
        <x:v>RS Hermina Ciawi</x:v>
      </x:c>
      <x:c r="C287" s="7" t="str">
        <x:v>C</x:v>
      </x:c>
      <x:c r="D287" s="7" t="str">
        <x:v>BOGOR</x:v>
      </x:c>
      <x:c r="E287" s="8">
        <x:v>40586</x:v>
      </x:c>
      <x:c r="F287" s="9">
        <x:v>28061532600</x:v>
      </x:c>
      <x:c r="G287" s="9">
        <x:v>35853079156.82001</x:v>
      </x:c>
      <x:c r="H287" s="10" t="n">
        <x:f>G287-F287</x:f>
        <x:v>7791546556.820007</x:v>
      </x:c>
    </x:row>
    <x:row r="288">
      <x:c r="A288" s="7" t="str">
        <x:v>3202014</x:v>
      </x:c>
      <x:c r="B288" s="7" t="str">
        <x:v>RS Umum Daerah Sekarwangi</x:v>
      </x:c>
      <x:c r="C288" s="7" t="str">
        <x:v>B</x:v>
      </x:c>
      <x:c r="D288" s="7" t="str">
        <x:v>SUKABUMI</x:v>
      </x:c>
      <x:c r="E288" s="8">
        <x:v>80173</x:v>
      </x:c>
      <x:c r="F288" s="9">
        <x:v>95015769040</x:v>
      </x:c>
      <x:c r="G288" s="9">
        <x:v>108131050333.84004</x:v>
      </x:c>
      <x:c r="H288" s="10" t="n">
        <x:f>G288-F288</x:f>
        <x:v>13115281293.840042</x:v>
      </x:c>
    </x:row>
    <x:row r="289">
      <x:c r="A289" s="7" t="str">
        <x:v>3202040</x:v>
      </x:c>
      <x:c r="B289" s="7" t="str">
        <x:v>RS Umum Daerah Palabuhanratu</x:v>
      </x:c>
      <x:c r="C289" s="7" t="str">
        <x:v>C</x:v>
      </x:c>
      <x:c r="D289" s="7" t="str">
        <x:v>SUKABUMI</x:v>
      </x:c>
      <x:c r="E289" s="8">
        <x:v>48738</x:v>
      </x:c>
      <x:c r="F289" s="9">
        <x:v>48135632410</x:v>
      </x:c>
      <x:c r="G289" s="9">
        <x:v>62351157760.55998</x:v>
      </x:c>
      <x:c r="H289" s="10" t="n">
        <x:f>G289-F289</x:f>
        <x:v>14215525350.559982</x:v>
      </x:c>
    </x:row>
    <x:row r="290">
      <x:c r="A290" s="7" t="str">
        <x:v>3202051</x:v>
      </x:c>
      <x:c r="B290" s="7" t="str">
        <x:v>RS Umum Daerah Jampang Kulon</x:v>
      </x:c>
      <x:c r="C290" s="7" t="str">
        <x:v>C</x:v>
      </x:c>
      <x:c r="D290" s="7" t="str">
        <x:v>SUKABUMI</x:v>
      </x:c>
      <x:c r="E290" s="8">
        <x:v>47904</x:v>
      </x:c>
      <x:c r="F290" s="9">
        <x:v>53972641260</x:v>
      </x:c>
      <x:c r="G290" s="9">
        <x:v>69438325680.03998</x:v>
      </x:c>
      <x:c r="H290" s="10" t="n">
        <x:f>G290-F290</x:f>
        <x:v>15465684420.039978</x:v>
      </x:c>
    </x:row>
    <x:row r="291">
      <x:c r="A291" s="7" t="str">
        <x:v>3202062</x:v>
      </x:c>
      <x:c r="B291" s="7" t="str">
        <x:v>RS Umum Hermina Sukabumi</x:v>
      </x:c>
      <x:c r="C291" s="7" t="str">
        <x:v>C</x:v>
      </x:c>
      <x:c r="D291" s="7" t="str">
        <x:v>SUKABUMI</x:v>
      </x:c>
      <x:c r="E291" s="8">
        <x:v>95847</x:v>
      </x:c>
      <x:c r="F291" s="9">
        <x:v>74364587600</x:v>
      </x:c>
      <x:c r="G291" s="9">
        <x:v>93126417226.41998</x:v>
      </x:c>
      <x:c r="H291" s="10" t="n">
        <x:f>G291-F291</x:f>
        <x:v>18761829626.419983</x:v>
      </x:c>
    </x:row>
    <x:row r="292">
      <x:c r="A292" s="7" t="str">
        <x:v>3202073</x:v>
      </x:c>
      <x:c r="B292" s="7" t="str">
        <x:v>RS Umum Betha Medika</x:v>
      </x:c>
      <x:c r="C292" s="7" t="str">
        <x:v>C</x:v>
      </x:c>
      <x:c r="D292" s="7" t="str">
        <x:v>SUKABUMI</x:v>
      </x:c>
      <x:c r="E292" s="8">
        <x:v>51006</x:v>
      </x:c>
      <x:c r="F292" s="9">
        <x:v>36091741800</x:v>
      </x:c>
      <x:c r="G292" s="9">
        <x:v>44036905257.679985</x:v>
      </x:c>
      <x:c r="H292" s="10" t="n">
        <x:f>G292-F292</x:f>
        <x:v>7945163457.679985</x:v>
      </x:c>
    </x:row>
    <x:row r="293">
      <x:c r="A293" s="7" t="str">
        <x:v>3202084</x:v>
      </x:c>
      <x:c r="B293" s="7" t="str">
        <x:v>RS Umum Bhakti Medicare</x:v>
      </x:c>
      <x:c r="C293" s="7" t="str">
        <x:v>C</x:v>
      </x:c>
      <x:c r="D293" s="7" t="str">
        <x:v>SUKABUMI</x:v>
      </x:c>
      <x:c r="E293" s="8">
        <x:v>74434</x:v>
      </x:c>
      <x:c r="F293" s="9">
        <x:v>51527652300</x:v>
      </x:c>
      <x:c r="G293" s="9">
        <x:v>62476298104.4</x:v>
      </x:c>
      <x:c r="H293" s="10" t="n">
        <x:f>G293-F293</x:f>
        <x:v>10948645804.400002</x:v>
      </x:c>
    </x:row>
    <x:row r="294">
      <x:c r="A294" s="7" t="str">
        <x:v>3202086</x:v>
      </x:c>
      <x:c r="B294" s="7" t="str">
        <x:v>Rumah Sakit DKH Cibadak</x:v>
      </x:c>
      <x:c r="C294" s="7" t="str">
        <x:v>C</x:v>
      </x:c>
      <x:c r="D294" s="7" t="str">
        <x:v>SUKABUMI</x:v>
      </x:c>
      <x:c r="E294" s="8">
        <x:v>84092</x:v>
      </x:c>
      <x:c r="F294" s="9">
        <x:v>59017217700</x:v>
      </x:c>
      <x:c r="G294" s="9">
        <x:v>71010215044.49002</x:v>
      </x:c>
      <x:c r="H294" s="10" t="n">
        <x:f>G294-F294</x:f>
        <x:v>11992997344.49002</x:v>
      </x:c>
    </x:row>
    <x:row r="295">
      <x:c r="A295" s="7" t="str">
        <x:v>3202087</x:v>
      </x:c>
      <x:c r="B295" s="7" t="str">
        <x:v>RS Umum Daerah Sagaranten</x:v>
      </x:c>
      <x:c r="C295" s="7" t="str">
        <x:v>D</x:v>
      </x:c>
      <x:c r="D295" s="7" t="str">
        <x:v>SUKABUMI</x:v>
      </x:c>
      <x:c r="E295" s="8">
        <x:v>5072</x:v>
      </x:c>
      <x:c r="F295" s="9">
        <x:v>3379557900</x:v>
      </x:c>
      <x:c r="G295" s="9">
        <x:v>4668864250.669999</x:v>
      </x:c>
      <x:c r="H295" s="10" t="n">
        <x:f>G295-F295</x:f>
        <x:v>1289306350.6699991</x:v>
      </x:c>
    </x:row>
    <x:row r="296">
      <x:c r="A296" s="7" t="str">
        <x:v>3202088</x:v>
      </x:c>
      <x:c r="B296" s="7" t="str">
        <x:v>RS Primaya Sukabumi</x:v>
      </x:c>
      <x:c r="C296" s="7" t="str">
        <x:v>C</x:v>
      </x:c>
      <x:c r="D296" s="7" t="str">
        <x:v>SUKABUMI</x:v>
      </x:c>
      <x:c r="E296" s="8">
        <x:v>36710</x:v>
      </x:c>
      <x:c r="F296" s="9">
        <x:v>29591637300</x:v>
      </x:c>
      <x:c r="G296" s="9">
        <x:v>34315581611.73</x:v>
      </x:c>
      <x:c r="H296" s="10" t="n">
        <x:f>G296-F296</x:f>
        <x:v>4723944311.73</x:v>
      </x:c>
    </x:row>
    <x:row r="297">
      <x:c r="A297" s="7" t="str">
        <x:v>3203015</x:v>
      </x:c>
      <x:c r="B297" s="7" t="str">
        <x:v>RS Umum Daerah Sayang</x:v>
      </x:c>
      <x:c r="C297" s="7" t="str">
        <x:v>B</x:v>
      </x:c>
      <x:c r="D297" s="7" t="str">
        <x:v>CIANJUR</x:v>
      </x:c>
      <x:c r="E297" s="8">
        <x:v>158376</x:v>
      </x:c>
      <x:c r="F297" s="9">
        <x:v>153273714390</x:v>
      </x:c>
      <x:c r="G297" s="9">
        <x:v>179701109297.74997</x:v>
      </x:c>
      <x:c r="H297" s="10" t="n">
        <x:f>G297-F297</x:f>
        <x:v>26427394907.74997</x:v>
      </x:c>
    </x:row>
    <x:row r="298">
      <x:c r="A298" s="7" t="str">
        <x:v>3203037</x:v>
      </x:c>
      <x:c r="B298" s="7" t="str">
        <x:v>RS Umum Daerah Cimacan</x:v>
      </x:c>
      <x:c r="C298" s="7" t="str">
        <x:v>C</x:v>
      </x:c>
      <x:c r="D298" s="7" t="str">
        <x:v>CIANJUR</x:v>
      </x:c>
      <x:c r="E298" s="8">
        <x:v>56309</x:v>
      </x:c>
      <x:c r="F298" s="9">
        <x:v>42666858410</x:v>
      </x:c>
      <x:c r="G298" s="9">
        <x:v>53839851490.049965</x:v>
      </x:c>
      <x:c r="H298" s="10" t="n">
        <x:f>G298-F298</x:f>
        <x:v>11172993080.049965</x:v>
      </x:c>
    </x:row>
    <x:row r="299">
      <x:c r="A299" s="7" t="str">
        <x:v>3203038</x:v>
      </x:c>
      <x:c r="B299" s="7" t="str">
        <x:v>RS Umum Dr. Hafiz</x:v>
      </x:c>
      <x:c r="C299" s="7" t="str">
        <x:v>C</x:v>
      </x:c>
      <x:c r="D299" s="7" t="str">
        <x:v>CIANJUR</x:v>
      </x:c>
      <x:c r="E299" s="8">
        <x:v>72684</x:v>
      </x:c>
      <x:c r="F299" s="9">
        <x:v>83583221500</x:v>
      </x:c>
      <x:c r="G299" s="9">
        <x:v>101359327107.89005</x:v>
      </x:c>
      <x:c r="H299" s="10" t="n">
        <x:f>G299-F299</x:f>
        <x:v>17776105607.890045</x:v>
      </x:c>
    </x:row>
    <x:row r="300">
      <x:c r="A300" s="7" t="str">
        <x:v>3203039</x:v>
      </x:c>
      <x:c r="B300" s="7" t="str">
        <x:v>RS Umum Daerah Pagelaran</x:v>
      </x:c>
      <x:c r="C300" s="7" t="str">
        <x:v>C</x:v>
      </x:c>
      <x:c r="D300" s="7" t="str">
        <x:v>CIANJUR</x:v>
      </x:c>
      <x:c r="E300" s="8">
        <x:v>37326</x:v>
      </x:c>
      <x:c r="F300" s="9">
        <x:v>47289206700</x:v>
      </x:c>
      <x:c r="G300" s="9">
        <x:v>60180737239.93004</x:v>
      </x:c>
      <x:c r="H300" s="10" t="n">
        <x:f>G300-F300</x:f>
        <x:v>12891530539.930038</x:v>
      </x:c>
    </x:row>
    <x:row r="301">
      <x:c r="A301" s="7" t="str">
        <x:v>3203041</x:v>
      </x:c>
      <x:c r="B301" s="7" t="str">
        <x:v>RS Bhayangkara Cianjur</x:v>
      </x:c>
      <x:c r="C301" s="7" t="str">
        <x:v>D</x:v>
      </x:c>
      <x:c r="D301" s="7" t="str">
        <x:v>CIANJUR</x:v>
      </x:c>
      <x:c r="E301" s="8">
        <x:v>13223</x:v>
      </x:c>
      <x:c r="F301" s="9">
        <x:v>7809822900</x:v>
      </x:c>
      <x:c r="G301" s="9">
        <x:v>10253887169.690002</x:v>
      </x:c>
      <x:c r="H301" s="10" t="n">
        <x:f>G301-F301</x:f>
        <x:v>2444064269.6900024</x:v>
      </x:c>
    </x:row>
    <x:row r="302">
      <x:c r="A302" s="7" t="str">
        <x:v>3203062</x:v>
      </x:c>
      <x:c r="B302" s="7" t="str">
        <x:v>RS 3203062</x:v>
      </x:c>
      <x:c r="C302" s="7" t="str">
        <x:v>D</x:v>
      </x:c>
      <x:c r="D302" s="7" t="str">
        <x:v>CIANJUR</x:v>
      </x:c>
      <x:c r="E302" s="8">
        <x:v>6415</x:v>
      </x:c>
      <x:c r="F302" s="9">
        <x:v>1261249400</x:v>
      </x:c>
      <x:c r="G302" s="9">
        <x:v>1914967489.8599992</x:v>
      </x:c>
      <x:c r="H302" s="10" t="n">
        <x:f>G302-F302</x:f>
        <x:v>653718089.8599992</x:v>
      </x:c>
    </x:row>
    <x:row r="303">
      <x:c r="A303" s="7" t="str">
        <x:v>3204016</x:v>
      </x:c>
      <x:c r="B303" s="7" t="str">
        <x:v>RS Umum Daerah Majalaya</x:v>
      </x:c>
      <x:c r="C303" s="7" t="str">
        <x:v>B</x:v>
      </x:c>
      <x:c r="D303" s="7" t="str">
        <x:v>BANDUNG</x:v>
      </x:c>
      <x:c r="E303" s="8">
        <x:v>115089</x:v>
      </x:c>
      <x:c r="F303" s="9">
        <x:v>111404941075</x:v>
      </x:c>
      <x:c r="G303" s="9">
        <x:v>124334776867.40007</x:v>
      </x:c>
      <x:c r="H303" s="10" t="n">
        <x:f>G303-F303</x:f>
        <x:v>12929835792.40007</x:v>
      </x:c>
    </x:row>
    <x:row r="304">
      <x:c r="A304" s="7" t="str">
        <x:v>3204041</x:v>
      </x:c>
      <x:c r="B304" s="7" t="str">
        <x:v>RS Umum Kebonjati</x:v>
      </x:c>
      <x:c r="C304" s="7" t="str">
        <x:v>C</x:v>
      </x:c>
      <x:c r="D304" s="7" t="str">
        <x:v>BANDUNG</x:v>
      </x:c>
      <x:c r="E304" s="8">
        <x:v>54728</x:v>
      </x:c>
      <x:c r="F304" s="9">
        <x:v>36709716100</x:v>
      </x:c>
      <x:c r="G304" s="9">
        <x:v>43845961849.45001</x:v>
      </x:c>
      <x:c r="H304" s="10" t="n">
        <x:f>G304-F304</x:f>
        <x:v>7136245749.450012</x:v>
      </x:c>
    </x:row>
    <x:row r="305">
      <x:c r="A305" s="7" t="str">
        <x:v>3204075</x:v>
      </x:c>
      <x:c r="B305" s="7" t="str">
        <x:v>RS Umum Mitra Kasih</x:v>
      </x:c>
      <x:c r="C305" s="7" t="str">
        <x:v>C</x:v>
      </x:c>
      <x:c r="D305" s="7" t="str">
        <x:v>BANDUNG</x:v>
      </x:c>
      <x:c r="E305" s="8">
        <x:v>160876</x:v>
      </x:c>
      <x:c r="F305" s="9">
        <x:v>104322116400</x:v>
      </x:c>
      <x:c r="G305" s="9">
        <x:v>123667018110.97003</x:v>
      </x:c>
      <x:c r="H305" s="10" t="n">
        <x:f>G305-F305</x:f>
        <x:v>19344901710.97003</x:v>
      </x:c>
    </x:row>
    <x:row r="306">
      <x:c r="A306" s="7" t="str">
        <x:v>3204086</x:v>
      </x:c>
      <x:c r="B306" s="7" t="str">
        <x:v>RS Umum Daerah Welas Asih Provinsi Jawa Barat</x:v>
      </x:c>
      <x:c r="C306" s="7" t="str">
        <x:v>B</x:v>
      </x:c>
      <x:c r="D306" s="7" t="str">
        <x:v>BANDUNG</x:v>
      </x:c>
      <x:c r="E306" s="8">
        <x:v>333358</x:v>
      </x:c>
      <x:c r="F306" s="9">
        <x:v>287709019800</x:v>
      </x:c>
      <x:c r="G306" s="9">
        <x:v>329505288480.41986</x:v>
      </x:c>
      <x:c r="H306" s="10" t="n">
        <x:f>G306-F306</x:f>
        <x:v>41796268680.41986</x:v>
      </x:c>
    </x:row>
    <x:row r="307">
      <x:c r="A307" s="7" t="str">
        <x:v>3204090</x:v>
      </x:c>
      <x:c r="B307" s="7" t="str">
        <x:v>RS Umum Daerah Oto Iskandar Di Nata</x:v>
      </x:c>
      <x:c r="C307" s="7" t="str">
        <x:v>B</x:v>
      </x:c>
      <x:c r="D307" s="7" t="str">
        <x:v>BANDUNG</x:v>
      </x:c>
      <x:c r="E307" s="8">
        <x:v>104858</x:v>
      </x:c>
      <x:c r="F307" s="9">
        <x:v>90904669065</x:v>
      </x:c>
      <x:c r="G307" s="9">
        <x:v>102005215559.58</x:v>
      </x:c>
      <x:c r="H307" s="10" t="n">
        <x:f>G307-F307</x:f>
        <x:v>11100546494.580002</x:v>
      </x:c>
    </x:row>
    <x:row r="308">
      <x:c r="A308" s="7" t="str">
        <x:v>3204101</x:v>
      </x:c>
      <x:c r="B308" s="7" t="str">
        <x:v>RS Umum Daerah Cicalengka</x:v>
      </x:c>
      <x:c r="C308" s="7" t="str">
        <x:v>B</x:v>
      </x:c>
      <x:c r="D308" s="7" t="str">
        <x:v>BANDUNG</x:v>
      </x:c>
      <x:c r="E308" s="8">
        <x:v>63867</x:v>
      </x:c>
      <x:c r="F308" s="9">
        <x:v>55615019080</x:v>
      </x:c>
      <x:c r="G308" s="9">
        <x:v>61481985868.34002</x:v>
      </x:c>
      <x:c r="H308" s="10" t="n">
        <x:f>G308-F308</x:f>
        <x:v>5866966788.340019</x:v>
      </x:c>
    </x:row>
    <x:row r="309">
      <x:c r="A309" s="7" t="str">
        <x:v>3204123</x:v>
      </x:c>
      <x:c r="B309" s="7" t="str">
        <x:v>RS Umum Humana Prima</x:v>
      </x:c>
      <x:c r="C309" s="7" t="str">
        <x:v>C</x:v>
      </x:c>
      <x:c r="D309" s="7" t="str">
        <x:v>BANDUNG</x:v>
      </x:c>
      <x:c r="E309" s="8">
        <x:v>45892</x:v>
      </x:c>
      <x:c r="F309" s="9">
        <x:v>33659108200</x:v>
      </x:c>
      <x:c r="G309" s="9">
        <x:v>38627447680.100006</x:v>
      </x:c>
      <x:c r="H309" s="10" t="n">
        <x:f>G309-F309</x:f>
        <x:v>4968339480.100006</x:v>
      </x:c>
    </x:row>
    <x:row r="310">
      <x:c r="A310" s="7" t="str">
        <x:v>3204124</x:v>
      </x:c>
      <x:c r="B310" s="7" t="str">
        <x:v>RS Gigi dan Mulut Maranatha</x:v>
      </x:c>
      <x:c r="C310" s="7" t="str">
        <x:v>B</x:v>
      </x:c>
      <x:c r="D310" s="7" t="str">
        <x:v>BANDUNG</x:v>
      </x:c>
      <x:c r="E310" s="8">
        <x:v>22213</x:v>
      </x:c>
      <x:c r="F310" s="9">
        <x:v>8741418100</x:v>
      </x:c>
      <x:c r="G310" s="9">
        <x:v>9624018571.090002</x:v>
      </x:c>
      <x:c r="H310" s="10" t="n">
        <x:f>G310-F310</x:f>
        <x:v>882600471.0900021</x:v>
      </x:c>
    </x:row>
    <x:row r="311">
      <x:c r="A311" s="7" t="str">
        <x:v>3204133</x:v>
      </x:c>
      <x:c r="B311" s="7" t="str">
        <x:v>RS Maranatha</x:v>
      </x:c>
      <x:c r="C311" s="7" t="str">
        <x:v>C</x:v>
      </x:c>
      <x:c r="D311" s="7" t="str">
        <x:v>BANDUNG</x:v>
      </x:c>
      <x:c r="E311" s="8">
        <x:v>80102</x:v>
      </x:c>
      <x:c r="F311" s="9">
        <x:v>52498762600</x:v>
      </x:c>
      <x:c r="G311" s="9">
        <x:v>58709302083.30999</x:v>
      </x:c>
      <x:c r="H311" s="10" t="n">
        <x:f>G311-F311</x:f>
        <x:v>6210539483.30999</x:v>
      </x:c>
    </x:row>
    <x:row r="312">
      <x:c r="A312" s="7" t="str">
        <x:v>3204134</x:v>
      </x:c>
      <x:c r="B312" s="7" t="str">
        <x:v>RS Umum Daerah Kesehatan Kerja</x:v>
      </x:c>
      <x:c r="C312" s="7" t="str">
        <x:v>D</x:v>
      </x:c>
      <x:c r="D312" s="7" t="str">
        <x:v>BANDUNG</x:v>
      </x:c>
      <x:c r="E312" s="8">
        <x:v>23915</x:v>
      </x:c>
      <x:c r="F312" s="9">
        <x:v>9781626600</x:v>
      </x:c>
      <x:c r="G312" s="9">
        <x:v>13633848117.029999</x:v>
      </x:c>
      <x:c r="H312" s="10" t="n">
        <x:f>G312-F312</x:f>
        <x:v>3852221517.029999</x:v>
      </x:c>
    </x:row>
    <x:row r="313">
      <x:c r="A313" s="7" t="str">
        <x:v>3204135</x:v>
      </x:c>
      <x:c r="B313" s="7" t="str">
        <x:v>RS Umum Karya Pangalengan Bhakti Sehat</x:v>
      </x:c>
      <x:c r="C313" s="7" t="str">
        <x:v>D</x:v>
      </x:c>
      <x:c r="D313" s="7" t="str">
        <x:v>BANDUNG</x:v>
      </x:c>
      <x:c r="E313" s="8">
        <x:v>20779</x:v>
      </x:c>
      <x:c r="F313" s="9">
        <x:v>10476684600</x:v>
      </x:c>
      <x:c r="G313" s="9">
        <x:v>14326800875.520002</x:v>
      </x:c>
      <x:c r="H313" s="10" t="n">
        <x:f>G313-F313</x:f>
        <x:v>3850116275.5200024</x:v>
      </x:c>
    </x:row>
    <x:row r="314">
      <x:c r="A314" s="7" t="str">
        <x:v>3204137</x:v>
      </x:c>
      <x:c r="B314" s="7" t="str">
        <x:v>RS Kartini</x:v>
      </x:c>
      <x:c r="C314" s="7" t="str">
        <x:v>D</x:v>
      </x:c>
      <x:c r="D314" s="7" t="str">
        <x:v>KOTA BANDUNG</x:v>
      </x:c>
      <x:c r="E314" s="8">
        <x:v>11540</x:v>
      </x:c>
      <x:c r="F314" s="9">
        <x:v>7750677200</x:v>
      </x:c>
      <x:c r="G314" s="9">
        <x:v>9677230195.51</x:v>
      </x:c>
      <x:c r="H314" s="10" t="n">
        <x:f>G314-F314</x:f>
        <x:v>1926552995.5100002</x:v>
      </x:c>
    </x:row>
    <x:row r="315">
      <x:c r="A315" s="7" t="str">
        <x:v>3204154</x:v>
      </x:c>
      <x:c r="B315" s="7" t="str">
        <x:v>RS Umum TNI AU Lanud Sulaiman</x:v>
      </x:c>
      <x:c r="C315" s="7" t="str">
        <x:v>D</x:v>
      </x:c>
      <x:c r="D315" s="7" t="str">
        <x:v>BANDUNG</x:v>
      </x:c>
      <x:c r="E315" s="8">
        <x:v>8253</x:v>
      </x:c>
      <x:c r="F315" s="9">
        <x:v>4542382200</x:v>
      </x:c>
      <x:c r="G315" s="9">
        <x:v>6083955106.179998</x:v>
      </x:c>
      <x:c r="H315" s="10" t="n">
        <x:f>G315-F315</x:f>
        <x:v>1541572906.1799984</x:v>
      </x:c>
    </x:row>
    <x:row r="316">
      <x:c r="A316" s="7" t="str">
        <x:v>3204165</x:v>
      </x:c>
      <x:c r="B316" s="7" t="str">
        <x:v>RS Hermina Soreang</x:v>
      </x:c>
      <x:c r="C316" s="7" t="str">
        <x:v>C</x:v>
      </x:c>
      <x:c r="D316" s="7" t="str">
        <x:v>BANDUNG</x:v>
      </x:c>
      <x:c r="E316" s="8">
        <x:v>69618</x:v>
      </x:c>
      <x:c r="F316" s="9">
        <x:v>59335266000</x:v>
      </x:c>
      <x:c r="G316" s="9">
        <x:v>68523662365.64999</x:v>
      </x:c>
      <x:c r="H316" s="10" t="n">
        <x:f>G316-F316</x:f>
        <x:v>9188396365.649986</x:v>
      </x:c>
    </x:row>
    <x:row r="317">
      <x:c r="A317" s="7" t="str">
        <x:v>3204168</x:v>
      </x:c>
      <x:c r="B317" s="7" t="str">
        <x:v>RS Oetomo</x:v>
      </x:c>
      <x:c r="C317" s="7" t="str">
        <x:v>C</x:v>
      </x:c>
      <x:c r="D317" s="7" t="str">
        <x:v>BANDUNG</x:v>
      </x:c>
      <x:c r="E317" s="8">
        <x:v>44462</x:v>
      </x:c>
      <x:c r="F317" s="9">
        <x:v>31589859500</x:v>
      </x:c>
      <x:c r="G317" s="9">
        <x:v>36700097021.89</x:v>
      </x:c>
      <x:c r="H317" s="10" t="n">
        <x:f>G317-F317</x:f>
        <x:v>5110237521.889999</x:v>
      </x:c>
    </x:row>
    <x:row r="318">
      <x:c r="A318" s="7" t="str">
        <x:v>3204169</x:v>
      </x:c>
      <x:c r="B318" s="7" t="str">
        <x:v>RS Muhammadiyah Bandung Selatan</x:v>
      </x:c>
      <x:c r="C318" s="7" t="str">
        <x:v>D</x:v>
      </x:c>
      <x:c r="D318" s="7" t="str">
        <x:v>BANDUNG</x:v>
      </x:c>
      <x:c r="E318" s="8">
        <x:v>27879</x:v>
      </x:c>
      <x:c r="F318" s="9">
        <x:v>22311697700</x:v>
      </x:c>
      <x:c r="G318" s="9">
        <x:v>29337476518.42</x:v>
      </x:c>
      <x:c r="H318" s="10" t="n">
        <x:f>G318-F318</x:f>
        <x:v>7025778818.419998</x:v>
      </x:c>
    </x:row>
    <x:row r="319">
      <x:c r="A319" s="7" t="str">
        <x:v>3204170</x:v>
      </x:c>
      <x:c r="B319" s="7" t="str">
        <x:v>RS Umum Daerah Bedas Cimaung</x:v>
      </x:c>
      <x:c r="C319" s="7" t="str">
        <x:v>D</x:v>
      </x:c>
      <x:c r="D319" s="7" t="str">
        <x:v>BANDUNG</x:v>
      </x:c>
      <x:c r="E319" s="8">
        <x:v>4681</x:v>
      </x:c>
      <x:c r="F319" s="9">
        <x:v>3418528400</x:v>
      </x:c>
      <x:c r="G319" s="9">
        <x:v>4767724936.56</x:v>
      </x:c>
      <x:c r="H319" s="10" t="n">
        <x:f>G319-F319</x:f>
        <x:v>1349196536.5600004</x:v>
      </x:c>
    </x:row>
    <x:row r="320">
      <x:c r="A320" s="7" t="str">
        <x:v>3204171</x:v>
      </x:c>
      <x:c r="B320" s="7" t="str">
        <x:v>RS Umum Daerah Bedas Kertasari</x:v>
      </x:c>
      <x:c r="C320" s="7" t="str">
        <x:v>D</x:v>
      </x:c>
      <x:c r="D320" s="7" t="str">
        <x:v>BANDUNG</x:v>
      </x:c>
      <x:c r="E320" s="8">
        <x:v>6600</x:v>
      </x:c>
      <x:c r="F320" s="9">
        <x:v>4420091200</x:v>
      </x:c>
      <x:c r="G320" s="9">
        <x:v>6234477495.339996</x:v>
      </x:c>
      <x:c r="H320" s="10" t="n">
        <x:f>G320-F320</x:f>
        <x:v>1814386295.3399963</x:v>
      </x:c>
    </x:row>
    <x:row r="321">
      <x:c r="A321" s="7" t="str">
        <x:v>3204172</x:v>
      </x:c>
      <x:c r="B321" s="7" t="str">
        <x:v>RS Umum Daerah Bedas Tegalluar</x:v>
      </x:c>
      <x:c r="C321" s="7" t="str">
        <x:v>D</x:v>
      </x:c>
      <x:c r="D321" s="7" t="str">
        <x:v>BANDUNG</x:v>
      </x:c>
      <x:c r="E321" s="8">
        <x:v>603</x:v>
      </x:c>
      <x:c r="F321" s="9">
        <x:v>403226800</x:v>
      </x:c>
      <x:c r="G321" s="9">
        <x:v>566731893.9799999</x:v>
      </x:c>
      <x:c r="H321" s="10" t="n">
        <x:f>G321-F321</x:f>
        <x:v>163505093.9799999</x:v>
      </x:c>
    </x:row>
    <x:row r="322">
      <x:c r="A322" s="7" t="str">
        <x:v>3205010</x:v>
      </x:c>
      <x:c r="B322" s="7" t="str">
        <x:v>RS Umum Daerah dr. Slamet Garut</x:v>
      </x:c>
      <x:c r="C322" s="7" t="str">
        <x:v>B</x:v>
      </x:c>
      <x:c r="D322" s="7" t="str">
        <x:v>GARUT</x:v>
      </x:c>
      <x:c r="E322" s="8">
        <x:v>73171</x:v>
      </x:c>
      <x:c r="F322" s="9">
        <x:v>100624140790</x:v>
      </x:c>
      <x:c r="G322" s="9">
        <x:v>112200271541.87001</x:v>
      </x:c>
      <x:c r="H322" s="10" t="n">
        <x:f>G322-F322</x:f>
        <x:v>11576130751.87001</x:v>
      </x:c>
    </x:row>
    <x:row r="323">
      <x:c r="A323" s="7" t="str">
        <x:v>3205021</x:v>
      </x:c>
      <x:c r="B323" s="7" t="str">
        <x:v>Rumah Sakit TK.IV 03.07.04 Guntur</x:v>
      </x:c>
      <x:c r="C323" s="7" t="str">
        <x:v>C</x:v>
      </x:c>
      <x:c r="D323" s="7" t="str">
        <x:v>GARUT</x:v>
      </x:c>
      <x:c r="E323" s="8">
        <x:v>77956</x:v>
      </x:c>
      <x:c r="F323" s="9">
        <x:v>65574643455</x:v>
      </x:c>
      <x:c r="G323" s="9">
        <x:v>82430643600.05</x:v>
      </x:c>
      <x:c r="H323" s="10" t="n">
        <x:f>G323-F323</x:f>
        <x:v>16856000145.050003</x:v>
      </x:c>
    </x:row>
    <x:row r="324">
      <x:c r="A324" s="7" t="str">
        <x:v>3205022</x:v>
      </x:c>
      <x:c r="B324" s="7" t="str">
        <x:v>RS Umum Daerah Pameungpeuk Prov. Jabar</x:v>
      </x:c>
      <x:c r="C324" s="7" t="str">
        <x:v>C</x:v>
      </x:c>
      <x:c r="D324" s="7" t="str">
        <x:v>GARUT</x:v>
      </x:c>
      <x:c r="E324" s="8">
        <x:v>33548</x:v>
      </x:c>
      <x:c r="F324" s="9">
        <x:v>34546012700</x:v>
      </x:c>
      <x:c r="G324" s="9">
        <x:v>46039201133.92998</x:v>
      </x:c>
      <x:c r="H324" s="10" t="n">
        <x:f>G324-F324</x:f>
        <x:v>11493188433.929977</x:v>
      </x:c>
    </x:row>
    <x:row r="325">
      <x:c r="A325" s="7" t="str">
        <x:v>3205023</x:v>
      </x:c>
      <x:c r="B325" s="7" t="str">
        <x:v>RS Umum Nurhayati Garut</x:v>
      </x:c>
      <x:c r="C325" s="7" t="str">
        <x:v>D</x:v>
      </x:c>
      <x:c r="D325" s="7" t="str">
        <x:v>GARUT</x:v>
      </x:c>
      <x:c r="E325" s="8">
        <x:v>61002</x:v>
      </x:c>
      <x:c r="F325" s="9">
        <x:v>29291465900</x:v>
      </x:c>
      <x:c r="G325" s="9">
        <x:v>40308430586.459984</x:v>
      </x:c>
      <x:c r="H325" s="10" t="n">
        <x:f>G325-F325</x:f>
        <x:v>11016964686.459984</x:v>
      </x:c>
    </x:row>
    <x:row r="326">
      <x:c r="A326" s="7" t="str">
        <x:v>3205024</x:v>
      </x:c>
      <x:c r="B326" s="7" t="str">
        <x:v>RS Umum Annisa Queen</x:v>
      </x:c>
      <x:c r="C326" s="7" t="str">
        <x:v>D</x:v>
      </x:c>
      <x:c r="D326" s="7" t="str">
        <x:v>GARUT</x:v>
      </x:c>
      <x:c r="E326" s="8">
        <x:v>3245</x:v>
      </x:c>
      <x:c r="F326" s="9">
        <x:v>3378640300</x:v>
      </x:c>
      <x:c r="G326" s="9">
        <x:v>4349070587.750001</x:v>
      </x:c>
      <x:c r="H326" s="10" t="n">
        <x:f>G326-F326</x:f>
        <x:v>970430287.750001</x:v>
      </x:c>
    </x:row>
    <x:row r="327">
      <x:c r="A327" s="7" t="str">
        <x:v>3205027</x:v>
      </x:c>
      <x:c r="B327" s="7" t="str">
        <x:v>RS Medina</x:v>
      </x:c>
      <x:c r="C327" s="7" t="str">
        <x:v>D</x:v>
      </x:c>
      <x:c r="D327" s="7" t="str">
        <x:v>GARUT</x:v>
      </x:c>
      <x:c r="E327" s="8">
        <x:v>64737</x:v>
      </x:c>
      <x:c r="F327" s="9">
        <x:v>55491458800</x:v>
      </x:c>
      <x:c r="G327" s="9">
        <x:v>76700008505.89</x:v>
      </x:c>
      <x:c r="H327" s="10" t="n">
        <x:f>G327-F327</x:f>
        <x:v>21208549705.89</x:v>
      </x:c>
    </x:row>
    <x:row r="328">
      <x:c r="A328" s="7" t="str">
        <x:v>3205035</x:v>
      </x:c>
      <x:c r="B328" s="7" t="str">
        <x:v>RS 3205035</x:v>
      </x:c>
      <x:c r="C328" s="7" t="str">
        <x:v>D</x:v>
      </x:c>
      <x:c r="D328" s="7" t="str">
        <x:v>GARUT</x:v>
      </x:c>
      <x:c r="E328" s="8">
        <x:v>5855</x:v>
      </x:c>
      <x:c r="F328" s="9">
        <x:v>1340849800</x:v>
      </x:c>
      <x:c r="G328" s="9">
        <x:v>1783069083.6099997</x:v>
      </x:c>
      <x:c r="H328" s="10" t="n">
        <x:f>G328-F328</x:f>
        <x:v>442219283.60999966</x:v>
      </x:c>
    </x:row>
    <x:row r="329">
      <x:c r="A329" s="7" t="str">
        <x:v>3205038</x:v>
      </x:c>
      <x:c r="B329" s="7" t="str">
        <x:v>RS Umum Daerah Malangbong</x:v>
      </x:c>
      <x:c r="C329" s="7" t="str">
        <x:v>D</x:v>
      </x:c>
      <x:c r="D329" s="7" t="str">
        <x:v>GARUT</x:v>
      </x:c>
      <x:c r="E329" s="8">
        <x:v>5304</x:v>
      </x:c>
      <x:c r="F329" s="9">
        <x:v>3557081300</x:v>
      </x:c>
      <x:c r="G329" s="9">
        <x:v>5136077619.859998</x:v>
      </x:c>
      <x:c r="H329" s="10" t="n">
        <x:f>G329-F329</x:f>
        <x:v>1578996319.8599977</x:v>
      </x:c>
    </x:row>
    <x:row r="330">
      <x:c r="A330" s="7" t="str">
        <x:v>3205039</x:v>
      </x:c>
      <x:c r="B330" s="7" t="str">
        <x:v>RS Umum Nurhayati Cikajang</x:v>
      </x:c>
      <x:c r="C330" s="7" t="str">
        <x:v>D</x:v>
      </x:c>
      <x:c r="D330" s="7" t="str">
        <x:v>GARUT</x:v>
      </x:c>
      <x:c r="E330" s="8">
        <x:v>10204</x:v>
      </x:c>
      <x:c r="F330" s="9">
        <x:v>7106811500</x:v>
      </x:c>
      <x:c r="G330" s="9">
        <x:v>10589499710.91</x:v>
      </x:c>
      <x:c r="H330" s="10" t="n">
        <x:f>G330-F330</x:f>
        <x:v>3482688210.91</x:v>
      </x:c>
    </x:row>
    <x:row r="331">
      <x:c r="A331" s="7" t="str">
        <x:v>3206011</x:v>
      </x:c>
      <x:c r="B331" s="7" t="str">
        <x:v>RS Umum Daerah dr. Soekardjo</x:v>
      </x:c>
      <x:c r="C331" s="7" t="str">
        <x:v>B</x:v>
      </x:c>
      <x:c r="D331" s="7" t="str">
        <x:v>TASIKMALAYA</x:v>
      </x:c>
      <x:c r="E331" s="8">
        <x:v>46489</x:v>
      </x:c>
      <x:c r="F331" s="9">
        <x:v>68975900210</x:v>
      </x:c>
      <x:c r="G331" s="9">
        <x:v>75893960173.53</x:v>
      </x:c>
      <x:c r="H331" s="10" t="n">
        <x:f>G331-F331</x:f>
        <x:v>6918059963.529999</x:v>
      </x:c>
    </x:row>
    <x:row r="332">
      <x:c r="A332" s="7" t="str">
        <x:v>3206023</x:v>
      </x:c>
      <x:c r="B332" s="7" t="str">
        <x:v>RS Umum Daerah KHZ Musthafa Kabupaten Tasikmalaya</x:v>
      </x:c>
      <x:c r="C332" s="7" t="str">
        <x:v>C</x:v>
      </x:c>
      <x:c r="D332" s="7" t="str">
        <x:v>TASIKMALAYA</x:v>
      </x:c>
      <x:c r="E332" s="8">
        <x:v>71052</x:v>
      </x:c>
      <x:c r="F332" s="9">
        <x:v>70438535205</x:v>
      </x:c>
      <x:c r="G332" s="9">
        <x:v>95783789179.78996</x:v>
      </x:c>
      <x:c r="H332" s="10" t="n">
        <x:f>G332-F332</x:f>
        <x:v>25345253974.789963</x:v>
      </x:c>
    </x:row>
    <x:row r="333">
      <x:c r="A333" s="7" t="str">
        <x:v>3206055</x:v>
      </x:c>
      <x:c r="B333" s="7" t="str">
        <x:v>RS Umum Islam Hj. Siti Muniroh</x:v>
      </x:c>
      <x:c r="C333" s="7" t="str">
        <x:v>D</x:v>
      </x:c>
      <x:c r="D333" s="7" t="str">
        <x:v>TASIKMALAYA</x:v>
      </x:c>
      <x:c r="E333" s="8">
        <x:v>16881</x:v>
      </x:c>
      <x:c r="F333" s="9">
        <x:v>11144398000</x:v>
      </x:c>
      <x:c r="G333" s="9">
        <x:v>16697054997.070002</x:v>
      </x:c>
      <x:c r="H333" s="10" t="n">
        <x:f>G333-F333</x:f>
        <x:v>5552656997.070002</x:v>
      </x:c>
    </x:row>
    <x:row r="334">
      <x:c r="A334" s="7" t="str">
        <x:v>3206070</x:v>
      </x:c>
      <x:c r="B334" s="7" t="str">
        <x:v>RS Umum Jasa Kartini</x:v>
      </x:c>
      <x:c r="C334" s="7" t="str">
        <x:v>C</x:v>
      </x:c>
      <x:c r="D334" s="7" t="str">
        <x:v>TASIKMALAYA</x:v>
      </x:c>
      <x:c r="E334" s="8">
        <x:v>122131</x:v>
      </x:c>
      <x:c r="F334" s="9">
        <x:v>94353892800</x:v>
      </x:c>
      <x:c r="G334" s="9">
        <x:v>111866610032.03998</x:v>
      </x:c>
      <x:c r="H334" s="10" t="n">
        <x:f>G334-F334</x:f>
        <x:v>17512717232.039978</x:v>
      </x:c>
    </x:row>
    <x:row r="335">
      <x:c r="A335" s="7" t="str">
        <x:v>3206083</x:v>
      </x:c>
      <x:c r="B335" s="7" t="str">
        <x:v>RS Ibu dan Anak dr. Hj. Karmini EH</x:v>
      </x:c>
      <x:c r="C335" s="7" t="str">
        <x:v>C</x:v>
      </x:c>
      <x:c r="D335" s="7" t="str">
        <x:v>TASIKMALAYA</x:v>
      </x:c>
      <x:c r="E335" s="8">
        <x:v>852</x:v>
      </x:c>
      <x:c r="F335" s="9">
        <x:v>909081800</x:v>
      </x:c>
      <x:c r="G335" s="9">
        <x:v>1134399456.6599996</x:v>
      </x:c>
      <x:c r="H335" s="10" t="n">
        <x:f>G335-F335</x:f>
        <x:v>225317656.6599996</x:v>
      </x:c>
    </x:row>
    <x:row r="336">
      <x:c r="A336" s="7" t="str">
        <x:v>3206084</x:v>
      </x:c>
      <x:c r="B336" s="7" t="str">
        <x:v>RS Ibu dan Anak Respati</x:v>
      </x:c>
      <x:c r="C336" s="7" t="str">
        <x:v>C</x:v>
      </x:c>
      <x:c r="D336" s="7" t="str">
        <x:v>TASIKMALAYA</x:v>
      </x:c>
      <x:c r="E336" s="8">
        <x:v>5611</x:v>
      </x:c>
      <x:c r="F336" s="9">
        <x:v>10904628300</x:v>
      </x:c>
      <x:c r="G336" s="9">
        <x:v>13387697914.500006</x:v>
      </x:c>
      <x:c r="H336" s="10" t="n">
        <x:f>G336-F336</x:f>
        <x:v>2483069614.5000057</x:v>
      </x:c>
    </x:row>
    <x:row r="337">
      <x:c r="A337" s="7" t="str">
        <x:v>3206096</x:v>
      </x:c>
      <x:c r="B337" s="7" t="str">
        <x:v>RSUD Tani dan Nelayan Tasikmalaya</x:v>
      </x:c>
      <x:c r="C337" s="7" t="str">
        <x:v>D</x:v>
      </x:c>
      <x:c r="D337" s="7" t="str">
        <x:v>TASIKMALAYA</x:v>
      </x:c>
      <x:c r="E337" s="8">
        <x:v>602</x:v>
      </x:c>
      <x:c r="F337" s="9">
        <x:v>547617900</x:v>
      </x:c>
      <x:c r="G337" s="9">
        <x:v>770152638.29</x:v>
      </x:c>
      <x:c r="H337" s="10" t="n">
        <x:f>G337-F337</x:f>
        <x:v>222534738.28999996</x:v>
      </x:c>
    </x:row>
    <x:row r="338">
      <x:c r="A338" s="7" t="str">
        <x:v>3207012</x:v>
      </x:c>
      <x:c r="B338" s="7" t="str">
        <x:v>RS Umum Daerah Kab. Ciamis</x:v>
      </x:c>
      <x:c r="C338" s="7" t="str">
        <x:v>C</x:v>
      </x:c>
      <x:c r="D338" s="7" t="str">
        <x:v>CIAMIS</x:v>
      </x:c>
      <x:c r="E338" s="8">
        <x:v>80808</x:v>
      </x:c>
      <x:c r="F338" s="9">
        <x:v>68835767070</x:v>
      </x:c>
      <x:c r="G338" s="9">
        <x:v>91529443884.17</x:v>
      </x:c>
      <x:c r="H338" s="10" t="n">
        <x:f>G338-F338</x:f>
        <x:v>22693676814.17</x:v>
      </x:c>
    </x:row>
    <x:row r="339">
      <x:c r="A339" s="7" t="str">
        <x:v>3207023</x:v>
      </x:c>
      <x:c r="B339" s="7" t="str">
        <x:v>RS Umum Daerah Banjar</x:v>
      </x:c>
      <x:c r="C339" s="7" t="str">
        <x:v>B</x:v>
      </x:c>
      <x:c r="D339" s="7" t="str">
        <x:v>CIAMIS</x:v>
      </x:c>
      <x:c r="E339" s="8">
        <x:v>67998</x:v>
      </x:c>
      <x:c r="F339" s="9">
        <x:v>61602295900</x:v>
      </x:c>
      <x:c r="G339" s="9">
        <x:v>75611819098.55002</x:v>
      </x:c>
      <x:c r="H339" s="10" t="n">
        <x:f>G339-F339</x:f>
        <x:v>14009523198.550018</x:v>
      </x:c>
    </x:row>
    <x:row r="340">
      <x:c r="A340" s="7" t="str">
        <x:v>3207045</x:v>
      </x:c>
      <x:c r="B340" s="7" t="str">
        <x:v>RS Umum Permata Bunda</x:v>
      </x:c>
      <x:c r="C340" s="7" t="str">
        <x:v>D</x:v>
      </x:c>
      <x:c r="D340" s="7" t="str">
        <x:v>CIAMIS</x:v>
      </x:c>
      <x:c r="E340" s="8">
        <x:v>21118</x:v>
      </x:c>
      <x:c r="F340" s="9">
        <x:v>15556479700</x:v>
      </x:c>
      <x:c r="G340" s="9">
        <x:v>21336464432.75001</x:v>
      </x:c>
      <x:c r="H340" s="10" t="n">
        <x:f>G340-F340</x:f>
        <x:v>5779984732.750011</x:v>
      </x:c>
    </x:row>
    <x:row r="341">
      <x:c r="A341" s="7" t="str">
        <x:v>3207056</x:v>
      </x:c>
      <x:c r="B341" s="7" t="str">
        <x:v>RS Umum Al-Arif</x:v>
      </x:c>
      <x:c r="C341" s="7" t="str">
        <x:v>D</x:v>
      </x:c>
      <x:c r="D341" s="7" t="str">
        <x:v>CIAMIS</x:v>
      </x:c>
      <x:c r="E341" s="8">
        <x:v>14040</x:v>
      </x:c>
      <x:c r="F341" s="9">
        <x:v>14264871000</x:v>
      </x:c>
      <x:c r="G341" s="9">
        <x:v>19367029510.219994</x:v>
      </x:c>
      <x:c r="H341" s="10" t="n">
        <x:f>G341-F341</x:f>
        <x:v>5102158510.219994</x:v>
      </x:c>
    </x:row>
    <x:row r="342">
      <x:c r="A342" s="7" t="str">
        <x:v>3207057</x:v>
      </x:c>
      <x:c r="B342" s="7" t="str">
        <x:v>RS Umum Dadi Keluarga Ciamis</x:v>
      </x:c>
      <x:c r="C342" s="7" t="str">
        <x:v>C</x:v>
      </x:c>
      <x:c r="D342" s="7" t="str">
        <x:v>CIAMIS</x:v>
      </x:c>
      <x:c r="E342" s="8">
        <x:v>70582</x:v>
      </x:c>
      <x:c r="F342" s="9">
        <x:v>56058950200</x:v>
      </x:c>
      <x:c r="G342" s="9">
        <x:v>70954380304.65999</x:v>
      </x:c>
      <x:c r="H342" s="10" t="n">
        <x:f>G342-F342</x:f>
        <x:v>14895430104.659988</x:v>
      </x:c>
    </x:row>
    <x:row r="343">
      <x:c r="A343" s="7" t="str">
        <x:v>3207059</x:v>
      </x:c>
      <x:c r="B343" s="7" t="str">
        <x:v>RS Khusus Orthopedi RSOP Ciamis</x:v>
      </x:c>
      <x:c r="C343" s="7" t="str">
        <x:v>C</x:v>
      </x:c>
      <x:c r="D343" s="7" t="str">
        <x:v>CIAMIS</x:v>
      </x:c>
      <x:c r="E343" s="8">
        <x:v>8499</x:v>
      </x:c>
      <x:c r="F343" s="9">
        <x:v>12489464700</x:v>
      </x:c>
      <x:c r="G343" s="9">
        <x:v>18401791946.159996</x:v>
      </x:c>
      <x:c r="H343" s="10" t="n">
        <x:f>G343-F343</x:f>
        <x:v>5912327246.159996</x:v>
      </x:c>
    </x:row>
    <x:row r="344">
      <x:c r="A344" s="7" t="str">
        <x:v>3207060</x:v>
      </x:c>
      <x:c r="B344" s="7" t="str">
        <x:v>RS Umum Daerah Kawali</x:v>
      </x:c>
      <x:c r="C344" s="7" t="str">
        <x:v>D</x:v>
      </x:c>
      <x:c r="D344" s="7" t="str">
        <x:v>CIAMIS</x:v>
      </x:c>
      <x:c r="E344" s="8">
        <x:v>17105</x:v>
      </x:c>
      <x:c r="F344" s="9">
        <x:v>10912227200</x:v>
      </x:c>
      <x:c r="G344" s="9">
        <x:v>17945898403.46</x:v>
      </x:c>
      <x:c r="H344" s="10" t="n">
        <x:f>G344-F344</x:f>
        <x:v>7033671203.459999</x:v>
      </x:c>
    </x:row>
    <x:row r="345">
      <x:c r="A345" s="7" t="str">
        <x:v>3208013</x:v>
      </x:c>
      <x:c r="B345" s="7" t="str">
        <x:v>RS Umum Daerah 45 Kuningan</x:v>
      </x:c>
      <x:c r="C345" s="7" t="str">
        <x:v>B</x:v>
      </x:c>
      <x:c r="D345" s="7" t="str">
        <x:v>KUNINGAN</x:v>
      </x:c>
      <x:c r="E345" s="8">
        <x:v>53141</x:v>
      </x:c>
      <x:c r="F345" s="9">
        <x:v>50776277115</x:v>
      </x:c>
      <x:c r="G345" s="9">
        <x:v>60386964797.559975</x:v>
      </x:c>
      <x:c r="H345" s="10" t="n">
        <x:f>G345-F345</x:f>
        <x:v>9610687682.559975</x:v>
      </x:c>
    </x:row>
    <x:row r="346">
      <x:c r="A346" s="7" t="str">
        <x:v>3208024</x:v>
      </x:c>
      <x:c r="B346" s="7" t="str">
        <x:v>RS Umum Wijaya Kusumah</x:v>
      </x:c>
      <x:c r="C346" s="7" t="str">
        <x:v>C</x:v>
      </x:c>
      <x:c r="D346" s="7" t="str">
        <x:v>KUNINGAN</x:v>
      </x:c>
      <x:c r="E346" s="8">
        <x:v>30983</x:v>
      </x:c>
      <x:c r="F346" s="9">
        <x:v>29371809700</x:v>
      </x:c>
      <x:c r="G346" s="9">
        <x:v>36855879679.00998</x:v>
      </x:c>
      <x:c r="H346" s="10" t="n">
        <x:f>G346-F346</x:f>
        <x:v>7484069979.009979</x:v>
      </x:c>
    </x:row>
    <x:row r="347">
      <x:c r="A347" s="7" t="str">
        <x:v>3208035</x:v>
      </x:c>
      <x:c r="B347" s="7" t="str">
        <x:v>RS Umum Sekar Kamulyan</x:v>
      </x:c>
      <x:c r="C347" s="7" t="str">
        <x:v>C</x:v>
      </x:c>
      <x:c r="D347" s="7" t="str">
        <x:v>KUNINGAN</x:v>
      </x:c>
      <x:c r="E347" s="8">
        <x:v>24225</x:v>
      </x:c>
      <x:c r="F347" s="9">
        <x:v>21428596200</x:v>
      </x:c>
      <x:c r="G347" s="9">
        <x:v>25518449140.409992</x:v>
      </x:c>
      <x:c r="H347" s="10" t="n">
        <x:f>G347-F347</x:f>
        <x:v>4089852940.409992</x:v>
      </x:c>
    </x:row>
    <x:row r="348">
      <x:c r="A348" s="7" t="str">
        <x:v>3208046</x:v>
      </x:c>
      <x:c r="B348" s="7" t="str">
        <x:v>RS Umum Juanda</x:v>
      </x:c>
      <x:c r="C348" s="7" t="str">
        <x:v>C</x:v>
      </x:c>
      <x:c r="D348" s="7" t="str">
        <x:v>KUNINGAN</x:v>
      </x:c>
      <x:c r="E348" s="8">
        <x:v>72236</x:v>
      </x:c>
      <x:c r="F348" s="9">
        <x:v>47284901400</x:v>
      </x:c>
      <x:c r="G348" s="9">
        <x:v>56571926404.520004</x:v>
      </x:c>
      <x:c r="H348" s="10" t="n">
        <x:f>G348-F348</x:f>
        <x:v>9287025004.520004</x:v>
      </x:c>
    </x:row>
    <x:row r="349">
      <x:c r="A349" s="7" t="str">
        <x:v>3208057</x:v>
      </x:c>
      <x:c r="B349" s="7" t="str">
        <x:v>RS Umum El-Syifa</x:v>
      </x:c>
      <x:c r="C349" s="7" t="str">
        <x:v>D</x:v>
      </x:c>
      <x:c r="D349" s="7" t="str">
        <x:v>KUNINGAN</x:v>
      </x:c>
      <x:c r="E349" s="8">
        <x:v>14912</x:v>
      </x:c>
      <x:c r="F349" s="9">
        <x:v>13642913400</x:v>
      </x:c>
      <x:c r="G349" s="9">
        <x:v>16938306045.289995</x:v>
      </x:c>
      <x:c r="H349" s="10" t="n">
        <x:f>G349-F349</x:f>
        <x:v>3295392645.289995</x:v>
      </x:c>
    </x:row>
    <x:row r="350">
      <x:c r="A350" s="7" t="str">
        <x:v>3208059</x:v>
      </x:c>
      <x:c r="B350" s="7" t="str">
        <x:v>RS Umum Daerah Linggajati Kuningan</x:v>
      </x:c>
      <x:c r="C350" s="7" t="str">
        <x:v>C</x:v>
      </x:c>
      <x:c r="D350" s="7" t="str">
        <x:v>KUNINGAN</x:v>
      </x:c>
      <x:c r="E350" s="8">
        <x:v>25646</x:v>
      </x:c>
      <x:c r="F350" s="9">
        <x:v>14881977835</x:v>
      </x:c>
      <x:c r="G350" s="9">
        <x:v>18125958797.410004</x:v>
      </x:c>
      <x:c r="H350" s="10" t="n">
        <x:f>G350-F350</x:f>
        <x:v>3243980962.4100037</x:v>
      </x:c>
    </x:row>
    <x:row r="351">
      <x:c r="A351" s="7" t="str">
        <x:v>3208060</x:v>
      </x:c>
      <x:c r="B351" s="7" t="str">
        <x:v>RS Umum KMC Luragung</x:v>
      </x:c>
      <x:c r="C351" s="7" t="str">
        <x:v>C</x:v>
      </x:c>
      <x:c r="D351" s="7" t="str">
        <x:v>KUNINGAN</x:v>
      </x:c>
      <x:c r="E351" s="8">
        <x:v>140</x:v>
      </x:c>
      <x:c r="F351" s="9">
        <x:v>345591100</x:v>
      </x:c>
      <x:c r="G351" s="9">
        <x:v>430514320.97999996</x:v>
      </x:c>
      <x:c r="H351" s="10" t="n">
        <x:f>G351-F351</x:f>
        <x:v>84923220.97999996</x:v>
      </x:c>
    </x:row>
    <x:row r="352">
      <x:c r="A352" s="7" t="str">
        <x:v>3208061</x:v>
      </x:c>
      <x:c r="B352" s="7" t="str">
        <x:v>RS Jantung Hasna Medika Kuningan</x:v>
      </x:c>
      <x:c r="C352" s="7" t="str">
        <x:v>B</x:v>
      </x:c>
      <x:c r="D352" s="7" t="str">
        <x:v>KUNINGAN</x:v>
      </x:c>
      <x:c r="E352" s="8">
        <x:v>53581</x:v>
      </x:c>
      <x:c r="F352" s="9">
        <x:v>43779727300</x:v>
      </x:c>
      <x:c r="G352" s="9">
        <x:v>62281569368.15002</x:v>
      </x:c>
      <x:c r="H352" s="10" t="n">
        <x:f>G352-F352</x:f>
        <x:v>18501842068.150017</x:v>
      </x:c>
    </x:row>
    <x:row r="353">
      <x:c r="A353" s="7" t="str">
        <x:v>3208063</x:v>
      </x:c>
      <x:c r="B353" s="7" t="str">
        <x:v>RS Mitra Husada</x:v>
      </x:c>
      <x:c r="C353" s="7" t="str">
        <x:v>D</x:v>
      </x:c>
      <x:c r="D353" s="7" t="str">
        <x:v>KUNINGAN</x:v>
      </x:c>
      <x:c r="E353" s="8">
        <x:v>15716</x:v>
      </x:c>
      <x:c r="F353" s="9">
        <x:v>18252922000</x:v>
      </x:c>
      <x:c r="G353" s="9">
        <x:v>24116025231.27999</x:v>
      </x:c>
      <x:c r="H353" s="10" t="n">
        <x:f>G353-F353</x:f>
        <x:v>5863103231.279991</x:v>
      </x:c>
    </x:row>
    <x:row r="354">
      <x:c r="A354" s="7" t="str">
        <x:v>3208065</x:v>
      </x:c>
      <x:c r="B354" s="7" t="str">
        <x:v>RS Permata Kuningan</x:v>
      </x:c>
      <x:c r="C354" s="7" t="str">
        <x:v>C</x:v>
      </x:c>
      <x:c r="D354" s="7" t="str">
        <x:v>KUNINGAN</x:v>
      </x:c>
      <x:c r="E354" s="8">
        <x:v>55501</x:v>
      </x:c>
      <x:c r="F354" s="9">
        <x:v>44619362500</x:v>
      </x:c>
      <x:c r="G354" s="9">
        <x:v>53214344482.29</x:v>
      </x:c>
      <x:c r="H354" s="10" t="n">
        <x:f>G354-F354</x:f>
        <x:v>8594981982.29</x:v>
      </x:c>
    </x:row>
    <x:row r="355">
      <x:c r="A355" s="7" t="str">
        <x:v>3208076</x:v>
      </x:c>
      <x:c r="B355" s="7" t="str">
        <x:v>RS Pradipa Medika</x:v>
      </x:c>
      <x:c r="C355" s="7" t="str">
        <x:v>D</x:v>
      </x:c>
      <x:c r="D355" s="7" t="str">
        <x:v>KUNINGAN</x:v>
      </x:c>
      <x:c r="E355" s="8">
        <x:v>2907</x:v>
      </x:c>
      <x:c r="F355" s="9">
        <x:v>3597157100</x:v>
      </x:c>
      <x:c r="G355" s="9">
        <x:v>4863518437.769999</x:v>
      </x:c>
      <x:c r="H355" s="10" t="n">
        <x:f>G355-F355</x:f>
        <x:v>1266361337.7699986</x:v>
      </x:c>
    </x:row>
    <x:row r="356">
      <x:c r="A356" s="7" t="str">
        <x:v>3209014</x:v>
      </x:c>
      <x:c r="B356" s="7" t="str">
        <x:v>RS Umum Daerah Waled</x:v>
      </x:c>
      <x:c r="C356" s="7" t="str">
        <x:v>B</x:v>
      </x:c>
      <x:c r="D356" s="7" t="str">
        <x:v>CIREBON</x:v>
      </x:c>
      <x:c r="E356" s="8">
        <x:v>58393</x:v>
      </x:c>
      <x:c r="F356" s="9">
        <x:v>80634660200</x:v>
      </x:c>
      <x:c r="G356" s="9">
        <x:v>86598704128.84999</x:v>
      </x:c>
      <x:c r="H356" s="10" t="n">
        <x:f>G356-F356</x:f>
        <x:v>5964043928.849991</x:v>
      </x:c>
    </x:row>
    <x:row r="357">
      <x:c r="A357" s="7" t="str">
        <x:v>3209025</x:v>
      </x:c>
      <x:c r="B357" s="7" t="str">
        <x:v>RS Pertamina Cirebon</x:v>
      </x:c>
      <x:c r="C357" s="7" t="str">
        <x:v>C</x:v>
      </x:c>
      <x:c r="D357" s="7" t="str">
        <x:v>CIREBON</x:v>
      </x:c>
      <x:c r="E357" s="8">
        <x:v>34771</x:v>
      </x:c>
      <x:c r="F357" s="9">
        <x:v>28514956800</x:v>
      </x:c>
      <x:c r="G357" s="9">
        <x:v>31192636741.799984</x:v>
      </x:c>
      <x:c r="H357" s="10" t="n">
        <x:f>G357-F357</x:f>
        <x:v>2677679941.799984</x:v>
      </x:c>
    </x:row>
    <x:row r="358">
      <x:c r="A358" s="7" t="str">
        <x:v>3209036</x:v>
      </x:c>
      <x:c r="B358" s="7" t="str">
        <x:v>RS Daerah Sidawangi</x:v>
      </x:c>
      <x:c r="C358" s="7" t="str">
        <x:v>B</x:v>
      </x:c>
      <x:c r="D358" s="7" t="str">
        <x:v>CIREBON</x:v>
      </x:c>
      <x:c r="E358" s="8">
        <x:v>9602</x:v>
      </x:c>
      <x:c r="F358" s="9">
        <x:v>7454437400</x:v>
      </x:c>
      <x:c r="G358" s="9">
        <x:v>9575569690.599995</x:v>
      </x:c>
      <x:c r="H358" s="10" t="n">
        <x:f>G358-F358</x:f>
        <x:v>2121132290.5999947</x:v>
      </x:c>
    </x:row>
    <x:row r="359">
      <x:c r="A359" s="7" t="str">
        <x:v>3209040</x:v>
      </x:c>
      <x:c r="B359" s="7" t="str">
        <x:v>RS Umum Daerah Arjawinangun</x:v>
      </x:c>
      <x:c r="C359" s="7" t="str">
        <x:v>B</x:v>
      </x:c>
      <x:c r="D359" s="7" t="str">
        <x:v>CIREBON</x:v>
      </x:c>
      <x:c r="E359" s="8">
        <x:v>42914</x:v>
      </x:c>
      <x:c r="F359" s="9">
        <x:v>38185680915</x:v>
      </x:c>
      <x:c r="G359" s="9">
        <x:v>43589568307.17001</x:v>
      </x:c>
      <x:c r="H359" s="10" t="n">
        <x:f>G359-F359</x:f>
        <x:v>5403887392.170013</x:v>
      </x:c>
    </x:row>
    <x:row r="360">
      <x:c r="A360" s="7" t="str">
        <x:v>3209051</x:v>
      </x:c>
      <x:c r="B360" s="7" t="str">
        <x:v>RS Umum Mitra Plumbon</x:v>
      </x:c>
      <x:c r="C360" s="7" t="str">
        <x:v>B</x:v>
      </x:c>
      <x:c r="D360" s="7" t="str">
        <x:v>CIREBON</x:v>
      </x:c>
      <x:c r="E360" s="8">
        <x:v>288516</x:v>
      </x:c>
      <x:c r="F360" s="9">
        <x:v>270648640900</x:v>
      </x:c>
      <x:c r="G360" s="9">
        <x:v>294600040665.35</x:v>
      </x:c>
      <x:c r="H360" s="10" t="n">
        <x:f>G360-F360</x:f>
        <x:v>23951399765.349976</x:v>
      </x:c>
    </x:row>
    <x:row r="361">
      <x:c r="A361" s="7" t="str">
        <x:v>3209052</x:v>
      </x:c>
      <x:c r="B361" s="7" t="str">
        <x:v>RS Umum Universitas Muhammadiyah Cirebon</x:v>
      </x:c>
      <x:c r="C361" s="7" t="str">
        <x:v>C</x:v>
      </x:c>
      <x:c r="D361" s="7" t="str">
        <x:v>CIREBON</x:v>
      </x:c>
      <x:c r="E361" s="8">
        <x:v>37460</x:v>
      </x:c>
      <x:c r="F361" s="9">
        <x:v>22836158000</x:v>
      </x:c>
      <x:c r="G361" s="9">
        <x:v>28049053091.649986</x:v>
      </x:c>
      <x:c r="H361" s="10" t="n">
        <x:f>G361-F361</x:f>
        <x:v>5212895091.649986</x:v>
      </x:c>
    </x:row>
    <x:row r="362">
      <x:c r="A362" s="7" t="str">
        <x:v>3209053</x:v>
      </x:c>
      <x:c r="B362" s="7" t="str">
        <x:v>RS Umum Khalishah</x:v>
      </x:c>
      <x:c r="C362" s="7" t="str">
        <x:v>C</x:v>
      </x:c>
      <x:c r="D362" s="7" t="str">
        <x:v>CIREBON</x:v>
      </x:c>
      <x:c r="E362" s="8">
        <x:v>15327</x:v>
      </x:c>
      <x:c r="F362" s="9">
        <x:v>23409565300</x:v>
      </x:c>
      <x:c r="G362" s="9">
        <x:v>30342627695.279995</x:v>
      </x:c>
      <x:c r="H362" s="10" t="n">
        <x:f>G362-F362</x:f>
        <x:v>6933062395.279995</x:v>
      </x:c>
    </x:row>
    <x:row r="363">
      <x:c r="A363" s="7" t="str">
        <x:v>3209054</x:v>
      </x:c>
      <x:c r="B363" s="7" t="str">
        <x:v>RS Umum Permata Cirebon</x:v>
      </x:c>
      <x:c r="C363" s="7" t="str">
        <x:v>B</x:v>
      </x:c>
      <x:c r="D363" s="7" t="str">
        <x:v>CIREBON</x:v>
      </x:c>
      <x:c r="E363" s="8">
        <x:v>100754</x:v>
      </x:c>
      <x:c r="F363" s="9">
        <x:v>90923650200</x:v>
      </x:c>
      <x:c r="G363" s="9">
        <x:v>103300756097.42004</x:v>
      </x:c>
      <x:c r="H363" s="10" t="n">
        <x:f>G363-F363</x:f>
        <x:v>12377105897.420044</x:v>
      </x:c>
    </x:row>
    <x:row r="364">
      <x:c r="A364" s="7" t="str">
        <x:v>3209055</x:v>
      </x:c>
      <x:c r="B364" s="7" t="str">
        <x:v>RS Pasar Minggu Cirebon</x:v>
      </x:c>
      <x:c r="C364" s="7" t="str">
        <x:v>D</x:v>
      </x:c>
      <x:c r="D364" s="7" t="str">
        <x:v>CIREBON</x:v>
      </x:c>
      <x:c r="E364" s="8">
        <x:v>6235</x:v>
      </x:c>
      <x:c r="F364" s="9">
        <x:v>6552065300</x:v>
      </x:c>
      <x:c r="G364" s="9">
        <x:v>8610801636.81</x:v>
      </x:c>
      <x:c r="H364" s="10" t="n">
        <x:f>G364-F364</x:f>
        <x:v>2058736336.8099995</x:v>
      </x:c>
    </x:row>
    <x:row r="365">
      <x:c r="A365" s="7" t="str">
        <x:v>3209133</x:v>
      </x:c>
      <x:c r="B365" s="7" t="str">
        <x:v>RS Umum Sumber Waras</x:v>
      </x:c>
      <x:c r="C365" s="7" t="str">
        <x:v>B</x:v>
      </x:c>
      <x:c r="D365" s="7" t="str">
        <x:v>CIREBON</x:v>
      </x:c>
      <x:c r="E365" s="8">
        <x:v>61733</x:v>
      </x:c>
      <x:c r="F365" s="9">
        <x:v>71761175200</x:v>
      </x:c>
      <x:c r="G365" s="9">
        <x:v>79834326923.38998</x:v>
      </x:c>
      <x:c r="H365" s="10" t="n">
        <x:f>G365-F365</x:f>
        <x:v>8073151723.389984</x:v>
      </x:c>
    </x:row>
    <x:row r="366">
      <x:c r="A366" s="7" t="str">
        <x:v>3209144</x:v>
      </x:c>
      <x:c r="B366" s="7" t="str">
        <x:v>Sentra Medika Hospital Gempol</x:v>
      </x:c>
      <x:c r="C366" s="7" t="str">
        <x:v>C</x:v>
      </x:c>
      <x:c r="D366" s="7" t="str">
        <x:v>CIREBON</x:v>
      </x:c>
      <x:c r="E366" s="8">
        <x:v>14133</x:v>
      </x:c>
      <x:c r="F366" s="9">
        <x:v>21805616500</x:v>
      </x:c>
      <x:c r="G366" s="9">
        <x:v>26431418181.850006</x:v>
      </x:c>
      <x:c r="H366" s="10" t="n">
        <x:f>G366-F366</x:f>
        <x:v>4625801681.850006</x:v>
      </x:c>
    </x:row>
    <x:row r="367">
      <x:c r="A367" s="7" t="str">
        <x:v>3210014</x:v>
      </x:c>
      <x:c r="B367" s="7" t="str">
        <x:v>RS Umum Daerah Majalengka</x:v>
      </x:c>
      <x:c r="C367" s="7" t="str">
        <x:v>B</x:v>
      </x:c>
      <x:c r="D367" s="7" t="str">
        <x:v>MAJALENGKA</x:v>
      </x:c>
      <x:c r="E367" s="8">
        <x:v>89756</x:v>
      </x:c>
      <x:c r="F367" s="9">
        <x:v>86436388315</x:v>
      </x:c>
      <x:c r="G367" s="9">
        <x:v>99802759865.3</x:v>
      </x:c>
      <x:c r="H367" s="10" t="n">
        <x:f>G367-F367</x:f>
        <x:v>13366371550.300003</x:v>
      </x:c>
    </x:row>
    <x:row r="368">
      <x:c r="A368" s="7" t="str">
        <x:v>3210025</x:v>
      </x:c>
      <x:c r="B368" s="7" t="str">
        <x:v>RS Umum Daerah Cideres</x:v>
      </x:c>
      <x:c r="C368" s="7" t="str">
        <x:v>B</x:v>
      </x:c>
      <x:c r="D368" s="7" t="str">
        <x:v>MAJALENGKA</x:v>
      </x:c>
      <x:c r="E368" s="8">
        <x:v>90402</x:v>
      </x:c>
      <x:c r="F368" s="9">
        <x:v>105407303685</x:v>
      </x:c>
      <x:c r="G368" s="9">
        <x:v>121412623637.90999</x:v>
      </x:c>
      <x:c r="H368" s="10" t="n">
        <x:f>G368-F368</x:f>
        <x:v>16005319952.909988</x:v>
      </x:c>
    </x:row>
    <x:row r="369">
      <x:c r="A369" s="7" t="str">
        <x:v>3210037</x:v>
      </x:c>
      <x:c r="B369" s="7" t="str">
        <x:v>RS Mitra Plumbon Majalengka</x:v>
      </x:c>
      <x:c r="C369" s="7" t="str">
        <x:v>C</x:v>
      </x:c>
      <x:c r="D369" s="7" t="str">
        <x:v>MAJALENGKA</x:v>
      </x:c>
      <x:c r="E369" s="8">
        <x:v>127041</x:v>
      </x:c>
      <x:c r="F369" s="9">
        <x:v>117091228450</x:v>
      </x:c>
      <x:c r="G369" s="9">
        <x:v>148734285326.21002</x:v>
      </x:c>
      <x:c r="H369" s="10" t="n">
        <x:f>G369-F369</x:f>
        <x:v>31643056876.210022</x:v>
      </x:c>
    </x:row>
    <x:row r="370">
      <x:c r="A370" s="7" t="str">
        <x:v>3210038</x:v>
      </x:c>
      <x:c r="B370" s="7" t="str">
        <x:v>RS Umum Livasya</x:v>
      </x:c>
      <x:c r="C370" s="7" t="str">
        <x:v>C</x:v>
      </x:c>
      <x:c r="D370" s="7" t="str">
        <x:v>MAJALENGKA</x:v>
      </x:c>
      <x:c r="E370" s="8">
        <x:v>23109</x:v>
      </x:c>
      <x:c r="F370" s="9">
        <x:v>26835224300</x:v>
      </x:c>
      <x:c r="G370" s="9">
        <x:v>32468978833.470016</x:v>
      </x:c>
      <x:c r="H370" s="10" t="n">
        <x:f>G370-F370</x:f>
        <x:v>5633754533.4700165</x:v>
      </x:c>
    </x:row>
    <x:row r="371">
      <x:c r="A371" s="7" t="str">
        <x:v>3210051</x:v>
      </x:c>
      <x:c r="B371" s="7" t="str">
        <x:v>Rumah Sakit Umum Djuansih Majalengka</x:v>
      </x:c>
      <x:c r="C371" s="7" t="str">
        <x:v>C</x:v>
      </x:c>
      <x:c r="D371" s="7" t="str">
        <x:v>MAJALENGKA</x:v>
      </x:c>
      <x:c r="E371" s="8">
        <x:v>3924</x:v>
      </x:c>
      <x:c r="F371" s="9">
        <x:v>6985144200</x:v>
      </x:c>
      <x:c r="G371" s="9">
        <x:v>8866207237.71</x:v>
      </x:c>
      <x:c r="H371" s="10" t="n">
        <x:f>G371-F371</x:f>
        <x:v>1881063037.709999</x:v>
      </x:c>
    </x:row>
    <x:row r="372">
      <x:c r="A372" s="7" t="str">
        <x:v>3211015</x:v>
      </x:c>
      <x:c r="B372" s="7" t="str">
        <x:v>RS Umum Daerah Umar Wirahadikusumah</x:v>
      </x:c>
      <x:c r="C372" s="7" t="str">
        <x:v>B</x:v>
      </x:c>
      <x:c r="D372" s="7" t="str">
        <x:v>SUMEDANG</x:v>
      </x:c>
      <x:c r="E372" s="8">
        <x:v>99231</x:v>
      </x:c>
      <x:c r="F372" s="9">
        <x:v>129514509905</x:v>
      </x:c>
      <x:c r="G372" s="9">
        <x:v>147718280304.49002</x:v>
      </x:c>
      <x:c r="H372" s="10" t="n">
        <x:f>G372-F372</x:f>
        <x:v>18203770399.49002</x:v>
      </x:c>
    </x:row>
    <x:row r="373">
      <x:c r="A373" s="7" t="str">
        <x:v>3211026</x:v>
      </x:c>
      <x:c r="B373" s="7" t="str">
        <x:v>RS Umum Pakuwon</x:v>
      </x:c>
      <x:c r="C373" s="7" t="str">
        <x:v>C</x:v>
      </x:c>
      <x:c r="D373" s="7" t="str">
        <x:v>SUMEDANG</x:v>
      </x:c>
      <x:c r="E373" s="8">
        <x:v>72912</x:v>
      </x:c>
      <x:c r="F373" s="9">
        <x:v>49159783450</x:v>
      </x:c>
      <x:c r="G373" s="9">
        <x:v>57110760607.63003</x:v>
      </x:c>
      <x:c r="H373" s="10" t="n">
        <x:f>G373-F373</x:f>
        <x:v>7950977157.630028</x:v>
      </x:c>
    </x:row>
    <x:row r="374">
      <x:c r="A374" s="7" t="str">
        <x:v>3211027</x:v>
      </x:c>
      <x:c r="B374" s="7" t="str">
        <x:v>RS Umum Harapan Keluarga</x:v>
      </x:c>
      <x:c r="C374" s="7" t="str">
        <x:v>D</x:v>
      </x:c>
      <x:c r="D374" s="7" t="str">
        <x:v>SUMEDANG</x:v>
      </x:c>
      <x:c r="E374" s="8">
        <x:v>68806</x:v>
      </x:c>
      <x:c r="F374" s="9">
        <x:v>34606305600</x:v>
      </x:c>
      <x:c r="G374" s="9">
        <x:v>42788276218.45999</x:v>
      </x:c>
      <x:c r="H374" s="10" t="n">
        <x:f>G374-F374</x:f>
        <x:v>8181970618.459991</x:v>
      </x:c>
    </x:row>
    <x:row r="375">
      <x:c r="A375" s="7" t="str">
        <x:v>3211038</x:v>
      </x:c>
      <x:c r="B375" s="7" t="str">
        <x:v>RS Universitas Padjadjaran</x:v>
      </x:c>
      <x:c r="C375" s="7" t="str">
        <x:v>B</x:v>
      </x:c>
      <x:c r="D375" s="7" t="str">
        <x:v>SUMEDANG</x:v>
      </x:c>
      <x:c r="E375" s="8">
        <x:v>47641</x:v>
      </x:c>
      <x:c r="F375" s="9">
        <x:v>60620517600</x:v>
      </x:c>
      <x:c r="G375" s="9">
        <x:v>68240652940.22999</x:v>
      </x:c>
      <x:c r="H375" s="10" t="n">
        <x:f>G375-F375</x:f>
        <x:v>7620135340.229988</x:v>
      </x:c>
    </x:row>
    <x:row r="376">
      <x:c r="A376" s="7" t="str">
        <x:v>3211039</x:v>
      </x:c>
      <x:c r="B376" s="7" t="str">
        <x:v>RS Cimalaka</x:v>
      </x:c>
      <x:c r="C376" s="7" t="str">
        <x:v>C</x:v>
      </x:c>
      <x:c r="D376" s="7" t="str">
        <x:v>SUMEDANG</x:v>
      </x:c>
      <x:c r="E376" s="8">
        <x:v>15162</x:v>
      </x:c>
      <x:c r="F376" s="9">
        <x:v>15261381500</x:v>
      </x:c>
      <x:c r="G376" s="9">
        <x:v>18830358068.55001</x:v>
      </x:c>
      <x:c r="H376" s="10" t="n">
        <x:f>G376-F376</x:f>
        <x:v>3568976568.5500107</x:v>
      </x:c>
    </x:row>
    <x:row r="377">
      <x:c r="A377" s="7" t="str">
        <x:v>3212016</x:v>
      </x:c>
      <x:c r="B377" s="7" t="str">
        <x:v>RS Umum Daerah Kab. Indramayu</x:v>
      </x:c>
      <x:c r="C377" s="7" t="str">
        <x:v>B</x:v>
      </x:c>
      <x:c r="D377" s="7" t="str">
        <x:v>INDRAMAYU</x:v>
      </x:c>
      <x:c r="E377" s="8">
        <x:v>94565</x:v>
      </x:c>
      <x:c r="F377" s="9">
        <x:v>107178020000</x:v>
      </x:c>
      <x:c r="G377" s="9">
        <x:v>125855352284.43005</x:v>
      </x:c>
      <x:c r="H377" s="10" t="n">
        <x:f>G377-F377</x:f>
        <x:v>18677332284.430054</x:v>
      </x:c>
    </x:row>
    <x:row r="378">
      <x:c r="A378" s="7" t="str">
        <x:v>3212031</x:v>
      </x:c>
      <x:c r="B378" s="7" t="str">
        <x:v>RS Umum Daerah M. A. Sentot Patrol</x:v>
      </x:c>
      <x:c r="C378" s="7" t="str">
        <x:v>C</x:v>
      </x:c>
      <x:c r="D378" s="7" t="str">
        <x:v>INDRAMAYU</x:v>
      </x:c>
      <x:c r="E378" s="8">
        <x:v>24500</x:v>
      </x:c>
      <x:c r="F378" s="9">
        <x:v>20460435400</x:v>
      </x:c>
      <x:c r="G378" s="9">
        <x:v>27059870269.440002</x:v>
      </x:c>
      <x:c r="H378" s="10" t="n">
        <x:f>G378-F378</x:f>
        <x:v>6599434869.440002</x:v>
      </x:c>
    </x:row>
    <x:row r="379">
      <x:c r="A379" s="7" t="str">
        <x:v>3212042</x:v>
      </x:c>
      <x:c r="B379" s="7" t="str">
        <x:v>RS Umum Bhayangkara Indramayu</x:v>
      </x:c>
      <x:c r="C379" s="7" t="str">
        <x:v>C</x:v>
      </x:c>
      <x:c r="D379" s="7" t="str">
        <x:v>INDRAMAYU</x:v>
      </x:c>
      <x:c r="E379" s="8">
        <x:v>23720</x:v>
      </x:c>
      <x:c r="F379" s="9">
        <x:v>17921839630</x:v>
      </x:c>
      <x:c r="G379" s="9">
        <x:v>23330641258.979996</x:v>
      </x:c>
      <x:c r="H379" s="10" t="n">
        <x:f>G379-F379</x:f>
        <x:v>5408801628.979996</x:v>
      </x:c>
    </x:row>
    <x:row r="380">
      <x:c r="A380" s="7" t="str">
        <x:v>3212054</x:v>
      </x:c>
      <x:c r="B380" s="7" t="str">
        <x:v>RS Umum MM Indramayu</x:v>
      </x:c>
      <x:c r="C380" s="7" t="str">
        <x:v>D</x:v>
      </x:c>
      <x:c r="D380" s="7" t="str">
        <x:v>INDRAMAYU</x:v>
      </x:c>
      <x:c r="E380" s="8">
        <x:v>23258</x:v>
      </x:c>
      <x:c r="F380" s="9">
        <x:v>17671188900</x:v>
      </x:c>
      <x:c r="G380" s="9">
        <x:v>22897384342.880005</x:v>
      </x:c>
      <x:c r="H380" s="10" t="n">
        <x:f>G380-F380</x:f>
        <x:v>5226195442.880005</x:v>
      </x:c>
    </x:row>
    <x:row r="381">
      <x:c r="A381" s="7" t="str">
        <x:v>3212055</x:v>
      </x:c>
      <x:c r="B381" s="7" t="str">
        <x:v>RS Umum Pertamina Balongan Indramayu</x:v>
      </x:c>
      <x:c r="C381" s="7" t="str">
        <x:v>D</x:v>
      </x:c>
      <x:c r="D381" s="7" t="str">
        <x:v>INDRAMAYU</x:v>
      </x:c>
      <x:c r="E381" s="8">
        <x:v>4705</x:v>
      </x:c>
      <x:c r="F381" s="9">
        <x:v>4176903100</x:v>
      </x:c>
      <x:c r="G381" s="9">
        <x:v>4982914221.400001</x:v>
      </x:c>
      <x:c r="H381" s="10" t="n">
        <x:f>G381-F381</x:f>
        <x:v>806011121.4000006</x:v>
      </x:c>
    </x:row>
    <x:row r="382">
      <x:c r="A382" s="7" t="str">
        <x:v>3212056</x:v>
      </x:c>
      <x:c r="B382" s="7" t="str">
        <x:v>RS Umum Daerah Mursid Ibnu Syafiuddin</x:v>
      </x:c>
      <x:c r="C382" s="7" t="str">
        <x:v>D</x:v>
      </x:c>
      <x:c r="D382" s="7" t="str">
        <x:v>INDRAMAYU</x:v>
      </x:c>
      <x:c r="E382" s="8">
        <x:v>20334</x:v>
      </x:c>
      <x:c r="F382" s="9">
        <x:v>15920484500</x:v>
      </x:c>
      <x:c r="G382" s="9">
        <x:v>22964712567.64999</x:v>
      </x:c>
      <x:c r="H382" s="10" t="n">
        <x:f>G382-F382</x:f>
        <x:v>7044228067.64999</x:v>
      </x:c>
    </x:row>
    <x:row r="383">
      <x:c r="A383" s="7" t="str">
        <x:v>3212059</x:v>
      </x:c>
      <x:c r="B383" s="7" t="str">
        <x:v>RS Mitra Plumbon Indramayu</x:v>
      </x:c>
      <x:c r="C383" s="7" t="str">
        <x:v>B</x:v>
      </x:c>
      <x:c r="D383" s="7" t="str">
        <x:v>INDRAMAYU</x:v>
      </x:c>
      <x:c r="E383" s="8">
        <x:v>150949</x:v>
      </x:c>
      <x:c r="F383" s="9">
        <x:v>160962787700</x:v>
      </x:c>
      <x:c r="G383" s="9">
        <x:v>177199923954.29993</x:v>
      </x:c>
      <x:c r="H383" s="10" t="n">
        <x:f>G383-F383</x:f>
        <x:v>16237136254.299927</x:v>
      </x:c>
    </x:row>
    <x:row r="384">
      <x:c r="A384" s="7" t="str">
        <x:v>3212060</x:v>
      </x:c>
      <x:c r="B384" s="7" t="str">
        <x:v>RS Sentra Medika Langut</x:v>
      </x:c>
      <x:c r="C384" s="7" t="str">
        <x:v>C</x:v>
      </x:c>
      <x:c r="D384" s="7" t="str">
        <x:v>INDRAMAYU</x:v>
      </x:c>
      <x:c r="E384" s="8">
        <x:v>13285</x:v>
      </x:c>
      <x:c r="F384" s="9">
        <x:v>18593227700</x:v>
      </x:c>
      <x:c r="G384" s="9">
        <x:v>23611785549.620003</x:v>
      </x:c>
      <x:c r="H384" s="10" t="n">
        <x:f>G384-F384</x:f>
        <x:v>5018557849.620003</x:v>
      </x:c>
    </x:row>
    <x:row r="385">
      <x:c r="A385" s="7" t="str">
        <x:v>3212071</x:v>
      </x:c>
      <x:c r="B385" s="7" t="str">
        <x:v>RS Islam Zam-Zam Muhammadiyah Jatibarang</x:v>
      </x:c>
      <x:c r="C385" s="7" t="str">
        <x:v>D</x:v>
      </x:c>
      <x:c r="D385" s="7" t="str">
        <x:v>INDRAMAYU</x:v>
      </x:c>
      <x:c r="E385" s="8">
        <x:v>6869</x:v>
      </x:c>
      <x:c r="F385" s="9">
        <x:v>7027485100</x:v>
      </x:c>
      <x:c r="G385" s="9">
        <x:v>10505411852.650002</x:v>
      </x:c>
      <x:c r="H385" s="10" t="n">
        <x:f>G385-F385</x:f>
        <x:v>3477926752.6500015</x:v>
      </x:c>
    </x:row>
    <x:row r="386">
      <x:c r="A386" s="7" t="str">
        <x:v>3212073</x:v>
      </x:c>
      <x:c r="B386" s="7" t="str">
        <x:v>RS Mitra Plumbon Patrol</x:v>
      </x:c>
      <x:c r="C386" s="7" t="str">
        <x:v>C</x:v>
      </x:c>
      <x:c r="D386" s="7" t="str">
        <x:v>INDRAMAYU</x:v>
      </x:c>
      <x:c r="E386" s="8">
        <x:v>47422</x:v>
      </x:c>
      <x:c r="F386" s="9">
        <x:v>56871720700</x:v>
      </x:c>
      <x:c r="G386" s="9">
        <x:v>73973605271.23003</x:v>
      </x:c>
      <x:c r="H386" s="10" t="n">
        <x:f>G386-F386</x:f>
        <x:v>17101884571.230026</x:v>
      </x:c>
    </x:row>
    <x:row r="387">
      <x:c r="A387" s="7" t="str">
        <x:v>3213010</x:v>
      </x:c>
      <x:c r="B387" s="7" t="str">
        <x:v>RS Umum Daerah Subang</x:v>
      </x:c>
      <x:c r="C387" s="7" t="str">
        <x:v>B</x:v>
      </x:c>
      <x:c r="D387" s="7" t="str">
        <x:v>SUBANG</x:v>
      </x:c>
      <x:c r="E387" s="8">
        <x:v>108453</x:v>
      </x:c>
      <x:c r="F387" s="9">
        <x:v>124940453160</x:v>
      </x:c>
      <x:c r="G387" s="9">
        <x:v>132550552638.07</x:v>
      </x:c>
      <x:c r="H387" s="10" t="n">
        <x:f>G387-F387</x:f>
        <x:v>7610099478.070007</x:v>
      </x:c>
    </x:row>
    <x:row r="388">
      <x:c r="A388" s="7" t="str">
        <x:v>3213021</x:v>
      </x:c>
      <x:c r="B388" s="7" t="str">
        <x:v>RS Umum PTPN VIII</x:v>
      </x:c>
      <x:c r="C388" s="7" t="str">
        <x:v>C</x:v>
      </x:c>
      <x:c r="D388" s="7" t="str">
        <x:v>SUBANG</x:v>
      </x:c>
      <x:c r="E388" s="8">
        <x:v>33699</x:v>
      </x:c>
      <x:c r="F388" s="9">
        <x:v>29235420650</x:v>
      </x:c>
      <x:c r="G388" s="9">
        <x:v>30919908379.549984</x:v>
      </x:c>
      <x:c r="H388" s="10" t="n">
        <x:f>G388-F388</x:f>
        <x:v>1684487729.549984</x:v>
      </x:c>
    </x:row>
    <x:row r="389">
      <x:c r="A389" s="7" t="str">
        <x:v>3213032</x:v>
      </x:c>
      <x:c r="B389" s="7" t="str">
        <x:v>RSAU dr. Hoediyono Lanud Suryadarma</x:v>
      </x:c>
      <x:c r="C389" s="7" t="str">
        <x:v>D</x:v>
      </x:c>
      <x:c r="D389" s="7" t="str">
        <x:v>SUBANG</x:v>
      </x:c>
      <x:c r="E389" s="8">
        <x:v>3561</x:v>
      </x:c>
      <x:c r="F389" s="9">
        <x:v>2550862200</x:v>
      </x:c>
      <x:c r="G389" s="9">
        <x:v>3376051320.649999</x:v>
      </x:c>
      <x:c r="H389" s="10" t="n">
        <x:f>G389-F389</x:f>
        <x:v>825189120.6499991</x:v>
      </x:c>
    </x:row>
    <x:row r="390">
      <x:c r="A390" s="7" t="str">
        <x:v>3213044</x:v>
      </x:c>
      <x:c r="B390" s="7" t="str">
        <x:v>RS Umum Mutiara Hati</x:v>
      </x:c>
      <x:c r="C390" s="7" t="str">
        <x:v>C</x:v>
      </x:c>
      <x:c r="D390" s="7" t="str">
        <x:v>SUBANG</x:v>
      </x:c>
      <x:c r="E390" s="8">
        <x:v>26263</x:v>
      </x:c>
      <x:c r="F390" s="9">
        <x:v>24403384200</x:v>
      </x:c>
      <x:c r="G390" s="9">
        <x:v>29513792604.310024</x:v>
      </x:c>
      <x:c r="H390" s="10" t="n">
        <x:f>G390-F390</x:f>
        <x:v>5110408404.310024</x:v>
      </x:c>
    </x:row>
    <x:row r="391">
      <x:c r="A391" s="7" t="str">
        <x:v>3213045</x:v>
      </x:c>
      <x:c r="B391" s="7" t="str">
        <x:v>RS Umum Pamanukan Medical Center (PMC)</x:v>
      </x:c>
      <x:c r="C391" s="7" t="str">
        <x:v>C</x:v>
      </x:c>
      <x:c r="D391" s="7" t="str">
        <x:v>SUBANG</x:v>
      </x:c>
      <x:c r="E391" s="8">
        <x:v>66890</x:v>
      </x:c>
      <x:c r="F391" s="9">
        <x:v>55669302100</x:v>
      </x:c>
      <x:c r="G391" s="9">
        <x:v>73035615782.57004</x:v>
      </x:c>
      <x:c r="H391" s="10" t="n">
        <x:f>G391-F391</x:f>
        <x:v>17366313682.570038</x:v>
      </x:c>
    </x:row>
    <x:row r="392">
      <x:c r="A392" s="7" t="str">
        <x:v>3213050</x:v>
      </x:c>
      <x:c r="B392" s="7" t="str">
        <x:v>RS Indosehat 2003</x:v>
      </x:c>
      <x:c r="C392" s="7" t="str">
        <x:v>D</x:v>
      </x:c>
      <x:c r="D392" s="7" t="str">
        <x:v>SUBANG</x:v>
      </x:c>
      <x:c r="E392" s="8">
        <x:v>14228</x:v>
      </x:c>
      <x:c r="F392" s="9">
        <x:v>12639873100</x:v>
      </x:c>
      <x:c r="G392" s="9">
        <x:v>17359213427.91001</x:v>
      </x:c>
      <x:c r="H392" s="10" t="n">
        <x:f>G392-F392</x:f>
        <x:v>4719340327.910011</x:v>
      </x:c>
    </x:row>
    <x:row r="393">
      <x:c r="A393" s="7" t="str">
        <x:v>3213061</x:v>
      </x:c>
      <x:c r="B393" s="7" t="str">
        <x:v>RS Rayhan</x:v>
      </x:c>
      <x:c r="C393" s="7" t="str">
        <x:v>C</x:v>
      </x:c>
      <x:c r="D393" s="7" t="str">
        <x:v>SUBANG</x:v>
      </x:c>
      <x:c r="E393" s="8">
        <x:v>33618</x:v>
      </x:c>
      <x:c r="F393" s="9">
        <x:v>26418782000</x:v>
      </x:c>
      <x:c r="G393" s="9">
        <x:v>31786298999.370003</x:v>
      </x:c>
      <x:c r="H393" s="10" t="n">
        <x:f>G393-F393</x:f>
        <x:v>5367516999.370003</x:v>
      </x:c>
    </x:row>
    <x:row r="394">
      <x:c r="A394" s="7" t="str">
        <x:v>3213062</x:v>
      </x:c>
      <x:c r="B394" s="7" t="str">
        <x:v>RS Hamori</x:v>
      </x:c>
      <x:c r="C394" s="7" t="str">
        <x:v>C</x:v>
      </x:c>
      <x:c r="D394" s="7" t="str">
        <x:v>SUBANG</x:v>
      </x:c>
      <x:c r="E394" s="8">
        <x:v>72237</x:v>
      </x:c>
      <x:c r="F394" s="9">
        <x:v>48785739400</x:v>
      </x:c>
      <x:c r="G394" s="9">
        <x:v>58778364473.68</x:v>
      </x:c>
      <x:c r="H394" s="10" t="n">
        <x:f>G394-F394</x:f>
        <x:v>9992625073.68</x:v>
      </x:c>
    </x:row>
    <x:row r="395">
      <x:c r="A395" s="7" t="str">
        <x:v>3214011</x:v>
      </x:c>
      <x:c r="B395" s="7" t="str">
        <x:v>RS Umum Daerah Bayu Asih</x:v>
      </x:c>
      <x:c r="C395" s="7" t="str">
        <x:v>B</x:v>
      </x:c>
      <x:c r="D395" s="7" t="str">
        <x:v>PURWAKARTA</x:v>
      </x:c>
      <x:c r="E395" s="8">
        <x:v>93686</x:v>
      </x:c>
      <x:c r="F395" s="9">
        <x:v>105739537280</x:v>
      </x:c>
      <x:c r="G395" s="9">
        <x:v>111738140080.25</x:v>
      </x:c>
      <x:c r="H395" s="10" t="n">
        <x:f>G395-F395</x:f>
        <x:v>5998602800.25</x:v>
      </x:c>
    </x:row>
    <x:row r="396">
      <x:c r="A396" s="7" t="str">
        <x:v>3214031</x:v>
      </x:c>
      <x:c r="B396" s="7" t="str">
        <x:v>RS Umum Siloam Purwakarta</x:v>
      </x:c>
      <x:c r="C396" s="7" t="str">
        <x:v>B</x:v>
      </x:c>
      <x:c r="D396" s="7" t="str">
        <x:v>PURWAKARTA</x:v>
      </x:c>
      <x:c r="E396" s="8">
        <x:v>118424</x:v>
      </x:c>
      <x:c r="F396" s="9">
        <x:v>122537243700</x:v>
      </x:c>
      <x:c r="G396" s="9">
        <x:v>121781343156.34001</x:v>
      </x:c>
      <x:c r="H396" s="10" t="n">
        <x:f>G396-F396</x:f>
        <x:v>-755900543.6599884</x:v>
      </x:c>
    </x:row>
    <x:row r="397">
      <x:c r="A397" s="7" t="str">
        <x:v>3214032</x:v>
      </x:c>
      <x:c r="B397" s="7" t="str">
        <x:v>RS Umum dr. Abdul Radjak Purwakarta</x:v>
      </x:c>
      <x:c r="C397" s="7" t="str">
        <x:v>B</x:v>
      </x:c>
      <x:c r="D397" s="7" t="str">
        <x:v>PURWAKARTA</x:v>
      </x:c>
      <x:c r="E397" s="8">
        <x:v>79832</x:v>
      </x:c>
      <x:c r="F397" s="9">
        <x:v>84007392100</x:v>
      </x:c>
      <x:c r="G397" s="9">
        <x:v>85393842615.50998</x:v>
      </x:c>
      <x:c r="H397" s="10" t="n">
        <x:f>G397-F397</x:f>
        <x:v>1386450515.5099792</x:v>
      </x:c>
    </x:row>
    <x:row r="398">
      <x:c r="A398" s="7" t="str">
        <x:v>3214033</x:v>
      </x:c>
      <x:c r="B398" s="7" t="str">
        <x:v>RS Umum Asri Purwakarta</x:v>
      </x:c>
      <x:c r="C398" s="7" t="str">
        <x:v>C</x:v>
      </x:c>
      <x:c r="D398" s="7" t="str">
        <x:v>PURWAKARTA</x:v>
      </x:c>
      <x:c r="E398" s="8">
        <x:v>55872</x:v>
      </x:c>
      <x:c r="F398" s="9">
        <x:v>43004699400</x:v>
      </x:c>
      <x:c r="G398" s="9">
        <x:v>48035123372.170006</x:v>
      </x:c>
      <x:c r="H398" s="10" t="n">
        <x:f>G398-F398</x:f>
        <x:v>5030423972.170006</x:v>
      </x:c>
    </x:row>
    <x:row r="399">
      <x:c r="A399" s="7" t="str">
        <x:v>3214034</x:v>
      </x:c>
      <x:c r="B399" s="7" t="str">
        <x:v>RS Umum Rama Hadi</x:v>
      </x:c>
      <x:c r="C399" s="7" t="str">
        <x:v>C</x:v>
      </x:c>
      <x:c r="D399" s="7" t="str">
        <x:v>PURWAKARTA</x:v>
      </x:c>
      <x:c r="E399" s="8">
        <x:v>40261</x:v>
      </x:c>
      <x:c r="F399" s="9">
        <x:v>45039991800</x:v>
      </x:c>
      <x:c r="G399" s="9">
        <x:v>54331566372.37001</x:v>
      </x:c>
      <x:c r="H399" s="10" t="n">
        <x:f>G399-F399</x:f>
        <x:v>9291574572.37001</x:v>
      </x:c>
    </x:row>
    <x:row r="400">
      <x:c r="A400" s="7" t="str">
        <x:v>3214035</x:v>
      </x:c>
      <x:c r="B400" s="7" t="str">
        <x:v>RS Umum Amira</x:v>
      </x:c>
      <x:c r="C400" s="7" t="str">
        <x:v>C</x:v>
      </x:c>
      <x:c r="D400" s="7" t="str">
        <x:v>PURWAKARTA</x:v>
      </x:c>
      <x:c r="E400" s="8">
        <x:v>77241</x:v>
      </x:c>
      <x:c r="F400" s="9">
        <x:v>43435465400</x:v>
      </x:c>
      <x:c r="G400" s="9">
        <x:v>52612679893.88002</x:v>
      </x:c>
      <x:c r="H400" s="10" t="n">
        <x:f>G400-F400</x:f>
        <x:v>9177214493.88002</x:v>
      </x:c>
    </x:row>
    <x:row r="401">
      <x:c r="A401" s="7" t="str">
        <x:v>3214036</x:v>
      </x:c>
      <x:c r="B401" s="7" t="str">
        <x:v>RS Suliawati</x:v>
      </x:c>
      <x:c r="C401" s="7" t="str">
        <x:v>D</x:v>
      </x:c>
      <x:c r="D401" s="7" t="str">
        <x:v>PURWAKARTA</x:v>
      </x:c>
      <x:c r="E401" s="8">
        <x:v>7337</x:v>
      </x:c>
      <x:c r="F401" s="9">
        <x:v>10754434900</x:v>
      </x:c>
      <x:c r="G401" s="9">
        <x:v>12734652806.479996</x:v>
      </x:c>
      <x:c r="H401" s="10" t="n">
        <x:f>G401-F401</x:f>
        <x:v>1980217906.4799957</x:v>
      </x:c>
    </x:row>
    <x:row r="402">
      <x:c r="A402" s="7" t="str">
        <x:v>3214037</x:v>
      </x:c>
      <x:c r="B402" s="7" t="str">
        <x:v>RS Umum Holistic Purwakarta</x:v>
      </x:c>
      <x:c r="C402" s="7" t="str">
        <x:v>C</x:v>
      </x:c>
      <x:c r="D402" s="7" t="str">
        <x:v>PURWAKARTA</x:v>
      </x:c>
      <x:c r="E402" s="8">
        <x:v>17193</x:v>
      </x:c>
      <x:c r="F402" s="9">
        <x:v>34868969000</x:v>
      </x:c>
      <x:c r="G402" s="9">
        <x:v>40887550162.85</x:v>
      </x:c>
      <x:c r="H402" s="10" t="n">
        <x:f>G402-F402</x:f>
        <x:v>6018581162.849998</x:v>
      </x:c>
    </x:row>
    <x:row r="403">
      <x:c r="A403" s="7" t="str">
        <x:v>3214038</x:v>
      </x:c>
      <x:c r="B403" s="7" t="str">
        <x:v>RS Umum Bhakti Husada II Purwakarta</x:v>
      </x:c>
      <x:c r="C403" s="7" t="str">
        <x:v>C</x:v>
      </x:c>
      <x:c r="D403" s="7" t="str">
        <x:v>PURWAKARTA</x:v>
      </x:c>
      <x:c r="E403" s="8">
        <x:v>25165</x:v>
      </x:c>
      <x:c r="F403" s="9">
        <x:v>23513501250</x:v>
      </x:c>
      <x:c r="G403" s="9">
        <x:v>28196316430.620007</x:v>
      </x:c>
      <x:c r="H403" s="10" t="n">
        <x:f>G403-F403</x:f>
        <x:v>4682815180.620007</x:v>
      </x:c>
    </x:row>
    <x:row r="404">
      <x:c r="A404" s="7" t="str">
        <x:v>3214040</x:v>
      </x:c>
      <x:c r="B404" s="7" t="str">
        <x:v>RS Umum Karina Medika</x:v>
      </x:c>
      <x:c r="C404" s="7" t="str">
        <x:v>D</x:v>
      </x:c>
      <x:c r="D404" s="7" t="str">
        <x:v>PURWAKARTA</x:v>
      </x:c>
      <x:c r="E404" s="8">
        <x:v>7871</x:v>
      </x:c>
      <x:c r="F404" s="9">
        <x:v>10674086700</x:v>
      </x:c>
      <x:c r="G404" s="9">
        <x:v>12837899394.4</x:v>
      </x:c>
      <x:c r="H404" s="10" t="n">
        <x:f>G404-F404</x:f>
        <x:v>2163812694.3999996</x:v>
      </x:c>
    </x:row>
    <x:row r="405">
      <x:c r="A405" s="7" t="str">
        <x:v>3214041</x:v>
      </x:c>
      <x:c r="B405" s="7" t="str">
        <x:v>RS Ibu dan Anak Bunda Fathia</x:v>
      </x:c>
      <x:c r="C405" s="7" t="str">
        <x:v>C</x:v>
      </x:c>
      <x:c r="D405" s="7" t="str">
        <x:v>PURWAKARTA</x:v>
      </x:c>
      <x:c r="E405" s="8">
        <x:v>5119</x:v>
      </x:c>
      <x:c r="F405" s="9">
        <x:v>9450308600</x:v>
      </x:c>
      <x:c r="G405" s="9">
        <x:v>11315470904.06001</x:v>
      </x:c>
      <x:c r="H405" s="10" t="n">
        <x:f>G405-F405</x:f>
        <x:v>1865162304.060011</x:v>
      </x:c>
    </x:row>
    <x:row r="406">
      <x:c r="A406" s="7" t="str">
        <x:v>3215012</x:v>
      </x:c>
      <x:c r="B406" s="7" t="str">
        <x:v>RS Umum Daerah Karawang</x:v>
      </x:c>
      <x:c r="C406" s="7" t="str">
        <x:v>B</x:v>
      </x:c>
      <x:c r="D406" s="7" t="str">
        <x:v>KARAWANG</x:v>
      </x:c>
      <x:c r="E406" s="8">
        <x:v>78282</x:v>
      </x:c>
      <x:c r="F406" s="9">
        <x:v>136084279695</x:v>
      </x:c>
      <x:c r="G406" s="9">
        <x:v>153263693172.63998</x:v>
      </x:c>
      <x:c r="H406" s="10" t="n">
        <x:f>G406-F406</x:f>
        <x:v>17179413477.639984</x:v>
      </x:c>
    </x:row>
    <x:row r="407">
      <x:c r="A407" s="7" t="str">
        <x:v>3215023</x:v>
      </x:c>
      <x:c r="B407" s="7" t="str">
        <x:v>RS Umum Bayukarta</x:v>
      </x:c>
      <x:c r="C407" s="7" t="str">
        <x:v>C</x:v>
      </x:c>
      <x:c r="D407" s="7" t="str">
        <x:v>KARAWANG</x:v>
      </x:c>
      <x:c r="E407" s="8">
        <x:v>73963</x:v>
      </x:c>
      <x:c r="F407" s="9">
        <x:v>54912191200</x:v>
      </x:c>
      <x:c r="G407" s="9">
        <x:v>62848169312.25998</x:v>
      </x:c>
      <x:c r="H407" s="10" t="n">
        <x:f>G407-F407</x:f>
        <x:v>7935978112.259979</x:v>
      </x:c>
    </x:row>
    <x:row r="408">
      <x:c r="A408" s="7" t="str">
        <x:v>3215037</x:v>
      </x:c>
      <x:c r="B408" s="7" t="str">
        <x:v>RS 3215037</x:v>
      </x:c>
      <x:c r="C408" s="7" t="str">
        <x:v>D</x:v>
      </x:c>
      <x:c r="D408" s="7" t="str">
        <x:v>KARAWANG</x:v>
      </x:c>
      <x:c r="E408" s="8">
        <x:v>11434</x:v>
      </x:c>
      <x:c r="F408" s="9">
        <x:v>8512122600</x:v>
      </x:c>
      <x:c r="G408" s="9">
        <x:v>10180766518.49</x:v>
      </x:c>
      <x:c r="H408" s="10" t="n">
        <x:f>G408-F408</x:f>
        <x:v>1668643918.4899998</x:v>
      </x:c>
    </x:row>
    <x:row r="409">
      <x:c r="A409" s="7" t="str">
        <x:v>3215045</x:v>
      </x:c>
      <x:c r="B409" s="7" t="str">
        <x:v>RS Umum Dewi Sri</x:v>
      </x:c>
      <x:c r="C409" s="7" t="str">
        <x:v>C</x:v>
      </x:c>
      <x:c r="D409" s="7" t="str">
        <x:v>KARAWANG</x:v>
      </x:c>
      <x:c r="E409" s="8">
        <x:v>79229</x:v>
      </x:c>
      <x:c r="F409" s="9">
        <x:v>59695578350</x:v>
      </x:c>
      <x:c r="G409" s="9">
        <x:v>69304893939.25002</x:v>
      </x:c>
      <x:c r="H409" s="10" t="n">
        <x:f>G409-F409</x:f>
        <x:v>9609315589.250015</x:v>
      </x:c>
    </x:row>
    <x:row r="410">
      <x:c r="A410" s="7" t="str">
        <x:v>3215056</x:v>
      </x:c>
      <x:c r="B410" s="7" t="str">
        <x:v>RS Umum Karya Husada</x:v>
      </x:c>
      <x:c r="C410" s="7" t="str">
        <x:v>C</x:v>
      </x:c>
      <x:c r="D410" s="7" t="str">
        <x:v>KARAWANG</x:v>
      </x:c>
      <x:c r="E410" s="8">
        <x:v>41047</x:v>
      </x:c>
      <x:c r="F410" s="9">
        <x:v>36200622350</x:v>
      </x:c>
      <x:c r="G410" s="9">
        <x:v>41760359478.47999</x:v>
      </x:c>
      <x:c r="H410" s="10" t="n">
        <x:f>G410-F410</x:f>
        <x:v>5559737128.479988</x:v>
      </x:c>
    </x:row>
    <x:row r="411">
      <x:c r="A411" s="7" t="str">
        <x:v>3215067</x:v>
      </x:c>
      <x:c r="B411" s="7" t="str">
        <x:v>RS Umum Proklamasi</x:v>
      </x:c>
      <x:c r="C411" s="7" t="str">
        <x:v>C</x:v>
      </x:c>
      <x:c r="D411" s="7" t="str">
        <x:v>KARAWANG</x:v>
      </x:c>
      <x:c r="E411" s="8">
        <x:v>24681</x:v>
      </x:c>
      <x:c r="F411" s="9">
        <x:v>25093957500</x:v>
      </x:c>
      <x:c r="G411" s="9">
        <x:v>28861258839.72001</x:v>
      </x:c>
      <x:c r="H411" s="10" t="n">
        <x:f>G411-F411</x:f>
        <x:v>3767301339.720009</x:v>
      </x:c>
    </x:row>
    <x:row r="412">
      <x:c r="A412" s="7" t="str">
        <x:v>3215078</x:v>
      </x:c>
      <x:c r="B412" s="7" t="str">
        <x:v>RS Umum Islam Karawang</x:v>
      </x:c>
      <x:c r="C412" s="7" t="str">
        <x:v>C</x:v>
      </x:c>
      <x:c r="D412" s="7" t="str">
        <x:v>KARAWANG</x:v>
      </x:c>
      <x:c r="E412" s="8">
        <x:v>22768</x:v>
      </x:c>
      <x:c r="F412" s="9">
        <x:v>21602651200</x:v>
      </x:c>
      <x:c r="G412" s="9">
        <x:v>24471019170.49001</x:v>
      </x:c>
      <x:c r="H412" s="10" t="n">
        <x:f>G412-F412</x:f>
        <x:v>2868367970.4900093</x:v>
      </x:c>
    </x:row>
    <x:row r="413">
      <x:c r="A413" s="7" t="str">
        <x:v>3215089</x:v>
      </x:c>
      <x:c r="B413" s="7" t="str">
        <x:v>RS Umum Saraswati</x:v>
      </x:c>
      <x:c r="C413" s="7" t="str">
        <x:v>D</x:v>
      </x:c>
      <x:c r="D413" s="7" t="str">
        <x:v>KARAWANG</x:v>
      </x:c>
      <x:c r="E413" s="8">
        <x:v>3592</x:v>
      </x:c>
      <x:c r="F413" s="9">
        <x:v>5805244400</x:v>
      </x:c>
      <x:c r="G413" s="9">
        <x:v>7113541595.310001</x:v>
      </x:c>
      <x:c r="H413" s="10" t="n">
        <x:f>G413-F413</x:f>
        <x:v>1308297195.3100014</x:v>
      </x:c>
    </x:row>
    <x:row r="414">
      <x:c r="A414" s="7" t="str">
        <x:v>3215100</x:v>
      </x:c>
      <x:c r="B414" s="7" t="str">
        <x:v>RS Umum Delima Asih Sisma Medika</x:v>
      </x:c>
      <x:c r="C414" s="7" t="str">
        <x:v>D</x:v>
      </x:c>
      <x:c r="D414" s="7" t="str">
        <x:v>KARAWANG</x:v>
      </x:c>
      <x:c r="E414" s="8">
        <x:v>10351</x:v>
      </x:c>
      <x:c r="F414" s="9">
        <x:v>12544384050</x:v>
      </x:c>
      <x:c r="G414" s="9">
        <x:v>15182493360.119995</x:v>
      </x:c>
      <x:c r="H414" s="10" t="n">
        <x:f>G414-F414</x:f>
        <x:v>2638109310.119995</x:v>
      </x:c>
    </x:row>
    <x:row r="415">
      <x:c r="A415" s="7" t="str">
        <x:v>3215112</x:v>
      </x:c>
      <x:c r="B415" s="7" t="str">
        <x:v>RS Ibu dan Anak Dr. Djoko Pramono</x:v>
      </x:c>
      <x:c r="C415" s="7" t="str">
        <x:v>C</x:v>
      </x:c>
      <x:c r="D415" s="7" t="str">
        <x:v>KARAWANG</x:v>
      </x:c>
      <x:c r="E415" s="8">
        <x:v>10226</x:v>
      </x:c>
      <x:c r="F415" s="9">
        <x:v>17818921800</x:v>
      </x:c>
      <x:c r="G415" s="9">
        <x:v>19519906733.84999</x:v>
      </x:c>
      <x:c r="H415" s="10" t="n">
        <x:f>G415-F415</x:f>
        <x:v>1700984933.8499908</x:v>
      </x:c>
    </x:row>
    <x:row r="416">
      <x:c r="A416" s="7" t="str">
        <x:v>3215123</x:v>
      </x:c>
      <x:c r="B416" s="7" t="str">
        <x:v>RS Umum Citra Sari Husada</x:v>
      </x:c>
      <x:c r="C416" s="7" t="str">
        <x:v>C</x:v>
      </x:c>
      <x:c r="D416" s="7" t="str">
        <x:v>KARAWANG</x:v>
      </x:c>
      <x:c r="E416" s="8">
        <x:v>95979</x:v>
      </x:c>
      <x:c r="F416" s="9">
        <x:v>82001067400</x:v>
      </x:c>
      <x:c r="G416" s="9">
        <x:v>96189329925.36</x:v>
      </x:c>
      <x:c r="H416" s="10" t="n">
        <x:f>G416-F416</x:f>
        <x:v>14188262525.36</x:v>
      </x:c>
    </x:row>
    <x:row r="417">
      <x:c r="A417" s="7" t="str">
        <x:v>3215134</x:v>
      </x:c>
      <x:c r="B417" s="7" t="str">
        <x:v>RS Umum Izza</x:v>
      </x:c>
      <x:c r="C417" s="7" t="str">
        <x:v>C</x:v>
      </x:c>
      <x:c r="D417" s="7" t="str">
        <x:v>KARAWANG</x:v>
      </x:c>
      <x:c r="E417" s="8">
        <x:v>90926</x:v>
      </x:c>
      <x:c r="F417" s="9">
        <x:v>81320407800</x:v>
      </x:c>
      <x:c r="G417" s="9">
        <x:v>95766609238.23001</x:v>
      </x:c>
      <x:c r="H417" s="10" t="n">
        <x:f>G417-F417</x:f>
        <x:v>14446201438.230011</x:v>
      </x:c>
    </x:row>
    <x:row r="418">
      <x:c r="A418" s="7" t="str">
        <x:v>3215145</x:v>
      </x:c>
      <x:c r="B418" s="7" t="str">
        <x:v>RS Umum Mandaya</x:v>
      </x:c>
      <x:c r="C418" s="7" t="str">
        <x:v>C</x:v>
      </x:c>
      <x:c r="D418" s="7" t="str">
        <x:v>KARAWANG</x:v>
      </x:c>
      <x:c r="E418" s="8">
        <x:v>14620</x:v>
      </x:c>
      <x:c r="F418" s="9">
        <x:v>13226624000</x:v>
      </x:c>
      <x:c r="G418" s="9">
        <x:v>14642869121.300003</x:v>
      </x:c>
      <x:c r="H418" s="10" t="n">
        <x:f>G418-F418</x:f>
        <x:v>1416245121.300003</x:v>
      </x:c>
    </x:row>
    <x:row r="419">
      <x:c r="A419" s="7" t="str">
        <x:v>3215146</x:v>
      </x:c>
      <x:c r="B419" s="7" t="str">
        <x:v>RS Umum Daerah Jatisari Kabupaten Karawang</x:v>
      </x:c>
      <x:c r="C419" s="7" t="str">
        <x:v>C</x:v>
      </x:c>
      <x:c r="D419" s="7" t="str">
        <x:v>KARAWANG</x:v>
      </x:c>
      <x:c r="E419" s="8">
        <x:v>27716</x:v>
      </x:c>
      <x:c r="F419" s="9">
        <x:v>28490142425</x:v>
      </x:c>
      <x:c r="G419" s="9">
        <x:v>36035667200.5</x:v>
      </x:c>
      <x:c r="H419" s="10" t="n">
        <x:f>G419-F419</x:f>
        <x:v>7545524775.5</x:v>
      </x:c>
    </x:row>
    <x:row r="420">
      <x:c r="A420" s="7" t="str">
        <x:v>3215156</x:v>
      </x:c>
      <x:c r="B420" s="7" t="str">
        <x:v>RS Umum Lira Medika</x:v>
      </x:c>
      <x:c r="C420" s="7" t="str">
        <x:v>B</x:v>
      </x:c>
      <x:c r="D420" s="7" t="str">
        <x:v>KARAWANG</x:v>
      </x:c>
      <x:c r="E420" s="8">
        <x:v>48847</x:v>
      </x:c>
      <x:c r="F420" s="9">
        <x:v>71118347600</x:v>
      </x:c>
      <x:c r="G420" s="9">
        <x:v>69713411958.45004</x:v>
      </x:c>
      <x:c r="H420" s="10" t="n">
        <x:f>G420-F420</x:f>
        <x:v>-1404935641.5499573</x:v>
      </x:c>
    </x:row>
    <x:row r="421">
      <x:c r="A421" s="7" t="str">
        <x:v>3215158</x:v>
      </x:c>
      <x:c r="B421" s="7" t="str">
        <x:v>RS Umum Fikri Medika</x:v>
      </x:c>
      <x:c r="C421" s="7" t="str">
        <x:v>C</x:v>
      </x:c>
      <x:c r="D421" s="7" t="str">
        <x:v>KARAWANG</x:v>
      </x:c>
      <x:c r="E421" s="8">
        <x:v>64537</x:v>
      </x:c>
      <x:c r="F421" s="9">
        <x:v>60491134750</x:v>
      </x:c>
      <x:c r="G421" s="9">
        <x:v>73199709553.66005</x:v>
      </x:c>
      <x:c r="H421" s="10" t="n">
        <x:f>G421-F421</x:f>
        <x:v>12708574803.66005</x:v>
      </x:c>
    </x:row>
    <x:row r="422">
      <x:c r="A422" s="7" t="str">
        <x:v>3215160</x:v>
      </x:c>
      <x:c r="B422" s="7" t="str">
        <x:v>RS Umum Puri Asih</x:v>
      </x:c>
      <x:c r="C422" s="7" t="str">
        <x:v>C</x:v>
      </x:c>
      <x:c r="D422" s="7" t="str">
        <x:v>KARAWANG</x:v>
      </x:c>
      <x:c r="E422" s="8">
        <x:v>26458</x:v>
      </x:c>
      <x:c r="F422" s="9">
        <x:v>26557624700</x:v>
      </x:c>
      <x:c r="G422" s="9">
        <x:v>30523326882.539993</x:v>
      </x:c>
      <x:c r="H422" s="10" t="n">
        <x:f>G422-F422</x:f>
        <x:v>3965702182.5399933</x:v>
      </x:c>
    </x:row>
    <x:row r="423">
      <x:c r="A423" s="7" t="str">
        <x:v>3215161</x:v>
      </x:c>
      <x:c r="B423" s="7" t="str">
        <x:v>RS Umum Mitra Family</x:v>
      </x:c>
      <x:c r="C423" s="7" t="str">
        <x:v>C</x:v>
      </x:c>
      <x:c r="D423" s="7" t="str">
        <x:v>KARAWANG</x:v>
      </x:c>
      <x:c r="E423" s="8">
        <x:v>1076</x:v>
      </x:c>
      <x:c r="F423" s="9">
        <x:v>2441029400</x:v>
      </x:c>
      <x:c r="G423" s="9">
        <x:v>2974820032.7599998</x:v>
      </x:c>
      <x:c r="H423" s="10" t="n">
        <x:f>G423-F423</x:f>
        <x:v>533790632.75999975</x:v>
      </x:c>
    </x:row>
    <x:row r="424">
      <x:c r="A424" s="7" t="str">
        <x:v>3215162</x:v>
      </x:c>
      <x:c r="B424" s="7" t="str">
        <x:v>RS Umum Helsa</x:v>
      </x:c>
      <x:c r="C424" s="7" t="str">
        <x:v>C</x:v>
      </x:c>
      <x:c r="D424" s="7" t="str">
        <x:v>KARAWANG</x:v>
      </x:c>
      <x:c r="E424" s="8">
        <x:v>17696</x:v>
      </x:c>
      <x:c r="F424" s="9">
        <x:v>20855041700</x:v>
      </x:c>
      <x:c r="G424" s="9">
        <x:v>22180158139.009995</x:v>
      </x:c>
      <x:c r="H424" s="10" t="n">
        <x:f>G424-F424</x:f>
        <x:v>1325116439.0099945</x:v>
      </x:c>
    </x:row>
    <x:row r="425">
      <x:c r="A425" s="7" t="str">
        <x:v>3215164</x:v>
      </x:c>
      <x:c r="B425" s="7" t="str">
        <x:v>RS Umum Rosela</x:v>
      </x:c>
      <x:c r="C425" s="7" t="str">
        <x:v>C</x:v>
      </x:c>
      <x:c r="D425" s="7" t="str">
        <x:v>KARAWANG</x:v>
      </x:c>
      <x:c r="E425" s="8">
        <x:v>13309</x:v>
      </x:c>
      <x:c r="F425" s="9">
        <x:v>20140638250</x:v>
      </x:c>
      <x:c r="G425" s="9">
        <x:v>22684834046.890003</x:v>
      </x:c>
      <x:c r="H425" s="10" t="n">
        <x:f>G425-F425</x:f>
        <x:v>2544195796.890003</x:v>
      </x:c>
    </x:row>
    <x:row r="426">
      <x:c r="A426" s="7" t="str">
        <x:v>3215165</x:v>
      </x:c>
      <x:c r="B426" s="7" t="str">
        <x:v>RS Umum Sentral Medika</x:v>
      </x:c>
      <x:c r="C426" s="7" t="str">
        <x:v>D</x:v>
      </x:c>
      <x:c r="D426" s="7" t="str">
        <x:v>KARAWANG</x:v>
      </x:c>
      <x:c r="E426" s="8">
        <x:v>8581</x:v>
      </x:c>
      <x:c r="F426" s="9">
        <x:v>16582001900</x:v>
      </x:c>
      <x:c r="G426" s="9">
        <x:v>20361135960.40999</x:v>
      </x:c>
      <x:c r="H426" s="10" t="n">
        <x:f>G426-F426</x:f>
        <x:v>3779134060.4099884</x:v>
      </x:c>
    </x:row>
    <x:row r="427">
      <x:c r="A427" s="7" t="str">
        <x:v>3215167</x:v>
      </x:c>
      <x:c r="B427" s="7" t="str">
        <x:v>RS Umum Amanda Mitra Keluarga</x:v>
      </x:c>
      <x:c r="C427" s="7" t="str">
        <x:v>C</x:v>
      </x:c>
      <x:c r="D427" s="7" t="str">
        <x:v>KARAWANG</x:v>
      </x:c>
      <x:c r="E427" s="8">
        <x:v>39174</x:v>
      </x:c>
      <x:c r="F427" s="9">
        <x:v>51753017000</x:v>
      </x:c>
      <x:c r="G427" s="9">
        <x:v>66712935740.219986</x:v>
      </x:c>
      <x:c r="H427" s="10" t="n">
        <x:f>G427-F427</x:f>
        <x:v>14959918740.219986</x:v>
      </x:c>
    </x:row>
    <x:row r="428">
      <x:c r="A428" s="7" t="str">
        <x:v>3215169</x:v>
      </x:c>
      <x:c r="B428" s="7" t="str">
        <x:v>RS Hermina Karawang</x:v>
      </x:c>
      <x:c r="C428" s="7" t="str">
        <x:v>C</x:v>
      </x:c>
      <x:c r="D428" s="7" t="str">
        <x:v>KARAWANG</x:v>
      </x:c>
      <x:c r="E428" s="8">
        <x:v>34059</x:v>
      </x:c>
      <x:c r="F428" s="9">
        <x:v>31966590200</x:v>
      </x:c>
      <x:c r="G428" s="9">
        <x:v>39031749978.93997</x:v>
      </x:c>
      <x:c r="H428" s="10" t="n">
        <x:f>G428-F428</x:f>
        <x:v>7065159778.939972</x:v>
      </x:c>
    </x:row>
    <x:row r="429">
      <x:c r="A429" s="7" t="str">
        <x:v>3215170</x:v>
      </x:c>
      <x:c r="B429" s="7" t="str">
        <x:v>RS Primaya Karawang</x:v>
      </x:c>
      <x:c r="C429" s="7" t="str">
        <x:v>C</x:v>
      </x:c>
      <x:c r="D429" s="7" t="str">
        <x:v>KARAWANG</x:v>
      </x:c>
      <x:c r="E429" s="8">
        <x:v>50015</x:v>
      </x:c>
      <x:c r="F429" s="9">
        <x:v>43588279400</x:v>
      </x:c>
      <x:c r="G429" s="9">
        <x:v>50514440298.53998</x:v>
      </x:c>
      <x:c r="H429" s="10" t="n">
        <x:f>G429-F429</x:f>
        <x:v>6926160898.539978</x:v>
      </x:c>
    </x:row>
    <x:row r="430">
      <x:c r="A430" s="7" t="str">
        <x:v>3215171</x:v>
      </x:c>
      <x:c r="B430" s="7" t="str">
        <x:v>RS Permata Keluarga Karawang</x:v>
      </x:c>
      <x:c r="C430" s="7" t="str">
        <x:v>C</x:v>
      </x:c>
      <x:c r="D430" s="7" t="str">
        <x:v>KARAWANG</x:v>
      </x:c>
      <x:c r="E430" s="8">
        <x:v>30900</x:v>
      </x:c>
      <x:c r="F430" s="9">
        <x:v>29673921200</x:v>
      </x:c>
      <x:c r="G430" s="9">
        <x:v>32485636134.739986</x:v>
      </x:c>
      <x:c r="H430" s="10" t="n">
        <x:f>G430-F430</x:f>
        <x:v>2811714934.7399864</x:v>
      </x:c>
    </x:row>
    <x:row r="431">
      <x:c r="A431" s="7" t="str">
        <x:v>3215182</x:v>
      </x:c>
      <x:c r="B431" s="7" t="str">
        <x:v>RS Hastien</x:v>
      </x:c>
      <x:c r="C431" s="7" t="str">
        <x:v>C</x:v>
      </x:c>
      <x:c r="D431" s="7" t="str">
        <x:v>KARAWANG</x:v>
      </x:c>
      <x:c r="E431" s="8">
        <x:v>59271</x:v>
      </x:c>
      <x:c r="F431" s="9">
        <x:v>59683893000</x:v>
      </x:c>
      <x:c r="G431" s="9">
        <x:v>72965198176.72997</x:v>
      </x:c>
      <x:c r="H431" s="10" t="n">
        <x:f>G431-F431</x:f>
        <x:v>13281305176.729965</x:v>
      </x:c>
    </x:row>
    <x:row r="432">
      <x:c r="A432" s="7" t="str">
        <x:v>3215184</x:v>
      </x:c>
      <x:c r="B432" s="7" t="str">
        <x:v>RS EFARINA ETAHAM KARAWANG</x:v>
      </x:c>
      <x:c r="C432" s="7" t="str">
        <x:v>C</x:v>
      </x:c>
      <x:c r="D432" s="7" t="str">
        <x:v>KARAWANG</x:v>
      </x:c>
      <x:c r="E432" s="8">
        <x:v>14856</x:v>
      </x:c>
      <x:c r="F432" s="9">
        <x:v>23214416200</x:v>
      </x:c>
      <x:c r="G432" s="9">
        <x:v>28036749172.08</x:v>
      </x:c>
      <x:c r="H432" s="10" t="n">
        <x:f>G432-F432</x:f>
        <x:v>4822332972.080002</x:v>
      </x:c>
    </x:row>
    <x:row r="433">
      <x:c r="A433" s="7" t="str">
        <x:v>3216072</x:v>
      </x:c>
      <x:c r="B433" s="7" t="str">
        <x:v>RS Umum Bhakti Husada</x:v>
      </x:c>
      <x:c r="C433" s="7" t="str">
        <x:v>C</x:v>
      </x:c>
      <x:c r="D433" s="7" t="str">
        <x:v>BEKASI</x:v>
      </x:c>
      <x:c r="E433" s="8">
        <x:v>32619</x:v>
      </x:c>
      <x:c r="F433" s="9">
        <x:v>30520717250</x:v>
      </x:c>
      <x:c r="G433" s="9">
        <x:v>34759549039.90999</x:v>
      </x:c>
      <x:c r="H433" s="10" t="n">
        <x:f>G433-F433</x:f>
        <x:v>4238831789.9099884</x:v>
      </x:c>
    </x:row>
    <x:row r="434">
      <x:c r="A434" s="7" t="str">
        <x:v>3216104</x:v>
      </x:c>
      <x:c r="B434" s="7" t="str">
        <x:v>RS Umum Karya Medika</x:v>
      </x:c>
      <x:c r="C434" s="7" t="str">
        <x:v>C</x:v>
      </x:c>
      <x:c r="D434" s="7" t="str">
        <x:v>BEKASI</x:v>
      </x:c>
      <x:c r="E434" s="8">
        <x:v>58760</x:v>
      </x:c>
      <x:c r="F434" s="9">
        <x:v>38583477500</x:v>
      </x:c>
      <x:c r="G434" s="9">
        <x:v>44461822905.179985</x:v>
      </x:c>
      <x:c r="H434" s="10" t="n">
        <x:f>G434-F434</x:f>
        <x:v>5878345405.179985</x:v>
      </x:c>
    </x:row>
    <x:row r="435">
      <x:c r="A435" s="7" t="str">
        <x:v>3216126</x:v>
      </x:c>
      <x:c r="B435" s="7" t="str">
        <x:v>RS Umum Annisa</x:v>
      </x:c>
      <x:c r="C435" s="7" t="str">
        <x:v>C</x:v>
      </x:c>
      <x:c r="D435" s="7" t="str">
        <x:v>BEKASI</x:v>
      </x:c>
      <x:c r="E435" s="8">
        <x:v>103011</x:v>
      </x:c>
      <x:c r="F435" s="9">
        <x:v>72407531850</x:v>
      </x:c>
      <x:c r="G435" s="9">
        <x:v>82761423329.80002</x:v>
      </x:c>
      <x:c r="H435" s="10" t="n">
        <x:f>G435-F435</x:f>
        <x:v>10353891479.800018</x:v>
      </x:c>
    </x:row>
    <x:row r="436">
      <x:c r="A436" s="7" t="str">
        <x:v>3216152</x:v>
      </x:c>
      <x:c r="B436" s="7" t="str">
        <x:v>Siloam Hospitals Lippo Cikarang</x:v>
      </x:c>
      <x:c r="C436" s="7" t="str">
        <x:v>B</x:v>
      </x:c>
      <x:c r="D436" s="7" t="str">
        <x:v>BEKASI</x:v>
      </x:c>
      <x:c r="E436" s="8">
        <x:v>20570</x:v>
      </x:c>
      <x:c r="F436" s="9">
        <x:v>20650941620</x:v>
      </x:c>
      <x:c r="G436" s="9">
        <x:v>21269335997.350002</x:v>
      </x:c>
      <x:c r="H436" s="10" t="n">
        <x:f>G436-F436</x:f>
        <x:v>618394377.3500023</x:v>
      </x:c>
    </x:row>
    <x:row r="437">
      <x:c r="A437" s="7" t="str">
        <x:v>3216163</x:v>
      </x:c>
      <x:c r="B437" s="7" t="str">
        <x:v>Sentra Medika Hospital Cikarang</x:v>
      </x:c>
      <x:c r="C437" s="7" t="str">
        <x:v>B</x:v>
      </x:c>
      <x:c r="D437" s="7" t="str">
        <x:v>BEKASI</x:v>
      </x:c>
      <x:c r="E437" s="8">
        <x:v>95061</x:v>
      </x:c>
      <x:c r="F437" s="9">
        <x:v>107833010380</x:v>
      </x:c>
      <x:c r="G437" s="9">
        <x:v>113540116165.90997</x:v>
      </x:c>
      <x:c r="H437" s="10" t="n">
        <x:f>G437-F437</x:f>
        <x:v>5707105785.909973</x:v>
      </x:c>
    </x:row>
    <x:row r="438">
      <x:c r="A438" s="7" t="str">
        <x:v>3216174</x:v>
      </x:c>
      <x:c r="B438" s="7" t="str">
        <x:v>RS Umum Rawa Lumbu</x:v>
      </x:c>
      <x:c r="C438" s="7" t="str">
        <x:v>C</x:v>
      </x:c>
      <x:c r="D438" s="7" t="str">
        <x:v>BEKASI</x:v>
      </x:c>
      <x:c r="E438" s="8">
        <x:v>12865</x:v>
      </x:c>
      <x:c r="F438" s="9">
        <x:v>9531793400</x:v>
      </x:c>
      <x:c r="G438" s="9">
        <x:v>10601913400.699999</x:v>
      </x:c>
      <x:c r="H438" s="10" t="n">
        <x:f>G438-F438</x:f>
        <x:v>1070120000.6999989</x:v>
      </x:c>
    </x:row>
    <x:row r="439">
      <x:c r="A439" s="7" t="str">
        <x:v>3216185</x:v>
      </x:c>
      <x:c r="B439" s="7" t="str">
        <x:v>RS Umum Hosana Medica</x:v>
      </x:c>
      <x:c r="C439" s="7" t="str">
        <x:v>C</x:v>
      </x:c>
      <x:c r="D439" s="7" t="str">
        <x:v>BEKASI</x:v>
      </x:c>
      <x:c r="E439" s="8">
        <x:v>59234</x:v>
      </x:c>
      <x:c r="F439" s="9">
        <x:v>41750259100</x:v>
      </x:c>
      <x:c r="G439" s="9">
        <x:v>48095297479.47999</x:v>
      </x:c>
      <x:c r="H439" s="10" t="n">
        <x:f>G439-F439</x:f>
        <x:v>6345038379.479988</x:v>
      </x:c>
    </x:row>
    <x:row r="440">
      <x:c r="A440" s="7" t="str">
        <x:v>3216218</x:v>
      </x:c>
      <x:c r="B440" s="7" t="str">
        <x:v>RS Umum Ananda</x:v>
      </x:c>
      <x:c r="C440" s="7" t="str">
        <x:v>B</x:v>
      </x:c>
      <x:c r="D440" s="7" t="str">
        <x:v>BEKASI</x:v>
      </x:c>
      <x:c r="E440" s="8">
        <x:v>86116</x:v>
      </x:c>
      <x:c r="F440" s="9">
        <x:v>139362497060</x:v>
      </x:c>
      <x:c r="G440" s="9">
        <x:v>144572953128.44003</x:v>
      </x:c>
      <x:c r="H440" s="10" t="n">
        <x:f>G440-F440</x:f>
        <x:v>5210456068.440033</x:v>
      </x:c>
    </x:row>
    <x:row r="441">
      <x:c r="A441" s="7" t="str">
        <x:v>3216252</x:v>
      </x:c>
      <x:c r="B441" s="7" t="str">
        <x:v>RS Umum Daerah Kab.Bekasi</x:v>
      </x:c>
      <x:c r="C441" s="7" t="str">
        <x:v>B</x:v>
      </x:c>
      <x:c r="D441" s="7" t="str">
        <x:v>BEKASI</x:v>
      </x:c>
      <x:c r="E441" s="8">
        <x:v>49487</x:v>
      </x:c>
      <x:c r="F441" s="9">
        <x:v>58965239960</x:v>
      </x:c>
      <x:c r="G441" s="9">
        <x:v>67452914583.65001</x:v>
      </x:c>
      <x:c r="H441" s="10" t="n">
        <x:f>G441-F441</x:f>
        <x:v>8487674623.650009</x:v>
      </x:c>
    </x:row>
    <x:row r="442">
      <x:c r="A442" s="7" t="str">
        <x:v>3216285</x:v>
      </x:c>
      <x:c r="B442" s="7" t="str">
        <x:v>RS Umum St. Elisabeth</x:v>
      </x:c>
      <x:c r="C442" s="7" t="str">
        <x:v>C</x:v>
      </x:c>
      <x:c r="D442" s="7" t="str">
        <x:v>BEKASI</x:v>
      </x:c>
      <x:c r="E442" s="8">
        <x:v>38678</x:v>
      </x:c>
      <x:c r="F442" s="9">
        <x:v>21968703500</x:v>
      </x:c>
      <x:c r="G442" s="9">
        <x:v>25879817259.78</x:v>
      </x:c>
      <x:c r="H442" s="10" t="n">
        <x:f>G442-F442</x:f>
        <x:v>3911113759.779999</x:v>
      </x:c>
    </x:row>
    <x:row r="443">
      <x:c r="A443" s="7" t="str">
        <x:v>3216318</x:v>
      </x:c>
      <x:c r="B443" s="7" t="str">
        <x:v>RS Umum Hermina Grand Wisata</x:v>
      </x:c>
      <x:c r="C443" s="7" t="str">
        <x:v>B</x:v>
      </x:c>
      <x:c r="D443" s="7" t="str">
        <x:v>BEKASI</x:v>
      </x:c>
      <x:c r="E443" s="8">
        <x:v>126295</x:v>
      </x:c>
      <x:c r="F443" s="9">
        <x:v>143507730540</x:v>
      </x:c>
      <x:c r="G443" s="9">
        <x:v>147342868279.38004</x:v>
      </x:c>
      <x:c r="H443" s="10" t="n">
        <x:f>G443-F443</x:f>
        <x:v>3835137739.3800354</x:v>
      </x:c>
    </x:row>
    <x:row r="444">
      <x:c r="A444" s="7" t="str">
        <x:v>3216340</x:v>
      </x:c>
      <x:c r="B444" s="7" t="str">
        <x:v>RS Umum Medirossa Cikarang</x:v>
      </x:c>
      <x:c r="C444" s="7" t="str">
        <x:v>C</x:v>
      </x:c>
      <x:c r="D444" s="7" t="str">
        <x:v>BEKASI</x:v>
      </x:c>
      <x:c r="E444" s="8">
        <x:v>10540</x:v>
      </x:c>
      <x:c r="F444" s="9">
        <x:v>10600678950</x:v>
      </x:c>
      <x:c r="G444" s="9">
        <x:v>12491838151.750004</x:v>
      </x:c>
      <x:c r="H444" s="10" t="n">
        <x:f>G444-F444</x:f>
        <x:v>1891159201.7500038</x:v>
      </x:c>
    </x:row>
    <x:row r="445">
      <x:c r="A445" s="7" t="str">
        <x:v>3216362</x:v>
      </x:c>
      <x:c r="B445" s="7" t="str">
        <x:v>RS Umum Karya Medika II</x:v>
      </x:c>
      <x:c r="C445" s="7" t="str">
        <x:v>C</x:v>
      </x:c>
      <x:c r="D445" s="7" t="str">
        <x:v>BEKASI</x:v>
      </x:c>
      <x:c r="E445" s="8">
        <x:v>53853</x:v>
      </x:c>
      <x:c r="F445" s="9">
        <x:v>27178226700</x:v>
      </x:c>
      <x:c r="G445" s="9">
        <x:v>37040595904.47001</x:v>
      </x:c>
      <x:c r="H445" s="10" t="n">
        <x:f>G445-F445</x:f>
        <x:v>9862369204.470009</x:v>
      </x:c>
    </x:row>
    <x:row r="446">
      <x:c r="A446" s="7" t="str">
        <x:v>3216374</x:v>
      </x:c>
      <x:c r="B446" s="7" t="str">
        <x:v>RS Ananda Tambun Selatan</x:v>
      </x:c>
      <x:c r="C446" s="7" t="str">
        <x:v>C</x:v>
      </x:c>
      <x:c r="D446" s="7" t="str">
        <x:v>BEKASI</x:v>
      </x:c>
      <x:c r="E446" s="8">
        <x:v>10325</x:v>
      </x:c>
      <x:c r="F446" s="9">
        <x:v>11173057100</x:v>
      </x:c>
      <x:c r="G446" s="9">
        <x:v>14011396351.290003</x:v>
      </x:c>
      <x:c r="H446" s="10" t="n">
        <x:f>G446-F446</x:f>
        <x:v>2838339251.290003</x:v>
      </x:c>
    </x:row>
    <x:row r="447">
      <x:c r="A447" s="7" t="str">
        <x:v>3216385</x:v>
      </x:c>
      <x:c r="B447" s="7" t="str">
        <x:v>RS dr. Abdul Radjak Jababeka</x:v>
      </x:c>
      <x:c r="C447" s="7" t="str">
        <x:v>C</x:v>
      </x:c>
      <x:c r="D447" s="7" t="str">
        <x:v>BEKASI</x:v>
      </x:c>
      <x:c r="E447" s="8">
        <x:v>16340</x:v>
      </x:c>
      <x:c r="F447" s="9">
        <x:v>16737972100</x:v>
      </x:c>
      <x:c r="G447" s="9">
        <x:v>19641927029.27999</x:v>
      </x:c>
      <x:c r="H447" s="10" t="n">
        <x:f>G447-F447</x:f>
        <x:v>2903954929.279991</x:v>
      </x:c>
    </x:row>
    <x:row r="448">
      <x:c r="A448" s="7" t="str">
        <x:v>3216386</x:v>
      </x:c>
      <x:c r="B448" s="7" t="str">
        <x:v>RS Amanda Cikarang Selatan</x:v>
      </x:c>
      <x:c r="C448" s="7" t="str">
        <x:v>C</x:v>
      </x:c>
      <x:c r="D448" s="7" t="str">
        <x:v>BEKASI</x:v>
      </x:c>
      <x:c r="E448" s="8">
        <x:v>48237</x:v>
      </x:c>
      <x:c r="F448" s="9">
        <x:v>40434824700</x:v>
      </x:c>
      <x:c r="G448" s="9">
        <x:v>45701142264.77</x:v>
      </x:c>
      <x:c r="H448" s="10" t="n">
        <x:f>G448-F448</x:f>
        <x:v>5266317564.769997</x:v>
      </x:c>
    </x:row>
    <x:row r="449">
      <x:c r="A449" s="7" t="str">
        <x:v>3216387</x:v>
      </x:c>
      <x:c r="B449" s="7" t="str">
        <x:v>RS Umum Dokter Adam Talib</x:v>
      </x:c>
      <x:c r="C449" s="7" t="str">
        <x:v>C</x:v>
      </x:c>
      <x:c r="D449" s="7" t="str">
        <x:v>BEKASI</x:v>
      </x:c>
      <x:c r="E449" s="8">
        <x:v>1288</x:v>
      </x:c>
      <x:c r="F449" s="9">
        <x:v>3740476000</x:v>
      </x:c>
      <x:c r="G449" s="9">
        <x:v>4156215089.6799994</x:v>
      </x:c>
      <x:c r="H449" s="10" t="n">
        <x:f>G449-F449</x:f>
        <x:v>415739089.67999935</x:v>
      </x:c>
    </x:row>
    <x:row r="450">
      <x:c r="A450" s="7" t="str">
        <x:v>3216388</x:v>
      </x:c>
      <x:c r="B450" s="7" t="str">
        <x:v>RS Mitra Plumbon Cibitung</x:v>
      </x:c>
      <x:c r="C450" s="7" t="str">
        <x:v>C</x:v>
      </x:c>
      <x:c r="D450" s="7" t="str">
        <x:v>BEKASI</x:v>
      </x:c>
      <x:c r="E450" s="8">
        <x:v>135660</x:v>
      </x:c>
      <x:c r="F450" s="9">
        <x:v>93847577450</x:v>
      </x:c>
      <x:c r="G450" s="9">
        <x:v>107516407194.96002</x:v>
      </x:c>
      <x:c r="H450" s="10" t="n">
        <x:f>G450-F450</x:f>
        <x:v>13668829744.960022</x:v>
      </x:c>
    </x:row>
    <x:row r="451">
      <x:c r="A451" s="7" t="str">
        <x:v>3216389</x:v>
      </x:c>
      <x:c r="B451" s="7" t="str">
        <x:v>RS Umum Hermina Galaxy</x:v>
      </x:c>
      <x:c r="C451" s="7" t="str">
        <x:v>C</x:v>
      </x:c>
      <x:c r="D451" s="7" t="str">
        <x:v>BEKASI</x:v>
      </x:c>
      <x:c r="E451" s="8">
        <x:v>79842</x:v>
      </x:c>
      <x:c r="F451" s="9">
        <x:v>43705145900</x:v>
      </x:c>
      <x:c r="G451" s="9">
        <x:v>51212286115.54998</x:v>
      </x:c>
      <x:c r="H451" s="10" t="n">
        <x:f>G451-F451</x:f>
        <x:v>7507140215.54998</x:v>
      </x:c>
    </x:row>
    <x:row r="452">
      <x:c r="A452" s="7" t="str">
        <x:v>3216396</x:v>
      </x:c>
      <x:c r="B452" s="7" t="str">
        <x:v>RS Emhaka</x:v>
      </x:c>
      <x:c r="C452" s="7" t="str">
        <x:v>C</x:v>
      </x:c>
      <x:c r="D452" s="7" t="str">
        <x:v>BEKASI</x:v>
      </x:c>
      <x:c r="E452" s="8">
        <x:v>4391</x:v>
      </x:c>
      <x:c r="F452" s="9">
        <x:v>7008315300</x:v>
      </x:c>
      <x:c r="G452" s="9">
        <x:v>8330781847.839999</x:v>
      </x:c>
      <x:c r="H452" s="10" t="n">
        <x:f>G452-F452</x:f>
        <x:v>1322466547.8399992</x:v>
      </x:c>
    </x:row>
    <x:row r="453">
      <x:c r="A453" s="7" t="str">
        <x:v>3216397</x:v>
      </x:c>
      <x:c r="B453" s="7" t="str">
        <x:v>RS Umum Asri Medika</x:v>
      </x:c>
      <x:c r="C453" s="7" t="str">
        <x:v>D</x:v>
      </x:c>
      <x:c r="D453" s="7" t="str">
        <x:v>BEKASI</x:v>
      </x:c>
      <x:c r="E453" s="8">
        <x:v>4982</x:v>
      </x:c>
      <x:c r="F453" s="9">
        <x:v>6930449300</x:v>
      </x:c>
      <x:c r="G453" s="9">
        <x:v>9033480662.340002</x:v>
      </x:c>
      <x:c r="H453" s="10" t="n">
        <x:f>G453-F453</x:f>
        <x:v>2103031362.340002</x:v>
      </x:c>
    </x:row>
    <x:row r="454">
      <x:c r="A454" s="7" t="str">
        <x:v>3216399</x:v>
      </x:c>
      <x:c r="B454" s="7" t="str">
        <x:v>RS DKH Cikarang Barat</x:v>
      </x:c>
      <x:c r="C454" s="7" t="str">
        <x:v>C</x:v>
      </x:c>
      <x:c r="D454" s="7" t="str">
        <x:v>BEKASI</x:v>
      </x:c>
      <x:c r="E454" s="8">
        <x:v>5441</x:v>
      </x:c>
      <x:c r="F454" s="9">
        <x:v>6512644200</x:v>
      </x:c>
      <x:c r="G454" s="9">
        <x:v>8198230148.309999</x:v>
      </x:c>
      <x:c r="H454" s="10" t="n">
        <x:f>G454-F454</x:f>
        <x:v>1685585948.3099995</x:v>
      </x:c>
    </x:row>
    <x:row r="455">
      <x:c r="A455" s="7" t="str">
        <x:v>3216400</x:v>
      </x:c>
      <x:c r="B455" s="7" t="str">
        <x:v>RS Uni Medika Setu Bekasi</x:v>
      </x:c>
      <x:c r="C455" s="7" t="str">
        <x:v>C</x:v>
      </x:c>
      <x:c r="D455" s="7" t="str">
        <x:v>BEKASI</x:v>
      </x:c>
      <x:c r="E455" s="8">
        <x:v>30639</x:v>
      </x:c>
      <x:c r="F455" s="9">
        <x:v>33445370400</x:v>
      </x:c>
      <x:c r="G455" s="9">
        <x:v>40874384910.74</x:v>
      </x:c>
      <x:c r="H455" s="10" t="n">
        <x:f>G455-F455</x:f>
        <x:v>7429014510.739998</x:v>
      </x:c>
    </x:row>
    <x:row r="456">
      <x:c r="A456" s="7" t="str">
        <x:v>3216402</x:v>
      </x:c>
      <x:c r="B456" s="7" t="str">
        <x:v>RS Umum Anna Medika</x:v>
      </x:c>
      <x:c r="C456" s="7" t="str">
        <x:v>C</x:v>
      </x:c>
      <x:c r="D456" s="7" t="str">
        <x:v>BEKASI</x:v>
      </x:c>
      <x:c r="E456" s="8">
        <x:v>44717</x:v>
      </x:c>
      <x:c r="F456" s="9">
        <x:v>32996969900</x:v>
      </x:c>
      <x:c r="G456" s="9">
        <x:v>39571238120.31</x:v>
      </x:c>
      <x:c r="H456" s="10" t="n">
        <x:f>G456-F456</x:f>
        <x:v>6574268220.309998</x:v>
      </x:c>
    </x:row>
    <x:row r="457">
      <x:c r="A457" s="7" t="str">
        <x:v>3216406</x:v>
      </x:c>
      <x:c r="B457" s="7" t="str">
        <x:v>RS Umum Metro Hospitals</x:v>
      </x:c>
      <x:c r="C457" s="7" t="str">
        <x:v>C</x:v>
      </x:c>
      <x:c r="D457" s="7" t="str">
        <x:v>BEKASI</x:v>
      </x:c>
      <x:c r="E457" s="8">
        <x:v>19741</x:v>
      </x:c>
      <x:c r="F457" s="9">
        <x:v>14606695500</x:v>
      </x:c>
      <x:c r="G457" s="9">
        <x:v>15806926581.899996</x:v>
      </x:c>
      <x:c r="H457" s="10" t="n">
        <x:f>G457-F457</x:f>
        <x:v>1200231081.8999958</x:v>
      </x:c>
    </x:row>
    <x:row r="458">
      <x:c r="A458" s="7" t="str">
        <x:v>3216407</x:v>
      </x:c>
      <x:c r="B458" s="7" t="str">
        <x:v>RS Cahaya Medika</x:v>
      </x:c>
      <x:c r="C458" s="7" t="str">
        <x:v>D</x:v>
      </x:c>
      <x:c r="D458" s="7" t="str">
        <x:v>BEKASI</x:v>
      </x:c>
      <x:c r="E458" s="8">
        <x:v>4053</x:v>
      </x:c>
      <x:c r="F458" s="9">
        <x:v>5127733500</x:v>
      </x:c>
      <x:c r="G458" s="9">
        <x:v>6870180978.700001</x:v>
      </x:c>
      <x:c r="H458" s="10" t="n">
        <x:f>G458-F458</x:f>
        <x:v>1742447478.7000008</x:v>
      </x:c>
    </x:row>
    <x:row r="459">
      <x:c r="A459" s="7" t="str">
        <x:v>3216408</x:v>
      </x:c>
      <x:c r="B459" s="7" t="str">
        <x:v>RS Umum Harapan Mulia</x:v>
      </x:c>
      <x:c r="C459" s="7" t="str">
        <x:v>C</x:v>
      </x:c>
      <x:c r="D459" s="7" t="str">
        <x:v>BEKASI</x:v>
      </x:c>
      <x:c r="E459" s="8">
        <x:v>25190</x:v>
      </x:c>
      <x:c r="F459" s="9">
        <x:v>25034608900</x:v>
      </x:c>
      <x:c r="G459" s="9">
        <x:v>29359512204.760002</x:v>
      </x:c>
      <x:c r="H459" s="10" t="n">
        <x:f>G459-F459</x:f>
        <x:v>4324903304.760002</x:v>
      </x:c>
    </x:row>
    <x:row r="460">
      <x:c r="A460" s="7" t="str">
        <x:v>3216409</x:v>
      </x:c>
      <x:c r="B460" s="7" t="str">
        <x:v>RS Umum Cikarang Medika</x:v>
      </x:c>
      <x:c r="C460" s="7" t="str">
        <x:v>C</x:v>
      </x:c>
      <x:c r="D460" s="7" t="str">
        <x:v>BEKASI</x:v>
      </x:c>
      <x:c r="E460" s="8">
        <x:v>8232</x:v>
      </x:c>
      <x:c r="F460" s="9">
        <x:v>15142020500</x:v>
      </x:c>
      <x:c r="G460" s="9">
        <x:v>18609451889.860004</x:v>
      </x:c>
      <x:c r="H460" s="10" t="n">
        <x:f>G460-F460</x:f>
        <x:v>3467431389.8600044</x:v>
      </x:c>
    </x:row>
    <x:row r="461">
      <x:c r="A461" s="7" t="str">
        <x:v>3216413</x:v>
      </x:c>
      <x:c r="B461" s="7" t="str">
        <x:v>RS Umum Kartika Husada Setu</x:v>
      </x:c>
      <x:c r="C461" s="7" t="str">
        <x:v>C</x:v>
      </x:c>
      <x:c r="D461" s="7" t="str">
        <x:v>BEKASI</x:v>
      </x:c>
      <x:c r="E461" s="8">
        <x:v>12910</x:v>
      </x:c>
      <x:c r="F461" s="9">
        <x:v>17486281900</x:v>
      </x:c>
      <x:c r="G461" s="9">
        <x:v>21115432876.399998</x:v>
      </x:c>
      <x:c r="H461" s="10" t="n">
        <x:f>G461-F461</x:f>
        <x:v>3629150976.3999977</x:v>
      </x:c>
    </x:row>
    <x:row r="462">
      <x:c r="A462" s="7" t="str">
        <x:v>3216414</x:v>
      </x:c>
      <x:c r="B462" s="7" t="str">
        <x:v>RS Umum Amanda</x:v>
      </x:c>
      <x:c r="C462" s="7" t="str">
        <x:v>C</x:v>
      </x:c>
      <x:c r="D462" s="7" t="str">
        <x:v>BEKASI</x:v>
      </x:c>
      <x:c r="E462" s="8">
        <x:v>17611</x:v>
      </x:c>
      <x:c r="F462" s="9">
        <x:v>19988262600</x:v>
      </x:c>
      <x:c r="G462" s="9">
        <x:v>22283397755.350006</x:v>
      </x:c>
      <x:c r="H462" s="10" t="n">
        <x:f>G462-F462</x:f>
        <x:v>2295135155.350006</x:v>
      </x:c>
    </x:row>
    <x:row r="463">
      <x:c r="A463" s="7" t="str">
        <x:v>3216415</x:v>
      </x:c>
      <x:c r="B463" s="7" t="str">
        <x:v>RS Umum Ridhoka Salma</x:v>
      </x:c>
      <x:c r="C463" s="7" t="str">
        <x:v>C</x:v>
      </x:c>
      <x:c r="D463" s="7" t="str">
        <x:v>BEKASI</x:v>
      </x:c>
      <x:c r="E463" s="8">
        <x:v>24126</x:v>
      </x:c>
      <x:c r="F463" s="9">
        <x:v>26467844800</x:v>
      </x:c>
      <x:c r="G463" s="9">
        <x:v>29709761409.02999</x:v>
      </x:c>
      <x:c r="H463" s="10" t="n">
        <x:f>G463-F463</x:f>
        <x:v>3241916609.029991</x:v>
      </x:c>
    </x:row>
    <x:row r="464">
      <x:c r="A464" s="7" t="str">
        <x:v>3216416</x:v>
      </x:c>
      <x:c r="B464" s="7" t="str">
        <x:v>RS Umum Permata Keluarga Lippo Cikarang</x:v>
      </x:c>
      <x:c r="C464" s="7" t="str">
        <x:v>C</x:v>
      </x:c>
      <x:c r="D464" s="7" t="str">
        <x:v>BEKASI</x:v>
      </x:c>
      <x:c r="E464" s="8">
        <x:v>19410</x:v>
      </x:c>
      <x:c r="F464" s="9">
        <x:v>13722479600</x:v>
      </x:c>
      <x:c r="G464" s="9">
        <x:v>15026177555.779997</x:v>
      </x:c>
      <x:c r="H464" s="10" t="n">
        <x:f>G464-F464</x:f>
        <x:v>1303697955.7799969</x:v>
      </x:c>
    </x:row>
    <x:row r="465">
      <x:c r="A465" s="7" t="str">
        <x:v>3216417</x:v>
      </x:c>
      <x:c r="B465" s="7" t="str">
        <x:v>RS Umum Tiara</x:v>
      </x:c>
      <x:c r="C465" s="7" t="str">
        <x:v>C</x:v>
      </x:c>
      <x:c r="D465" s="7" t="str">
        <x:v>BEKASI</x:v>
      </x:c>
      <x:c r="E465" s="8">
        <x:v>107920</x:v>
      </x:c>
      <x:c r="F465" s="9">
        <x:v>79984589350</x:v>
      </x:c>
      <x:c r="G465" s="9">
        <x:v>91890444434.33006</x:v>
      </x:c>
      <x:c r="H465" s="10" t="n">
        <x:f>G465-F465</x:f>
        <x:v>11905855084.330063</x:v>
      </x:c>
    </x:row>
    <x:row r="466">
      <x:c r="A466" s="7" t="str">
        <x:v>3216420</x:v>
      </x:c>
      <x:c r="B466" s="7" t="str">
        <x:v>RS Umum Medirossa 2</x:v>
      </x:c>
      <x:c r="C466" s="7" t="str">
        <x:v>C</x:v>
      </x:c>
      <x:c r="D466" s="7" t="str">
        <x:v>BEKASI</x:v>
      </x:c>
      <x:c r="E466" s="8">
        <x:v>29427</x:v>
      </x:c>
      <x:c r="F466" s="9">
        <x:v>22717458500</x:v>
      </x:c>
      <x:c r="G466" s="9">
        <x:v>26446006544.300003</x:v>
      </x:c>
      <x:c r="H466" s="10" t="n">
        <x:f>G466-F466</x:f>
        <x:v>3728548044.300003</x:v>
      </x:c>
    </x:row>
    <x:row r="467">
      <x:c r="A467" s="7" t="str">
        <x:v>3216421</x:v>
      </x:c>
      <x:c r="B467" s="7" t="str">
        <x:v>RS Umum Puspa Husada</x:v>
      </x:c>
      <x:c r="C467" s="7" t="str">
        <x:v>D</x:v>
      </x:c>
      <x:c r="D467" s="7" t="str">
        <x:v>BEKASI</x:v>
      </x:c>
      <x:c r="E467" s="8">
        <x:v>5293</x:v>
      </x:c>
      <x:c r="F467" s="9">
        <x:v>7432582800</x:v>
      </x:c>
      <x:c r="G467" s="9">
        <x:v>10047867836.18</x:v>
      </x:c>
      <x:c r="H467" s="10" t="n">
        <x:f>G467-F467</x:f>
        <x:v>2615285036.1800003</x:v>
      </x:c>
    </x:row>
    <x:row r="468">
      <x:c r="A468" s="7" t="str">
        <x:v>3216423</x:v>
      </x:c>
      <x:c r="B468" s="7" t="str">
        <x:v>RS Umum Kartika Husada</x:v>
      </x:c>
      <x:c r="C468" s="7" t="str">
        <x:v>C</x:v>
      </x:c>
      <x:c r="D468" s="7" t="str">
        <x:v>BEKASI</x:v>
      </x:c>
      <x:c r="E468" s="8">
        <x:v>23825</x:v>
      </x:c>
      <x:c r="F468" s="9">
        <x:v>19310633900</x:v>
      </x:c>
      <x:c r="G468" s="9">
        <x:v>23463183072.94</x:v>
      </x:c>
      <x:c r="H468" s="10" t="n">
        <x:f>G468-F468</x:f>
        <x:v>4152549172.9399986</x:v>
      </x:c>
    </x:row>
    <x:row r="469">
      <x:c r="A469" s="7" t="str">
        <x:v>3216425</x:v>
      </x:c>
      <x:c r="B469" s="7" t="str">
        <x:v>RS Umum Bunda Mulia</x:v>
      </x:c>
      <x:c r="C469" s="7" t="str">
        <x:v>D</x:v>
      </x:c>
      <x:c r="D469" s="7" t="str">
        <x:v>BEKASI</x:v>
      </x:c>
      <x:c r="E469" s="8">
        <x:v>2078</x:v>
      </x:c>
      <x:c r="F469" s="9">
        <x:v>4354837600</x:v>
      </x:c>
      <x:c r="G469" s="9">
        <x:v>4978896398.010002</x:v>
      </x:c>
      <x:c r="H469" s="10" t="n">
        <x:f>G469-F469</x:f>
        <x:v>624058798.0100021</x:v>
      </x:c>
    </x:row>
    <x:row r="470">
      <x:c r="A470" s="7" t="str">
        <x:v>3216426</x:v>
      </x:c>
      <x:c r="B470" s="7" t="str">
        <x:v>RS DKH Sukatani</x:v>
      </x:c>
      <x:c r="C470" s="7" t="str">
        <x:v>C</x:v>
      </x:c>
      <x:c r="D470" s="7" t="str">
        <x:v>BEKASI</x:v>
      </x:c>
      <x:c r="E470" s="8">
        <x:v>9953</x:v>
      </x:c>
      <x:c r="F470" s="9">
        <x:v>13263346800</x:v>
      </x:c>
      <x:c r="G470" s="9">
        <x:v>16316337643.709997</x:v>
      </x:c>
      <x:c r="H470" s="10" t="n">
        <x:f>G470-F470</x:f>
        <x:v>3052990843.709997</x:v>
      </x:c>
    </x:row>
    <x:row r="471">
      <x:c r="A471" s="7" t="str">
        <x:v>3216427</x:v>
      </x:c>
      <x:c r="B471" s="7" t="str">
        <x:v>RS Dokter Adam Talib Cikunir</x:v>
      </x:c>
      <x:c r="C471" s="7" t="str">
        <x:v>C</x:v>
      </x:c>
      <x:c r="D471" s="7" t="str">
        <x:v>BEKASI</x:v>
      </x:c>
      <x:c r="E471" s="8">
        <x:v>1550</x:v>
      </x:c>
      <x:c r="F471" s="9">
        <x:v>3408708200</x:v>
      </x:c>
      <x:c r="G471" s="9">
        <x:v>4382279247.42</x:v>
      </x:c>
      <x:c r="H471" s="10" t="n">
        <x:f>G471-F471</x:f>
        <x:v>973571047.4200001</x:v>
      </x:c>
    </x:row>
    <x:row r="472">
      <x:c r="A472" s="7" t="str">
        <x:v>3216435</x:v>
      </x:c>
      <x:c r="B472" s="7" t="str">
        <x:v>RS Umum Tarumajaya</x:v>
      </x:c>
      <x:c r="C472" s="7" t="str">
        <x:v>D</x:v>
      </x:c>
      <x:c r="D472" s="7" t="str">
        <x:v>BEKASI</x:v>
      </x:c>
      <x:c r="E472" s="8">
        <x:v>15211</x:v>
      </x:c>
      <x:c r="F472" s="9">
        <x:v>14034951900</x:v>
      </x:c>
      <x:c r="G472" s="9">
        <x:v>18906913664.78999</x:v>
      </x:c>
      <x:c r="H472" s="10" t="n">
        <x:f>G472-F472</x:f>
        <x:v>4871961764.789989</x:v>
      </x:c>
    </x:row>
    <x:row r="473">
      <x:c r="A473" s="7" t="str">
        <x:v>3216436</x:v>
      </x:c>
      <x:c r="B473" s="7" t="str">
        <x:v>RS EMC Cikarang</x:v>
      </x:c>
      <x:c r="C473" s="7" t="str">
        <x:v>B</x:v>
      </x:c>
      <x:c r="D473" s="7" t="str">
        <x:v>BEKASI</x:v>
      </x:c>
      <x:c r="E473" s="8">
        <x:v>30852</x:v>
      </x:c>
      <x:c r="F473" s="9">
        <x:v>27615825080</x:v>
      </x:c>
      <x:c r="G473" s="9">
        <x:v>27673613916.46</x:v>
      </x:c>
      <x:c r="H473" s="10" t="n">
        <x:f>G473-F473</x:f>
        <x:v>57788836.459999084</x:v>
      </x:c>
    </x:row>
    <x:row r="474">
      <x:c r="A474" s="7" t="str">
        <x:v>3216438</x:v>
      </x:c>
      <x:c r="B474" s="7" t="str">
        <x:v>RS Umum Pinna</x:v>
      </x:c>
      <x:c r="C474" s="7" t="str">
        <x:v>D</x:v>
      </x:c>
      <x:c r="D474" s="7" t="str">
        <x:v>BEKASI</x:v>
      </x:c>
      <x:c r="E474" s="8">
        <x:v>8428</x:v>
      </x:c>
      <x:c r="F474" s="9">
        <x:v>11492591500</x:v>
      </x:c>
      <x:c r="G474" s="9">
        <x:v>14882551664.640001</x:v>
      </x:c>
      <x:c r="H474" s="10" t="n">
        <x:f>G474-F474</x:f>
        <x:v>3389960164.6400013</x:v>
      </x:c>
    </x:row>
    <x:row r="475">
      <x:c r="A475" s="7" t="str">
        <x:v>3216440</x:v>
      </x:c>
      <x:c r="B475" s="7" t="str">
        <x:v>RS Umum Daerah Cabangbungin</x:v>
      </x:c>
      <x:c r="C475" s="7" t="str">
        <x:v>D</x:v>
      </x:c>
      <x:c r="D475" s="7" t="str">
        <x:v>BEKASI</x:v>
      </x:c>
      <x:c r="E475" s="8">
        <x:v>13676</x:v>
      </x:c>
      <x:c r="F475" s="9">
        <x:v>10068339200</x:v>
      </x:c>
      <x:c r="G475" s="9">
        <x:v>14135955576.230003</x:v>
      </x:c>
      <x:c r="H475" s="10" t="n">
        <x:f>G475-F475</x:f>
        <x:v>4067616376.2300034</x:v>
      </x:c>
    </x:row>
    <x:row r="476">
      <x:c r="A476" s="7" t="str">
        <x:v>3216441</x:v>
      </x:c>
      <x:c r="B476" s="7" t="str">
        <x:v>RS Umum Permata Keluarga Jababeka</x:v>
      </x:c>
      <x:c r="C476" s="7" t="str">
        <x:v>C</x:v>
      </x:c>
      <x:c r="D476" s="7" t="str">
        <x:v>BEKASI</x:v>
      </x:c>
      <x:c r="E476" s="8">
        <x:v>21670</x:v>
      </x:c>
      <x:c r="F476" s="9">
        <x:v>17196441900</x:v>
      </x:c>
      <x:c r="G476" s="9">
        <x:v>18912582887.760002</x:v>
      </x:c>
      <x:c r="H476" s="10" t="n">
        <x:f>G476-F476</x:f>
        <x:v>1716140987.7600021</x:v>
      </x:c>
    </x:row>
    <x:row r="477">
      <x:c r="A477" s="7" t="str">
        <x:v>3216443</x:v>
      </x:c>
      <x:c r="B477" s="7" t="str">
        <x:v>RS EMC Cibitung</x:v>
      </x:c>
      <x:c r="C477" s="7" t="str">
        <x:v>C</x:v>
      </x:c>
      <x:c r="D477" s="7" t="str">
        <x:v>BEKASI</x:v>
      </x:c>
      <x:c r="E477" s="8">
        <x:v>29117</x:v>
      </x:c>
      <x:c r="F477" s="9">
        <x:v>27949599550</x:v>
      </x:c>
      <x:c r="G477" s="9">
        <x:v>28038124375.099987</x:v>
      </x:c>
      <x:c r="H477" s="10" t="n">
        <x:f>G477-F477</x:f>
        <x:v>88524825.09998703</x:v>
      </x:c>
    </x:row>
    <x:row r="478">
      <x:c r="A478" s="7" t="str">
        <x:v>3216444</x:v>
      </x:c>
      <x:c r="B478" s="7" t="str">
        <x:v>RS Cenka</x:v>
      </x:c>
      <x:c r="C478" s="7" t="str">
        <x:v>C</x:v>
      </x:c>
      <x:c r="D478" s="7" t="str">
        <x:v>BEKASI</x:v>
      </x:c>
      <x:c r="E478" s="8">
        <x:v>10128</x:v>
      </x:c>
      <x:c r="F478" s="9">
        <x:v>11860514900</x:v>
      </x:c>
      <x:c r="G478" s="9">
        <x:v>15480375232.600004</x:v>
      </x:c>
      <x:c r="H478" s="10" t="n">
        <x:f>G478-F478</x:f>
        <x:v>3619860332.600004</x:v>
      </x:c>
    </x:row>
    <x:row r="479">
      <x:c r="A479" s="7" t="str">
        <x:v>3216445</x:v>
      </x:c>
      <x:c r="B479" s="7" t="str">
        <x:v>RS EMC Pekayon</x:v>
      </x:c>
      <x:c r="C479" s="7" t="str">
        <x:v>C</x:v>
      </x:c>
      <x:c r="D479" s="7" t="str">
        <x:v>KOTA BEKASI</x:v>
      </x:c>
      <x:c r="E479" s="8">
        <x:v>29854</x:v>
      </x:c>
      <x:c r="F479" s="9">
        <x:v>18161309900</x:v>
      </x:c>
      <x:c r="G479" s="9">
        <x:v>20751903568.40001</x:v>
      </x:c>
      <x:c r="H479" s="10" t="n">
        <x:f>G479-F479</x:f>
        <x:v>2590593668.400009</x:v>
      </x:c>
    </x:row>
    <x:row r="480">
      <x:c r="A480" s="7" t="str">
        <x:v>3216446</x:v>
      </x:c>
      <x:c r="B480" s="7" t="str">
        <x:v>RS Ibu dan Anak Aisyah Qurratu'ain</x:v>
      </x:c>
      <x:c r="C480" s="7" t="str">
        <x:v>C</x:v>
      </x:c>
      <x:c r="D480" s="7" t="str">
        <x:v>BEKASI</x:v>
      </x:c>
      <x:c r="E480" s="8">
        <x:v>2963</x:v>
      </x:c>
      <x:c r="F480" s="9">
        <x:v>5898058800</x:v>
      </x:c>
      <x:c r="G480" s="9">
        <x:v>6347193694.269997</x:v>
      </x:c>
      <x:c r="H480" s="10" t="n">
        <x:f>G480-F480</x:f>
        <x:v>449134894.26999664</x:v>
      </x:c>
    </x:row>
    <x:row r="481">
      <x:c r="A481" s="7" t="str">
        <x:v>3216448</x:v>
      </x:c>
      <x:c r="B481" s="7" t="str">
        <x:v>RS Mitra Keluarga Pratama</x:v>
      </x:c>
      <x:c r="C481" s="7" t="str">
        <x:v>C</x:v>
      </x:c>
      <x:c r="D481" s="7" t="str">
        <x:v>KOTA BEKASI</x:v>
      </x:c>
      <x:c r="E481" s="8">
        <x:v>53434</x:v>
      </x:c>
      <x:c r="F481" s="9">
        <x:v>32781334300</x:v>
      </x:c>
      <x:c r="G481" s="9">
        <x:v>36057076696.939995</x:v>
      </x:c>
      <x:c r="H481" s="10" t="n">
        <x:f>G481-F481</x:f>
        <x:v>3275742396.939995</x:v>
      </x:c>
    </x:row>
    <x:row r="482">
      <x:c r="A482" s="7" t="str">
        <x:v>3216449</x:v>
      </x:c>
      <x:c r="B482" s="7" t="str">
        <x:v>RS Ananda Babelan</x:v>
      </x:c>
      <x:c r="C482" s="7" t="str">
        <x:v>B</x:v>
      </x:c>
      <x:c r="D482" s="7" t="str">
        <x:v>BEKASI</x:v>
      </x:c>
      <x:c r="E482" s="8">
        <x:v>69518</x:v>
      </x:c>
      <x:c r="F482" s="9">
        <x:v>98049309500</x:v>
      </x:c>
      <x:c r="G482" s="9">
        <x:v>101416999387.98996</x:v>
      </x:c>
      <x:c r="H482" s="10" t="n">
        <x:f>G482-F482</x:f>
        <x:v>3367689887.9899597</x:v>
      </x:c>
    </x:row>
    <x:row r="483">
      <x:c r="A483" s="7" t="str">
        <x:v>3216450</x:v>
      </x:c>
      <x:c r="B483" s="7" t="str">
        <x:v>RS Eka Bekasi</x:v>
      </x:c>
      <x:c r="C483" s="7" t="str">
        <x:v>B</x:v>
      </x:c>
      <x:c r="D483" s="7" t="str">
        <x:v>BEKASI</x:v>
      </x:c>
      <x:c r="E483" s="8">
        <x:v>15007</x:v>
      </x:c>
      <x:c r="F483" s="9">
        <x:v>17986269700</x:v>
      </x:c>
      <x:c r="G483" s="9">
        <x:v>18289272120.379993</x:v>
      </x:c>
      <x:c r="H483" s="10" t="n">
        <x:f>G483-F483</x:f>
        <x:v>303002420.37999344</x:v>
      </x:c>
    </x:row>
    <x:row r="484">
      <x:c r="A484" s="7" t="str">
        <x:v>3216451</x:v>
      </x:c>
      <x:c r="B484" s="7" t="str">
        <x:v>RS Hermina Metland Cibitung</x:v>
      </x:c>
      <x:c r="C484" s="7" t="str">
        <x:v>C</x:v>
      </x:c>
      <x:c r="D484" s="7" t="str">
        <x:v>BEKASI</x:v>
      </x:c>
      <x:c r="E484" s="8">
        <x:v>34876</x:v>
      </x:c>
      <x:c r="F484" s="9">
        <x:v>26531825700</x:v>
      </x:c>
      <x:c r="G484" s="9">
        <x:v>30380493798.55</x:v>
      </x:c>
      <x:c r="H484" s="10" t="n">
        <x:f>G484-F484</x:f>
        <x:v>3848668098.549999</x:v>
      </x:c>
    </x:row>
    <x:row r="485">
      <x:c r="A485" s="7" t="str">
        <x:v>3216462</x:v>
      </x:c>
      <x:c r="B485" s="7" t="str">
        <x:v>RS Umum dr. Abdul Radjak Cibitung</x:v>
      </x:c>
      <x:c r="C485" s="7" t="str">
        <x:v>D</x:v>
      </x:c>
      <x:c r="D485" s="7" t="str">
        <x:v>BEKASI</x:v>
      </x:c>
      <x:c r="E485" s="8">
        <x:v>4310</x:v>
      </x:c>
      <x:c r="F485" s="9">
        <x:v>6002565000</x:v>
      </x:c>
      <x:c r="G485" s="9">
        <x:v>8248865304.619998</x:v>
      </x:c>
      <x:c r="H485" s="10" t="n">
        <x:f>G485-F485</x:f>
        <x:v>2246300304.619998</x:v>
      </x:c>
    </x:row>
    <x:row r="486">
      <x:c r="A486" s="7" t="str">
        <x:v>3216464</x:v>
      </x:c>
      <x:c r="B486" s="7" t="str">
        <x:v>RS Mitra Keluarga Deltamas</x:v>
      </x:c>
      <x:c r="C486" s="7" t="str">
        <x:v>C</x:v>
      </x:c>
      <x:c r="D486" s="7" t="str">
        <x:v>BEKASI</x:v>
      </x:c>
      <x:c r="E486" s="8">
        <x:v>6828</x:v>
      </x:c>
      <x:c r="F486" s="9">
        <x:v>6109707000</x:v>
      </x:c>
      <x:c r="G486" s="9">
        <x:v>6941383915.250001</x:v>
      </x:c>
      <x:c r="H486" s="10" t="n">
        <x:f>G486-F486</x:f>
        <x:v>831676915.250001</x:v>
      </x:c>
    </x:row>
    <x:row r="487">
      <x:c r="A487" s="7" t="str">
        <x:v>3217002</x:v>
      </x:c>
      <x:c r="B487" s="7" t="str">
        <x:v>RS Umum Daerah Cililin</x:v>
      </x:c>
      <x:c r="C487" s="7" t="str">
        <x:v>C</x:v>
      </x:c>
      <x:c r="D487" s="7" t="str">
        <x:v>BANDUNG BARAT</x:v>
      </x:c>
      <x:c r="E487" s="8">
        <x:v>64399</x:v>
      </x:c>
      <x:c r="F487" s="9">
        <x:v>40726664405</x:v>
      </x:c>
      <x:c r="G487" s="9">
        <x:v>52701480621.439995</x:v>
      </x:c>
      <x:c r="H487" s="10" t="n">
        <x:f>G487-F487</x:f>
        <x:v>11974816216.439995</x:v>
      </x:c>
    </x:row>
    <x:row r="488">
      <x:c r="A488" s="7" t="str">
        <x:v>3217004</x:v>
      </x:c>
      <x:c r="B488" s="7" t="str">
        <x:v>RS Umum Daerah Lembang</x:v>
      </x:c>
      <x:c r="C488" s="7" t="str">
        <x:v>C</x:v>
      </x:c>
      <x:c r="D488" s="7" t="str">
        <x:v>BANDUNG BARAT</x:v>
      </x:c>
      <x:c r="E488" s="8">
        <x:v>30313</x:v>
      </x:c>
      <x:c r="F488" s="9">
        <x:v>17001855700</x:v>
      </x:c>
      <x:c r="G488" s="9">
        <x:v>20768952264.77001</x:v>
      </x:c>
      <x:c r="H488" s="10" t="n">
        <x:f>G488-F488</x:f>
        <x:v>3767096564.770012</x:v>
      </x:c>
    </x:row>
    <x:row r="489">
      <x:c r="A489" s="7" t="str">
        <x:v>3217005</x:v>
      </x:c>
      <x:c r="B489" s="7" t="str">
        <x:v>RS Karisma Cimareme</x:v>
      </x:c>
      <x:c r="C489" s="7" t="str">
        <x:v>C</x:v>
      </x:c>
      <x:c r="D489" s="7" t="str">
        <x:v>BANDUNG BARAT</x:v>
      </x:c>
      <x:c r="E489" s="8">
        <x:v>91898</x:v>
      </x:c>
      <x:c r="F489" s="9">
        <x:v>56087119500</x:v>
      </x:c>
      <x:c r="G489" s="9">
        <x:v>65863309449.63997</x:v>
      </x:c>
      <x:c r="H489" s="10" t="n">
        <x:f>G489-F489</x:f>
        <x:v>9776189949.639969</x:v>
      </x:c>
    </x:row>
    <x:row r="490">
      <x:c r="A490" s="7" t="str">
        <x:v>3217006</x:v>
      </x:c>
      <x:c r="B490" s="7" t="str">
        <x:v>RS Umum IMC</x:v>
      </x:c>
      <x:c r="C490" s="7" t="str">
        <x:v>D</x:v>
      </x:c>
      <x:c r="D490" s="7" t="str">
        <x:v>BANDUNG BARAT</x:v>
      </x:c>
      <x:c r="E490" s="8">
        <x:v>3310</x:v>
      </x:c>
      <x:c r="F490" s="9">
        <x:v>4346333200</x:v>
      </x:c>
      <x:c r="G490" s="9">
        <x:v>6116358701.769999</x:v>
      </x:c>
      <x:c r="H490" s="10" t="n">
        <x:f>G490-F490</x:f>
        <x:v>1770025501.7699986</x:v>
      </x:c>
    </x:row>
    <x:row r="491">
      <x:c r="A491" s="7" t="str">
        <x:v>3217007</x:v>
      </x:c>
      <x:c r="B491" s="7" t="str">
        <x:v>RS Umum Daerah Cikalongwetan</x:v>
      </x:c>
      <x:c r="C491" s="7" t="str">
        <x:v>C</x:v>
      </x:c>
      <x:c r="D491" s="7" t="str">
        <x:v>BANDUNG BARAT</x:v>
      </x:c>
      <x:c r="E491" s="8">
        <x:v>34515</x:v>
      </x:c>
      <x:c r="F491" s="9">
        <x:v>15590016650</x:v>
      </x:c>
      <x:c r="G491" s="9">
        <x:v>20645934921.37</x:v>
      </x:c>
      <x:c r="H491" s="10" t="n">
        <x:f>G491-F491</x:f>
        <x:v>5055918271.369999</x:v>
      </x:c>
    </x:row>
    <x:row r="492">
      <x:c r="A492" s="7" t="str">
        <x:v>3217008</x:v>
      </x:c>
      <x:c r="B492" s="7" t="str">
        <x:v>RS Ibu dan Anak Kartini</x:v>
      </x:c>
      <x:c r="C492" s="7" t="str">
        <x:v>C</x:v>
      </x:c>
      <x:c r="D492" s="7" t="str">
        <x:v>BANDUNG BARAT</x:v>
      </x:c>
      <x:c r="E492" s="8">
        <x:v>20363</x:v>
      </x:c>
      <x:c r="F492" s="9">
        <x:v>24389441400</x:v>
      </x:c>
      <x:c r="G492" s="9">
        <x:v>35083049353.69001</x:v>
      </x:c>
      <x:c r="H492" s="10" t="n">
        <x:f>G492-F492</x:f>
        <x:v>10693607953.69001</x:v>
      </x:c>
    </x:row>
    <x:row r="493">
      <x:c r="A493" s="7" t="str">
        <x:v>3217009</x:v>
      </x:c>
      <x:c r="B493" s="7" t="str">
        <x:v>RS Ibu dan Anak Graha Medika Padalarang</x:v>
      </x:c>
      <x:c r="C493" s="7" t="str">
        <x:v>C</x:v>
      </x:c>
      <x:c r="D493" s="7" t="str">
        <x:v>BANDUNG BARAT</x:v>
      </x:c>
      <x:c r="E493" s="8">
        <x:v>7790</x:v>
      </x:c>
      <x:c r="F493" s="9">
        <x:v>13352937100</x:v>
      </x:c>
      <x:c r="G493" s="9">
        <x:v>16268119342.100002</x:v>
      </x:c>
      <x:c r="H493" s="10" t="n">
        <x:f>G493-F493</x:f>
        <x:v>2915182242.1000023</x:v>
      </x:c>
    </x:row>
    <x:row r="494">
      <x:c r="A494" s="7" t="str">
        <x:v>3217042</x:v>
      </x:c>
      <x:c r="B494" s="7" t="str">
        <x:v>RS Jiwa Provinsi Jawa Barat</x:v>
      </x:c>
      <x:c r="C494" s="7" t="str">
        <x:v>A</x:v>
      </x:c>
      <x:c r="D494" s="7" t="str">
        <x:v>BANDUNG BARAT</x:v>
      </x:c>
      <x:c r="E494" s="8">
        <x:v>24554</x:v>
      </x:c>
      <x:c r="F494" s="9">
        <x:v>27814349800</x:v>
      </x:c>
      <x:c r="G494" s="9">
        <x:v>31380976119.290005</x:v>
      </x:c>
      <x:c r="H494" s="10" t="n">
        <x:f>G494-F494</x:f>
        <x:v>3566626319.2900047</x:v>
      </x:c>
    </x:row>
    <x:row r="495">
      <x:c r="A495" s="7" t="str">
        <x:v>3217121</x:v>
      </x:c>
      <x:c r="B495" s="7" t="str">
        <x:v>RS Umum Cahya Kawaluyan</x:v>
      </x:c>
      <x:c r="C495" s="7" t="str">
        <x:v>C</x:v>
      </x:c>
      <x:c r="D495" s="7" t="str">
        <x:v>BANDUNG BARAT</x:v>
      </x:c>
      <x:c r="E495" s="8">
        <x:v>121543</x:v>
      </x:c>
      <x:c r="F495" s="9">
        <x:v>61299972800</x:v>
      </x:c>
      <x:c r="G495" s="9">
        <x:v>77404040515.65001</x:v>
      </x:c>
      <x:c r="H495" s="10" t="n">
        <x:f>G495-F495</x:f>
        <x:v>16104067715.65001</x:v>
      </x:c>
    </x:row>
    <x:row r="496">
      <x:c r="A496" s="7" t="str">
        <x:v>3217133</x:v>
      </x:c>
      <x:c r="B496" s="7" t="str">
        <x:v>RS Ibu dan Anak Buah Hati</x:v>
      </x:c>
      <x:c r="C496" s="7" t="str">
        <x:v>C</x:v>
      </x:c>
      <x:c r="D496" s="7" t="str">
        <x:v>BANDUNG BARAT</x:v>
      </x:c>
      <x:c r="E496" s="8">
        <x:v>2349</x:v>
      </x:c>
      <x:c r="F496" s="9">
        <x:v>2551522800</x:v>
      </x:c>
      <x:c r="G496" s="9">
        <x:v>2830368771.3400016</x:v>
      </x:c>
      <x:c r="H496" s="10" t="n">
        <x:f>G496-F496</x:f>
        <x:v>278845971.3400016</x:v>
      </x:c>
    </x:row>
    <x:row r="497">
      <x:c r="A497" s="7" t="str">
        <x:v>3218001</x:v>
      </x:c>
      <x:c r="B497" s="7" t="str">
        <x:v>RS Umum Daerah Pandega Pangandaran</x:v>
      </x:c>
      <x:c r="C497" s="7" t="str">
        <x:v>C</x:v>
      </x:c>
      <x:c r="D497" s="7" t="str">
        <x:v>PANGANDARAN</x:v>
      </x:c>
      <x:c r="E497" s="8">
        <x:v>57291</x:v>
      </x:c>
      <x:c r="F497" s="9">
        <x:v>54093151305</x:v>
      </x:c>
      <x:c r="G497" s="9">
        <x:v>72244347787.55</x:v>
      </x:c>
      <x:c r="H497" s="10" t="n">
        <x:f>G497-F497</x:f>
        <x:v>18151196482.550003</x:v>
      </x:c>
    </x:row>
    <x:row r="498">
      <x:c r="A498" s="7" t="str">
        <x:v>3271013</x:v>
      </x:c>
      <x:c r="B498" s="7" t="str">
        <x:v>RS Umum PMI Bogor</x:v>
      </x:c>
      <x:c r="C498" s="7" t="str">
        <x:v>B</x:v>
      </x:c>
      <x:c r="D498" s="7" t="str">
        <x:v>KOTA BOGOR</x:v>
      </x:c>
      <x:c r="E498" s="8">
        <x:v>147286</x:v>
      </x:c>
      <x:c r="F498" s="9">
        <x:v>156507443020</x:v>
      </x:c>
      <x:c r="G498" s="9">
        <x:v>159339886122.07</x:v>
      </x:c>
      <x:c r="H498" s="10" t="n">
        <x:f>G498-F498</x:f>
        <x:v>2832443102.0700073</x:v>
      </x:c>
    </x:row>
    <x:row r="499">
      <x:c r="A499" s="7" t="str">
        <x:v>3271024</x:v>
      </x:c>
      <x:c r="B499" s="7" t="str">
        <x:v>RS Umum Salak</x:v>
      </x:c>
      <x:c r="C499" s="7" t="str">
        <x:v>C</x:v>
      </x:c>
      <x:c r="D499" s="7" t="str">
        <x:v>KOTA BOGOR</x:v>
      </x:c>
      <x:c r="E499" s="8">
        <x:v>47220</x:v>
      </x:c>
      <x:c r="F499" s="9">
        <x:v>24850879600</x:v>
      </x:c>
      <x:c r="G499" s="9">
        <x:v>30628503407.04999</x:v>
      </x:c>
      <x:c r="H499" s="10" t="n">
        <x:f>G499-F499</x:f>
        <x:v>5777623807.049992</x:v>
      </x:c>
    </x:row>
    <x:row r="500">
      <x:c r="A500" s="7" t="str">
        <x:v>3271035</x:v>
      </x:c>
      <x:c r="B500" s="7" t="str">
        <x:v>RSAU Dr. M. Hassan Toto</x:v>
      </x:c>
      <x:c r="C500" s="7" t="str">
        <x:v>C</x:v>
      </x:c>
      <x:c r="D500" s="7" t="str">
        <x:v>KOTA BOGOR</x:v>
      </x:c>
      <x:c r="E500" s="8">
        <x:v>41104</x:v>
      </x:c>
      <x:c r="F500" s="9">
        <x:v>25086760300</x:v>
      </x:c>
      <x:c r="G500" s="9">
        <x:v>31161953353.539993</x:v>
      </x:c>
      <x:c r="H500" s="10" t="n">
        <x:f>G500-F500</x:f>
        <x:v>6075193053.539993</x:v>
      </x:c>
    </x:row>
    <x:row r="501">
      <x:c r="A501" s="7" t="str">
        <x:v>3271046</x:v>
      </x:c>
      <x:c r="B501" s="7" t="str">
        <x:v>RS Jiwa dr. H. Marzoeki Mahdi</x:v>
      </x:c>
      <x:c r="C501" s="7" t="str">
        <x:v>A</x:v>
      </x:c>
      <x:c r="D501" s="7" t="str">
        <x:v>KOTA BOGOR</x:v>
      </x:c>
      <x:c r="E501" s="8">
        <x:v>69676</x:v>
      </x:c>
      <x:c r="F501" s="9">
        <x:v>54117547600</x:v>
      </x:c>
      <x:c r="G501" s="9">
        <x:v>52546898302.44996</x:v>
      </x:c>
      <x:c r="H501" s="10" t="n">
        <x:f>G501-F501</x:f>
        <x:v>-1570649297.5500412</x:v>
      </x:c>
    </x:row>
    <x:row r="502">
      <x:c r="A502" s="7" t="str">
        <x:v>3271072</x:v>
      </x:c>
      <x:c r="B502" s="7" t="str">
        <x:v>RS Umum Azra</x:v>
      </x:c>
      <x:c r="C502" s="7" t="str">
        <x:v>C</x:v>
      </x:c>
      <x:c r="D502" s="7" t="str">
        <x:v>KOTA BOGOR</x:v>
      </x:c>
      <x:c r="E502" s="8">
        <x:v>33171</x:v>
      </x:c>
      <x:c r="F502" s="9">
        <x:v>14270985400</x:v>
      </x:c>
      <x:c r="G502" s="9">
        <x:v>16254326666.879997</x:v>
      </x:c>
      <x:c r="H502" s="10" t="n">
        <x:f>G502-F502</x:f>
        <x:v>1983341266.8799973</x:v>
      </x:c>
    </x:row>
    <x:row r="503">
      <x:c r="A503" s="7" t="str">
        <x:v>3271104</x:v>
      </x:c>
      <x:c r="B503" s="7" t="str">
        <x:v>RS Umum Daerah Kota Bogor</x:v>
      </x:c>
      <x:c r="C503" s="7" t="str">
        <x:v>B</x:v>
      </x:c>
      <x:c r="D503" s="7" t="str">
        <x:v>KOTA BOGOR</x:v>
      </x:c>
      <x:c r="E503" s="8">
        <x:v>215196</x:v>
      </x:c>
      <x:c r="F503" s="9">
        <x:v>176821070085</x:v>
      </x:c>
      <x:c r="G503" s="9">
        <x:v>201748503623.06992</x:v>
      </x:c>
      <x:c r="H503" s="10" t="n">
        <x:f>G503-F503</x:f>
        <x:v>24927433538.069916</x:v>
      </x:c>
    </x:row>
    <x:row r="504">
      <x:c r="A504" s="7" t="str">
        <x:v>3271115</x:v>
      </x:c>
      <x:c r="B504" s="7" t="str">
        <x:v>RS Umum Hermina Bogor</x:v>
      </x:c>
      <x:c r="C504" s="7" t="str">
        <x:v>B</x:v>
      </x:c>
      <x:c r="D504" s="7" t="str">
        <x:v>KOTA BOGOR</x:v>
      </x:c>
      <x:c r="E504" s="8">
        <x:v>78258</x:v>
      </x:c>
      <x:c r="F504" s="9">
        <x:v>94652447800</x:v>
      </x:c>
      <x:c r="G504" s="9">
        <x:v>90306918318.24994</x:v>
      </x:c>
      <x:c r="H504" s="10" t="n">
        <x:f>G504-F504</x:f>
        <x:v>-4345529481.750061</x:v>
      </x:c>
    </x:row>
    <x:row r="505">
      <x:c r="A505" s="7" t="str">
        <x:v>3271126</x:v>
      </x:c>
      <x:c r="B505" s="7" t="str">
        <x:v>Mayapada Hospital Bogor</x:v>
      </x:c>
      <x:c r="C505" s="7" t="str">
        <x:v>C</x:v>
      </x:c>
      <x:c r="D505" s="7" t="str">
        <x:v>KOTA BOGOR</x:v>
      </x:c>
      <x:c r="E505" s="8">
        <x:v>30535</x:v>
      </x:c>
      <x:c r="F505" s="9">
        <x:v>18681335000</x:v>
      </x:c>
      <x:c r="G505" s="9">
        <x:v>20198344034.270004</x:v>
      </x:c>
      <x:c r="H505" s="10" t="n">
        <x:f>G505-F505</x:f>
        <x:v>1517009034.2700043</x:v>
      </x:c>
    </x:row>
    <x:row r="506">
      <x:c r="A506" s="7" t="str">
        <x:v>3271139</x:v>
      </x:c>
      <x:c r="B506" s="7" t="str">
        <x:v>RS Umum Trimitra</x:v>
      </x:c>
      <x:c r="C506" s="7" t="str">
        <x:v>C</x:v>
      </x:c>
      <x:c r="D506" s="7" t="str">
        <x:v>KOTA BOGOR</x:v>
      </x:c>
      <x:c r="E506" s="8">
        <x:v>39117</x:v>
      </x:c>
      <x:c r="F506" s="9">
        <x:v>30068710600</x:v>
      </x:c>
      <x:c r="G506" s="9">
        <x:v>34067741439.04997</x:v>
      </x:c>
      <x:c r="H506" s="10" t="n">
        <x:f>G506-F506</x:f>
        <x:v>3999030839.0499687</x:v>
      </x:c>
    </x:row>
    <x:row r="507">
      <x:c r="A507" s="7" t="str">
        <x:v>3271161</x:v>
      </x:c>
      <x:c r="B507" s="7" t="str">
        <x:v>RS Umum Melania</x:v>
      </x:c>
      <x:c r="C507" s="7" t="str">
        <x:v>C</x:v>
      </x:c>
      <x:c r="D507" s="7" t="str">
        <x:v>KOTA BOGOR</x:v>
      </x:c>
      <x:c r="E507" s="8">
        <x:v>110474</x:v>
      </x:c>
      <x:c r="F507" s="9">
        <x:v>47699341100</x:v>
      </x:c>
      <x:c r="G507" s="9">
        <x:v>56837324374.82999</x:v>
      </x:c>
      <x:c r="H507" s="10" t="n">
        <x:f>G507-F507</x:f>
        <x:v>9137983274.829987</x:v>
      </x:c>
    </x:row>
    <x:row r="508">
      <x:c r="A508" s="7" t="str">
        <x:v>3271162</x:v>
      </x:c>
      <x:c r="B508" s="7" t="str">
        <x:v>RS Ibu dan Anak Pasutri</x:v>
      </x:c>
      <x:c r="C508" s="7" t="str">
        <x:v>C</x:v>
      </x:c>
      <x:c r="D508" s="7" t="str">
        <x:v>KOTA BOGOR</x:v>
      </x:c>
      <x:c r="E508" s="8">
        <x:v>5994</x:v>
      </x:c>
      <x:c r="F508" s="9">
        <x:v>12084224600</x:v>
      </x:c>
      <x:c r="G508" s="9">
        <x:v>13824708645.94</x:v>
      </x:c>
      <x:c r="H508" s="10" t="n">
        <x:f>G508-F508</x:f>
        <x:v>1740484045.9400005</x:v>
      </x:c>
    </x:row>
    <x:row r="509">
      <x:c r="A509" s="7" t="str">
        <x:v>3271163</x:v>
      </x:c>
      <x:c r="B509" s="7" t="str">
        <x:v>RS Umum Vania</x:v>
      </x:c>
      <x:c r="C509" s="7" t="str">
        <x:v>C</x:v>
      </x:c>
      <x:c r="D509" s="7" t="str">
        <x:v>KOTA BOGOR</x:v>
      </x:c>
      <x:c r="E509" s="8">
        <x:v>89801</x:v>
      </x:c>
      <x:c r="F509" s="9">
        <x:v>40127335800</x:v>
      </x:c>
      <x:c r="G509" s="9">
        <x:v>48162389374.96999</x:v>
      </x:c>
      <x:c r="H509" s="10" t="n">
        <x:f>G509-F509</x:f>
        <x:v>8035053574.969994</x:v>
      </x:c>
    </x:row>
    <x:row r="510">
      <x:c r="A510" s="7" t="str">
        <x:v>3271164</x:v>
      </x:c>
      <x:c r="B510" s="7" t="str">
        <x:v>RS Umum Mulia Pajajaran</x:v>
      </x:c>
      <x:c r="C510" s="7" t="str">
        <x:v>C</x:v>
      </x:c>
      <x:c r="D510" s="7" t="str">
        <x:v>KOTA BOGOR</x:v>
      </x:c>
      <x:c r="E510" s="8">
        <x:v>88966</x:v>
      </x:c>
      <x:c r="F510" s="9">
        <x:v>43812629700</x:v>
      </x:c>
      <x:c r="G510" s="9">
        <x:v>50730470619.32</x:v>
      </x:c>
      <x:c r="H510" s="10" t="n">
        <x:f>G510-F510</x:f>
        <x:v>6917840919.32</x:v>
      </x:c>
    </x:row>
    <x:row r="511">
      <x:c r="A511" s="7" t="str">
        <x:v>3271166</x:v>
      </x:c>
      <x:c r="B511" s="7" t="str">
        <x:v>RS Umum Bhayangkara Tk. IV Bogor</x:v>
      </x:c>
      <x:c r="C511" s="7" t="str">
        <x:v>D</x:v>
      </x:c>
      <x:c r="D511" s="7" t="str">
        <x:v>KOTA BOGOR</x:v>
      </x:c>
      <x:c r="E511" s="8">
        <x:v>1444</x:v>
      </x:c>
      <x:c r="F511" s="9">
        <x:v>625663100</x:v>
      </x:c>
      <x:c r="G511" s="9">
        <x:v>799640525.73</x:v>
      </x:c>
      <x:c r="H511" s="10" t="n">
        <x:f>G511-F511</x:f>
        <x:v>173977425.73000002</x:v>
      </x:c>
    </x:row>
    <x:row r="512">
      <x:c r="A512" s="7" t="str">
        <x:v>3271168</x:v>
      </x:c>
      <x:c r="B512" s="7" t="str">
        <x:v>RS Graha Medika Bogor</x:v>
      </x:c>
      <x:c r="C512" s="7" t="str">
        <x:v>C</x:v>
      </x:c>
      <x:c r="D512" s="7" t="str">
        <x:v>KOTA BOGOR</x:v>
      </x:c>
      <x:c r="E512" s="8">
        <x:v>21037</x:v>
      </x:c>
      <x:c r="F512" s="9">
        <x:v>17195661300</x:v>
      </x:c>
      <x:c r="G512" s="9">
        <x:v>20176098643.06999</x:v>
      </x:c>
      <x:c r="H512" s="10" t="n">
        <x:f>G512-F512</x:f>
        <x:v>2980437343.0699883</x:v>
      </x:c>
    </x:row>
    <x:row r="513">
      <x:c r="A513" s="7" t="str">
        <x:v>3272014</x:v>
      </x:c>
      <x:c r="B513" s="7" t="str">
        <x:v>RS Umum Daerah R. Syamsudin, SH</x:v>
      </x:c>
      <x:c r="C513" s="7" t="str">
        <x:v>B</x:v>
      </x:c>
      <x:c r="D513" s="7" t="str">
        <x:v>KOTA SUKABUMI</x:v>
      </x:c>
      <x:c r="E513" s="8">
        <x:v>139792</x:v>
      </x:c>
      <x:c r="F513" s="9">
        <x:v>198936962155</x:v>
      </x:c>
      <x:c r="G513" s="9">
        <x:v>229808503922.11</x:v>
      </x:c>
      <x:c r="H513" s="10" t="n">
        <x:f>G513-F513</x:f>
        <x:v>30871541767.109985</x:v>
      </x:c>
    </x:row>
    <x:row r="514">
      <x:c r="A514" s="7" t="str">
        <x:v>3272025</x:v>
      </x:c>
      <x:c r="B514" s="7" t="str">
        <x:v>RS Umum Bhayangkara Setukpa Lemdikpol</x:v>
      </x:c>
      <x:c r="C514" s="7" t="str">
        <x:v>C</x:v>
      </x:c>
      <x:c r="D514" s="7" t="str">
        <x:v>KOTA SUKABUMI</x:v>
      </x:c>
      <x:c r="E514" s="8">
        <x:v>17279</x:v>
      </x:c>
      <x:c r="F514" s="9">
        <x:v>19311705220</x:v>
      </x:c>
      <x:c r="G514" s="9">
        <x:v>23462603253.219997</x:v>
      </x:c>
      <x:c r="H514" s="10" t="n">
        <x:f>G514-F514</x:f>
        <x:v>4150898033.2199974</x:v>
      </x:c>
    </x:row>
    <x:row r="515">
      <x:c r="A515" s="7" t="str">
        <x:v>3272036</x:v>
      </x:c>
      <x:c r="B515" s="7" t="str">
        <x:v>RS Umum Ridogalih</x:v>
      </x:c>
      <x:c r="C515" s="7" t="str">
        <x:v>D</x:v>
      </x:c>
      <x:c r="D515" s="7" t="str">
        <x:v>KOTA SUKABUMI</x:v>
      </x:c>
      <x:c r="E515" s="8">
        <x:v>16145</x:v>
      </x:c>
      <x:c r="F515" s="9">
        <x:v>7537318400</x:v>
      </x:c>
      <x:c r="G515" s="9">
        <x:v>9443851297.220001</x:v>
      </x:c>
      <x:c r="H515" s="10" t="n">
        <x:f>G515-F515</x:f>
        <x:v>1906532897.2200012</x:v>
      </x:c>
    </x:row>
    <x:row r="516">
      <x:c r="A516" s="7" t="str">
        <x:v>3272051</x:v>
      </x:c>
      <x:c r="B516" s="7" t="str">
        <x:v>RS Umum Assyifa Sukabumi</x:v>
      </x:c>
      <x:c r="C516" s="7" t="str">
        <x:v>C</x:v>
      </x:c>
      <x:c r="D516" s="7" t="str">
        <x:v>KOTA SUKABUMI</x:v>
      </x:c>
      <x:c r="E516" s="8">
        <x:v>64702</x:v>
      </x:c>
      <x:c r="F516" s="9">
        <x:v>49872435700</x:v>
      </x:c>
      <x:c r="G516" s="9">
        <x:v>55658385154.96997</x:v>
      </x:c>
      <x:c r="H516" s="10" t="n">
        <x:f>G516-F516</x:f>
        <x:v>5785949454.969971</x:v>
      </x:c>
    </x:row>
    <x:row r="517">
      <x:c r="A517" s="7" t="str">
        <x:v>3272062</x:v>
      </x:c>
      <x:c r="B517" s="7" t="str">
        <x:v>RS Umum Kartika Kasih</x:v>
      </x:c>
      <x:c r="C517" s="7" t="str">
        <x:v>C</x:v>
      </x:c>
      <x:c r="D517" s="7" t="str">
        <x:v>KOTA SUKABUMI</x:v>
      </x:c>
      <x:c r="E517" s="8">
        <x:v>50944</x:v>
      </x:c>
      <x:c r="F517" s="9">
        <x:v>36168123700</x:v>
      </x:c>
      <x:c r="G517" s="9">
        <x:v>43092892227.140015</x:v>
      </x:c>
      <x:c r="H517" s="10" t="n">
        <x:f>G517-F517</x:f>
        <x:v>6924768527.140015</x:v>
      </x:c>
    </x:row>
    <x:row r="518">
      <x:c r="A518" s="7" t="str">
        <x:v>3272075</x:v>
      </x:c>
      <x:c r="B518" s="7" t="str">
        <x:v>RS Umum Daerah Al-Mulk</x:v>
      </x:c>
      <x:c r="C518" s="7" t="str">
        <x:v>D</x:v>
      </x:c>
      <x:c r="D518" s="7" t="str">
        <x:v>KOTA SUKABUMI</x:v>
      </x:c>
      <x:c r="E518" s="8">
        <x:v>9414</x:v>
      </x:c>
      <x:c r="F518" s="9">
        <x:v>6287085600</x:v>
      </x:c>
      <x:c r="G518" s="9">
        <x:v>8656030439.649996</x:v>
      </x:c>
      <x:c r="H518" s="10" t="n">
        <x:f>G518-F518</x:f>
        <x:v>2368944839.649996</x:v>
      </x:c>
    </x:row>
    <x:row r="519">
      <x:c r="A519" s="7" t="str">
        <x:v>3273015</x:v>
      </x:c>
      <x:c r="B519" s="7" t="str">
        <x:v>RS Umum Pusat Dr. Hasan Sadikin</x:v>
      </x:c>
      <x:c r="C519" s="7" t="str">
        <x:v>A</x:v>
      </x:c>
      <x:c r="D519" s="7" t="str">
        <x:v>KOTA BANDUNG</x:v>
      </x:c>
      <x:c r="E519" s="8">
        <x:v>276563</x:v>
      </x:c>
      <x:c r="F519" s="9">
        <x:v>795434787100</x:v>
      </x:c>
      <x:c r="G519" s="9">
        <x:v>677457852125.1401</x:v>
      </x:c>
      <x:c r="H519" s="10" t="n">
        <x:f>G519-F519</x:f>
        <x:v>-117976934974.85986</x:v>
      </x:c>
    </x:row>
    <x:row r="520">
      <x:c r="A520" s="7" t="str">
        <x:v>3273026</x:v>
      </x:c>
      <x:c r="B520" s="7" t="str">
        <x:v>RSU Bhayangkara Tk. II Sartika Asih</x:v>
      </x:c>
      <x:c r="C520" s="7" t="str">
        <x:v>B</x:v>
      </x:c>
      <x:c r="D520" s="7" t="str">
        <x:v>KOTA BANDUNG</x:v>
      </x:c>
      <x:c r="E520" s="8">
        <x:v>73845</x:v>
      </x:c>
      <x:c r="F520" s="9">
        <x:v>72264160500</x:v>
      </x:c>
      <x:c r="G520" s="9">
        <x:v>77371062371.37999</x:v>
      </x:c>
      <x:c r="H520" s="10" t="n">
        <x:f>G520-F520</x:f>
        <x:v>5106901871.37999</x:v>
      </x:c>
    </x:row>
    <x:row r="521">
      <x:c r="A521" s="7" t="str">
        <x:v>3273030</x:v>
      </x:c>
      <x:c r="B521" s="7" t="str">
        <x:v>RSAU dr. M. Salamun</x:v>
      </x:c>
      <x:c r="C521" s="7" t="str">
        <x:v>B</x:v>
      </x:c>
      <x:c r="D521" s="7" t="str">
        <x:v>KOTA BANDUNG</x:v>
      </x:c>
      <x:c r="E521" s="8">
        <x:v>86743</x:v>
      </x:c>
      <x:c r="F521" s="9">
        <x:v>61862723065</x:v>
      </x:c>
      <x:c r="G521" s="9">
        <x:v>67086935674.22999</x:v>
      </x:c>
      <x:c r="H521" s="10" t="n">
        <x:f>G521-F521</x:f>
        <x:v>5224212609.229988</x:v>
      </x:c>
    </x:row>
    <x:row r="522">
      <x:c r="A522" s="7" t="str">
        <x:v>3273046</x:v>
      </x:c>
      <x:c r="B522" s="7" t="str">
        <x:v>RS 3273046</x:v>
      </x:c>
      <x:c r="C522" s="7" t="str">
        <x:v>D</x:v>
      </x:c>
      <x:c r="D522" s="7" t="str">
        <x:v>KOTA BANDUNG</x:v>
      </x:c>
      <x:c r="E522" s="8">
        <x:v>11962</x:v>
      </x:c>
      <x:c r="F522" s="9">
        <x:v>3301934300</x:v>
      </x:c>
      <x:c r="G522" s="9">
        <x:v>4382792273.899999</x:v>
      </x:c>
      <x:c r="H522" s="10" t="n">
        <x:f>G522-F522</x:f>
        <x:v>1080857973.8999987</x:v>
      </x:c>
    </x:row>
    <x:row r="523">
      <x:c r="A523" s="7" t="str">
        <x:v>3273052</x:v>
      </x:c>
      <x:c r="B523" s="7" t="str">
        <x:v>RS Umum Immanuel Bandung</x:v>
      </x:c>
      <x:c r="C523" s="7" t="str">
        <x:v>B</x:v>
      </x:c>
      <x:c r="D523" s="7" t="str">
        <x:v>KOTA BANDUNG</x:v>
      </x:c>
      <x:c r="E523" s="8">
        <x:v>135527</x:v>
      </x:c>
      <x:c r="F523" s="9">
        <x:v>130906242400</x:v>
      </x:c>
      <x:c r="G523" s="9">
        <x:v>135840196138.94995</x:v>
      </x:c>
      <x:c r="H523" s="10" t="n">
        <x:f>G523-F523</x:f>
        <x:v>4933953738.949951</x:v>
      </x:c>
    </x:row>
    <x:row r="524">
      <x:c r="A524" s="7" t="str">
        <x:v>3273063</x:v>
      </x:c>
      <x:c r="B524" s="7" t="str">
        <x:v>RS Umum Santo Yusup</x:v>
      </x:c>
      <x:c r="C524" s="7" t="str">
        <x:v>C</x:v>
      </x:c>
      <x:c r="D524" s="7" t="str">
        <x:v>KOTA BANDUNG</x:v>
      </x:c>
      <x:c r="E524" s="8">
        <x:v>143448</x:v>
      </x:c>
      <x:c r="F524" s="9">
        <x:v>75597282800</x:v>
      </x:c>
      <x:c r="G524" s="9">
        <x:v>91515056162.40001</x:v>
      </x:c>
      <x:c r="H524" s="10" t="n">
        <x:f>G524-F524</x:f>
        <x:v>15917773362.40001</x:v>
      </x:c>
    </x:row>
    <x:row r="525">
      <x:c r="A525" s="7" t="str">
        <x:v>3273074</x:v>
      </x:c>
      <x:c r="B525" s="7" t="str">
        <x:v>RS Umum Santo Borromeus</x:v>
      </x:c>
      <x:c r="C525" s="7" t="str">
        <x:v>B</x:v>
      </x:c>
      <x:c r="D525" s="7" t="str">
        <x:v>KOTA BANDUNG</x:v>
      </x:c>
      <x:c r="E525" s="8">
        <x:v>39549</x:v>
      </x:c>
      <x:c r="F525" s="9">
        <x:v>55375946060</x:v>
      </x:c>
      <x:c r="G525" s="9">
        <x:v>53743660196.790016</x:v>
      </x:c>
      <x:c r="H525" s="10" t="n">
        <x:f>G525-F525</x:f>
        <x:v>-1632285863.2099838</x:v>
      </x:c>
    </x:row>
    <x:row r="526">
      <x:c r="A526" s="7" t="str">
        <x:v>3273085</x:v>
      </x:c>
      <x:c r="B526" s="7" t="str">
        <x:v>RS Umum Advent Bandung</x:v>
      </x:c>
      <x:c r="C526" s="7" t="str">
        <x:v>B</x:v>
      </x:c>
      <x:c r="D526" s="7" t="str">
        <x:v>KOTA BANDUNG</x:v>
      </x:c>
      <x:c r="E526" s="8">
        <x:v>122065</x:v>
      </x:c>
      <x:c r="F526" s="9">
        <x:v>120079022640</x:v>
      </x:c>
      <x:c r="G526" s="9">
        <x:v>116836603064.82</x:v>
      </x:c>
      <x:c r="H526" s="10" t="n">
        <x:f>G526-F526</x:f>
        <x:v>-3242419575.1799927</x:v>
      </x:c>
    </x:row>
    <x:row r="527">
      <x:c r="A527" s="7" t="str">
        <x:v>3273096</x:v>
      </x:c>
      <x:c r="B527" s="7" t="str">
        <x:v>RS Umum Pindad</x:v>
      </x:c>
      <x:c r="C527" s="7" t="str">
        <x:v>C</x:v>
      </x:c>
      <x:c r="D527" s="7" t="str">
        <x:v>KOTA BANDUNG</x:v>
      </x:c>
      <x:c r="E527" s="8">
        <x:v>87026</x:v>
      </x:c>
      <x:c r="F527" s="9">
        <x:v>54041909800</x:v>
      </x:c>
      <x:c r="G527" s="9">
        <x:v>63978601560.399994</x:v>
      </x:c>
      <x:c r="H527" s="10" t="n">
        <x:f>G527-F527</x:f>
        <x:v>9936691760.399994</x:v>
      </x:c>
    </x:row>
    <x:row r="528">
      <x:c r="A528" s="7" t="str">
        <x:v>3273106</x:v>
      </x:c>
      <x:c r="B528" s="7" t="str">
        <x:v>RS Umum Muhammadiyah</x:v>
      </x:c>
      <x:c r="C528" s="7" t="str">
        <x:v>C</x:v>
      </x:c>
      <x:c r="D528" s="7" t="str">
        <x:v>KOTA BANDUNG</x:v>
      </x:c>
      <x:c r="E528" s="8">
        <x:v>59502</x:v>
      </x:c>
      <x:c r="F528" s="9">
        <x:v>34868082950</x:v>
      </x:c>
      <x:c r="G528" s="9">
        <x:v>41273968000.7</x:v>
      </x:c>
      <x:c r="H528" s="10" t="n">
        <x:f>G528-F528</x:f>
        <x:v>6405885050.699997</x:v>
      </x:c>
    </x:row>
    <x:row r="529">
      <x:c r="A529" s="7" t="str">
        <x:v>3273110</x:v>
      </x:c>
      <x:c r="B529" s="7" t="str">
        <x:v>RS Umum Bungsu</x:v>
      </x:c>
      <x:c r="C529" s="7" t="str">
        <x:v>D</x:v>
      </x:c>
      <x:c r="D529" s="7" t="str">
        <x:v>KOTA BANDUNG</x:v>
      </x:c>
      <x:c r="E529" s="8">
        <x:v>14228</x:v>
      </x:c>
      <x:c r="F529" s="9">
        <x:v>4849387600</x:v>
      </x:c>
      <x:c r="G529" s="9">
        <x:v>6384862233.329999</x:v>
      </x:c>
      <x:c r="H529" s="10" t="n">
        <x:f>G529-F529</x:f>
        <x:v>1535474633.329999</x:v>
      </x:c>
    </x:row>
    <x:row r="530">
      <x:c r="A530" s="7" t="str">
        <x:v>3273145</x:v>
      </x:c>
      <x:c r="B530" s="7" t="str">
        <x:v>RS Umum Hermina Arcamanik</x:v>
      </x:c>
      <x:c r="C530" s="7" t="str">
        <x:v>C</x:v>
      </x:c>
      <x:c r="D530" s="7" t="str">
        <x:v>KOTA BANDUNG</x:v>
      </x:c>
      <x:c r="E530" s="8">
        <x:v>172800</x:v>
      </x:c>
      <x:c r="F530" s="9">
        <x:v>135116058500</x:v>
      </x:c>
      <x:c r="G530" s="9">
        <x:v>155449805457.53992</x:v>
      </x:c>
      <x:c r="H530" s="10" t="n">
        <x:f>G530-F530</x:f>
        <x:v>20333746957.539917</x:v>
      </x:c>
    </x:row>
    <x:row r="531">
      <x:c r="A531" s="7" t="str">
        <x:v>3273176</x:v>
      </x:c>
      <x:c r="B531" s="7" t="str">
        <x:v>RS Umum Tk. IV 03.07.03 Sariningsih</x:v>
      </x:c>
      <x:c r="C531" s="7" t="str">
        <x:v>D</x:v>
      </x:c>
      <x:c r="D531" s="7" t="str">
        <x:v>KOTA BANDUNG</x:v>
      </x:c>
      <x:c r="E531" s="8">
        <x:v>17100</x:v>
      </x:c>
      <x:c r="F531" s="9">
        <x:v>9118992905</x:v>
      </x:c>
      <x:c r="G531" s="9">
        <x:v>12039296451.100004</x:v>
      </x:c>
      <x:c r="H531" s="10" t="n">
        <x:f>G531-F531</x:f>
        <x:v>2920303546.100004</x:v>
      </x:c>
    </x:row>
    <x:row r="532">
      <x:c r="A532" s="7" t="str">
        <x:v>3273191</x:v>
      </x:c>
      <x:c r="B532" s="7" t="str">
        <x:v>RS Khusus Mata Cicendo</x:v>
      </x:c>
      <x:c r="C532" s="7" t="str">
        <x:v>A</x:v>
      </x:c>
      <x:c r="D532" s="7" t="str">
        <x:v>KOTA BANDUNG</x:v>
      </x:c>
      <x:c r="E532" s="8">
        <x:v>89446</x:v>
      </x:c>
      <x:c r="F532" s="9">
        <x:v>150050504600</x:v>
      </x:c>
      <x:c r="G532" s="9">
        <x:v>130531394173.51997</x:v>
      </x:c>
      <x:c r="H532" s="10" t="n">
        <x:f>G532-F532</x:f>
        <x:v>-19519110426.480026</x:v>
      </x:c>
    </x:row>
    <x:row r="533">
      <x:c r="A533" s="7" t="str">
        <x:v>3273201</x:v>
      </x:c>
      <x:c r="B533" s="7" t="str">
        <x:v>RS Paru Dr. H. A. Rotinsulu</x:v>
      </x:c>
      <x:c r="C533" s="7" t="str">
        <x:v>A</x:v>
      </x:c>
      <x:c r="D533" s="7" t="str">
        <x:v>KOTA BANDUNG</x:v>
      </x:c>
      <x:c r="E533" s="8">
        <x:v>19506</x:v>
      </x:c>
      <x:c r="F533" s="9">
        <x:v>44379056800</x:v>
      </x:c>
      <x:c r="G533" s="9">
        <x:v>41306002243.17002</x:v>
      </x:c>
      <x:c r="H533" s="10" t="n">
        <x:f>G533-F533</x:f>
        <x:v>-3073054556.829979</x:v>
      </x:c>
    </x:row>
    <x:row r="534">
      <x:c r="A534" s="7" t="str">
        <x:v>3273260</x:v>
      </x:c>
      <x:c r="B534" s="7" t="str">
        <x:v>RS Umum Daerah Bandung Kiwari</x:v>
      </x:c>
      <x:c r="C534" s="7" t="str">
        <x:v>B</x:v>
      </x:c>
      <x:c r="D534" s="7" t="str">
        <x:v>KOTA BANDUNG</x:v>
      </x:c>
      <x:c r="E534" s="8">
        <x:v>93985</x:v>
      </x:c>
      <x:c r="F534" s="9">
        <x:v>110649654395</x:v>
      </x:c>
      <x:c r="G534" s="9">
        <x:v>123777671017.88002</x:v>
      </x:c>
      <x:c r="H534" s="10" t="n">
        <x:f>G534-F534</x:f>
        <x:v>13128016622.88002</x:v>
      </x:c>
    </x:row>
    <x:row r="535">
      <x:c r="A535" s="7" t="str">
        <x:v>3273405</x:v>
      </x:c>
      <x:c r="B535" s="7" t="str">
        <x:v>RS Umum Daerah Kota Bandung</x:v>
      </x:c>
      <x:c r="C535" s="7" t="str">
        <x:v>B</x:v>
      </x:c>
      <x:c r="D535" s="7" t="str">
        <x:v>KOTA BANDUNG</x:v>
      </x:c>
      <x:c r="E535" s="8">
        <x:v>83595</x:v>
      </x:c>
      <x:c r="F535" s="9">
        <x:v>72102499090</x:v>
      </x:c>
      <x:c r="G535" s="9">
        <x:v>80740898050.84004</x:v>
      </x:c>
      <x:c r="H535" s="10" t="n">
        <x:f>G535-F535</x:f>
        <x:v>8638398960.840042</x:v>
      </x:c>
    </x:row>
    <x:row r="536">
      <x:c r="A536" s="7" t="str">
        <x:v>3273420</x:v>
      </x:c>
      <x:c r="B536" s="7" t="str">
        <x:v>RS Umum Al-Islam Bandung</x:v>
      </x:c>
      <x:c r="C536" s="7" t="str">
        <x:v>B</x:v>
      </x:c>
      <x:c r="D536" s="7" t="str">
        <x:v>KOTA BANDUNG</x:v>
      </x:c>
      <x:c r="E536" s="8">
        <x:v>154249</x:v>
      </x:c>
      <x:c r="F536" s="9">
        <x:v>147605923780</x:v>
      </x:c>
      <x:c r="G536" s="9">
        <x:v>151162361826.92996</x:v>
      </x:c>
      <x:c r="H536" s="10" t="n">
        <x:f>G536-F536</x:f>
        <x:v>3556438046.929962</x:v>
      </x:c>
    </x:row>
    <x:row r="537">
      <x:c r="A537" s="7" t="str">
        <x:v>3273453</x:v>
      </x:c>
      <x:c r="B537" s="7" t="str">
        <x:v>RS Khusus Ginjal Ny. R. A. Habibie</x:v>
      </x:c>
      <x:c r="C537" s="7" t="str">
        <x:v>C</x:v>
      </x:c>
      <x:c r="D537" s="7" t="str">
        <x:v>KOTA BANDUNG</x:v>
      </x:c>
      <x:c r="E537" s="8">
        <x:v>25631</x:v>
      </x:c>
      <x:c r="F537" s="9">
        <x:v>28148016200</x:v>
      </x:c>
      <x:c r="G537" s="9">
        <x:v>31158993755.43</x:v>
      </x:c>
      <x:c r="H537" s="10" t="n">
        <x:f>G537-F537</x:f>
        <x:v>3010977555.4300003</x:v>
      </x:c>
    </x:row>
    <x:row r="538">
      <x:c r="A538" s="7" t="str">
        <x:v>3273464</x:v>
      </x:c>
      <x:c r="B538" s="7" t="str">
        <x:v>RS Khusus Gigi dan Mulut UNPAD</x:v>
      </x:c>
      <x:c r="C538" s="7" t="str">
        <x:v>A</x:v>
      </x:c>
      <x:c r="D538" s="7" t="str">
        <x:v>KOTA BANDUNG</x:v>
      </x:c>
      <x:c r="E538" s="8">
        <x:v>3559</x:v>
      </x:c>
      <x:c r="F538" s="9">
        <x:v>2531944500</x:v>
      </x:c>
      <x:c r="G538" s="9">
        <x:v>1923678773.5300002</x:v>
      </x:c>
      <x:c r="H538" s="10" t="n">
        <x:f>G538-F538</x:f>
        <x:v>-608265726.4699998</x:v>
      </x:c>
    </x:row>
    <x:row r="539">
      <x:c r="A539" s="7" t="str">
        <x:v>3273486</x:v>
      </x:c>
      <x:c r="B539" s="7" t="str">
        <x:v>RS Umum Santosa Hospital Bandung Central</x:v>
      </x:c>
      <x:c r="C539" s="7" t="str">
        <x:v>A</x:v>
      </x:c>
      <x:c r="D539" s="7" t="str">
        <x:v>KOTA BANDUNG</x:v>
      </x:c>
      <x:c r="E539" s="8">
        <x:v>192980</x:v>
      </x:c>
      <x:c r="F539" s="9">
        <x:v>427087249100</x:v>
      </x:c>
      <x:c r="G539" s="9">
        <x:v>362042195543.9803</x:v>
      </x:c>
      <x:c r="H539" s="10" t="n">
        <x:f>G539-F539</x:f>
        <x:v>-65045053556.019714</x:v>
      </x:c>
    </x:row>
    <x:row r="540">
      <x:c r="A540" s="7" t="str">
        <x:v>3273517</x:v>
      </x:c>
      <x:c r="B540" s="7" t="str">
        <x:v>RS AMC</x:v>
      </x:c>
      <x:c r="C540" s="7" t="str">
        <x:v>C</x:v>
      </x:c>
      <x:c r="D540" s="7" t="str">
        <x:v>KOTA BANDUNG</x:v>
      </x:c>
      <x:c r="E540" s="8">
        <x:v>57702</x:v>
      </x:c>
      <x:c r="F540" s="9">
        <x:v>40635100900</x:v>
      </x:c>
      <x:c r="G540" s="9">
        <x:v>47654073090.74999</x:v>
      </x:c>
      <x:c r="H540" s="10" t="n">
        <x:f>G540-F540</x:f>
        <x:v>7018972190.749992</x:v>
      </x:c>
    </x:row>
    <x:row r="541">
      <x:c r="A541" s="7" t="str">
        <x:v>3273539</x:v>
      </x:c>
      <x:c r="B541" s="7" t="str">
        <x:v>RS Umum Hermina Pasteur</x:v>
      </x:c>
      <x:c r="C541" s="7" t="str">
        <x:v>B</x:v>
      </x:c>
      <x:c r="D541" s="7" t="str">
        <x:v>KOTA BANDUNG</x:v>
      </x:c>
      <x:c r="E541" s="8">
        <x:v>90954</x:v>
      </x:c>
      <x:c r="F541" s="9">
        <x:v>108869880500</x:v>
      </x:c>
      <x:c r="G541" s="9">
        <x:v>112676773895.40999</x:v>
      </x:c>
      <x:c r="H541" s="10" t="n">
        <x:f>G541-F541</x:f>
        <x:v>3806893395.4099884</x:v>
      </x:c>
    </x:row>
    <x:row r="542">
      <x:c r="A542" s="7" t="str">
        <x:v>3273540</x:v>
      </x:c>
      <x:c r="B542" s="7" t="str">
        <x:v>RS Khusus Gigi dan Mulut Kota Bandung</x:v>
      </x:c>
      <x:c r="C542" s="7" t="str">
        <x:v>B</x:v>
      </x:c>
      <x:c r="D542" s="7" t="str">
        <x:v>KOTA BANDUNG</x:v>
      </x:c>
      <x:c r="E542" s="8">
        <x:v>19748</x:v>
      </x:c>
      <x:c r="F542" s="9">
        <x:v>10787957800</x:v>
      </x:c>
      <x:c r="G542" s="9">
        <x:v>10921729185.650002</x:v>
      </x:c>
      <x:c r="H542" s="10" t="n">
        <x:f>G542-F542</x:f>
        <x:v>133771385.65000153</x:v>
      </x:c>
    </x:row>
    <x:row r="543">
      <x:c r="A543" s="7" t="str">
        <x:v>3273541</x:v>
      </x:c>
      <x:c r="B543" s="7" t="str">
        <x:v>RS Ibu dan Anak Harapan Bunda Bandung</x:v>
      </x:c>
      <x:c r="C543" s="7" t="str">
        <x:v>C</x:v>
      </x:c>
      <x:c r="D543" s="7" t="str">
        <x:v>KOTA BANDUNG</x:v>
      </x:c>
      <x:c r="E543" s="8">
        <x:v>8205</x:v>
      </x:c>
      <x:c r="F543" s="9">
        <x:v>6551401000</x:v>
      </x:c>
      <x:c r="G543" s="9">
        <x:v>7868066146.7699995</x:v>
      </x:c>
      <x:c r="H543" s="10" t="n">
        <x:f>G543-F543</x:f>
        <x:v>1316665146.7699995</x:v>
      </x:c>
    </x:row>
    <x:row r="544">
      <x:c r="A544" s="7" t="str">
        <x:v>3273542</x:v>
      </x:c>
      <x:c r="B544" s="7" t="str">
        <x:v>RS Umum Santosa Hospital Bandung Kopo</x:v>
      </x:c>
      <x:c r="C544" s="7" t="str">
        <x:v>A</x:v>
      </x:c>
      <x:c r="D544" s="7" t="str">
        <x:v>KOTA BANDUNG</x:v>
      </x:c>
      <x:c r="E544" s="8">
        <x:v>188073</x:v>
      </x:c>
      <x:c r="F544" s="9">
        <x:v>343000201750</x:v>
      </x:c>
      <x:c r="G544" s="9">
        <x:v>273160257966.11</x:v>
      </x:c>
      <x:c r="H544" s="10" t="n">
        <x:f>G544-F544</x:f>
        <x:v>-69839943783.89001</x:v>
      </x:c>
    </x:row>
    <x:row r="545">
      <x:c r="A545" s="7" t="str">
        <x:v>3273543</x:v>
      </x:c>
      <x:c r="B545" s="7" t="str">
        <x:v>RS Umum Melinda 2</x:v>
      </x:c>
      <x:c r="C545" s="7" t="str">
        <x:v>C</x:v>
      </x:c>
      <x:c r="D545" s="7" t="str">
        <x:v>KOTA BANDUNG</x:v>
      </x:c>
      <x:c r="E545" s="8">
        <x:v>28757</x:v>
      </x:c>
      <x:c r="F545" s="9">
        <x:v>9190774500</x:v>
      </x:c>
      <x:c r="G545" s="9">
        <x:v>10699345218.840008</x:v>
      </x:c>
      <x:c r="H545" s="10" t="n">
        <x:f>G545-F545</x:f>
        <x:v>1508570718.8400078</x:v>
      </x:c>
    </x:row>
    <x:row r="546">
      <x:c r="A546" s="7" t="str">
        <x:v>3273546</x:v>
      </x:c>
      <x:c r="B546" s="7" t="str">
        <x:v>RS Ibu dan Anak Al Islam</x:v>
      </x:c>
      <x:c r="C546" s="7" t="str">
        <x:v>C</x:v>
      </x:c>
      <x:c r="D546" s="7" t="str">
        <x:v>KOTA BANDUNG</x:v>
      </x:c>
      <x:c r="E546" s="8">
        <x:v>6364</x:v>
      </x:c>
      <x:c r="F546" s="9">
        <x:v>5245141900</x:v>
      </x:c>
      <x:c r="G546" s="9">
        <x:v>5999990984.269998</x:v>
      </x:c>
      <x:c r="H546" s="10" t="n">
        <x:f>G546-F546</x:f>
        <x:v>754849084.2699976</x:v>
      </x:c>
    </x:row>
    <x:row r="547">
      <x:c r="A547" s="7" t="str">
        <x:v>3273547</x:v>
      </x:c>
      <x:c r="B547" s="7" t="str">
        <x:v>RS Edelweiss</x:v>
      </x:c>
      <x:c r="C547" s="7" t="str">
        <x:v>C</x:v>
      </x:c>
      <x:c r="D547" s="7" t="str">
        <x:v>KOTA BANDUNG</x:v>
      </x:c>
      <x:c r="E547" s="8">
        <x:v>5492</x:v>
      </x:c>
      <x:c r="F547" s="9">
        <x:v>4411077800</x:v>
      </x:c>
      <x:c r="G547" s="9">
        <x:v>5030607898.8</x:v>
      </x:c>
      <x:c r="H547" s="10" t="n">
        <x:f>G547-F547</x:f>
        <x:v>619530098.8000002</x:v>
      </x:c>
    </x:row>
    <x:row r="548">
      <x:c r="A548" s="7" t="str">
        <x:v>3273558</x:v>
      </x:c>
      <x:c r="B548" s="7" t="str">
        <x:v>RS Jantung dan Pembuluh Darah Paramarta</x:v>
      </x:c>
      <x:c r="C548" s="7" t="str">
        <x:v>C</x:v>
      </x:c>
      <x:c r="D548" s="7" t="str">
        <x:v>KOTA BANDUNG</x:v>
      </x:c>
      <x:c r="E548" s="8">
        <x:v>22883</x:v>
      </x:c>
      <x:c r="F548" s="9">
        <x:v>8170093500</x:v>
      </x:c>
      <x:c r="G548" s="9">
        <x:v>9690934844.220001</x:v>
      </x:c>
      <x:c r="H548" s="10" t="n">
        <x:f>G548-F548</x:f>
        <x:v>1520841344.2200012</x:v>
      </x:c>
    </x:row>
    <x:row r="549">
      <x:c r="A549" s="7" t="str">
        <x:v>3273561</x:v>
      </x:c>
      <x:c r="B549" s="7" t="str">
        <x:v>RS Pasundan</x:v>
      </x:c>
      <x:c r="C549" s="7" t="str">
        <x:v>C</x:v>
      </x:c>
      <x:c r="D549" s="7" t="str">
        <x:v>KOTA BANDUNG</x:v>
      </x:c>
      <x:c r="E549" s="8">
        <x:v>2196</x:v>
      </x:c>
      <x:c r="F549" s="9">
        <x:v>1645978000</x:v>
      </x:c>
      <x:c r="G549" s="9">
        <x:v>1899366903.4599996</x:v>
      </x:c>
      <x:c r="H549" s="10" t="n">
        <x:f>G549-F549</x:f>
        <x:v>253388903.45999956</x:v>
      </x:c>
    </x:row>
    <x:row r="550">
      <x:c r="A550" s="7" t="str">
        <x:v>3274016</x:v>
      </x:c>
      <x:c r="B550" s="7" t="str">
        <x:v>RS Daerah Gunung Jati</x:v>
      </x:c>
      <x:c r="C550" s="7" t="str">
        <x:v>B</x:v>
      </x:c>
      <x:c r="D550" s="7" t="str">
        <x:v>KOTA CIREBON</x:v>
      </x:c>
      <x:c r="E550" s="8">
        <x:v>151567</x:v>
      </x:c>
      <x:c r="F550" s="9">
        <x:v>143938231295</x:v>
      </x:c>
      <x:c r="G550" s="9">
        <x:v>166947064703.0299</x:v>
      </x:c>
      <x:c r="H550" s="10" t="n">
        <x:f>G550-F550</x:f>
        <x:v>23008833408.029907</x:v>
      </x:c>
    </x:row>
    <x:row r="551">
      <x:c r="A551" s="7" t="str">
        <x:v>3274020</x:v>
      </x:c>
      <x:c r="B551" s="7" t="str">
        <x:v>RS Umum Tk. III Ciremai</x:v>
      </x:c>
      <x:c r="C551" s="7" t="str">
        <x:v>B</x:v>
      </x:c>
      <x:c r="D551" s="7" t="str">
        <x:v>KOTA CIREBON</x:v>
      </x:c>
      <x:c r="E551" s="8">
        <x:v>67728</x:v>
      </x:c>
      <x:c r="F551" s="9">
        <x:v>81083503570</x:v>
      </x:c>
      <x:c r="G551" s="9">
        <x:v>78709343174.41998</x:v>
      </x:c>
      <x:c r="H551" s="10" t="n">
        <x:f>G551-F551</x:f>
        <x:v>-2374160395.580017</x:v>
      </x:c>
    </x:row>
    <x:row r="552">
      <x:c r="A552" s="7" t="str">
        <x:v>3274031</x:v>
      </x:c>
      <x:c r="B552" s="7" t="str">
        <x:v>RS Umum Panti Abdi Dharma</x:v>
      </x:c>
      <x:c r="C552" s="7" t="str">
        <x:v>C</x:v>
      </x:c>
      <x:c r="D552" s="7" t="str">
        <x:v>KOTA CIREBON</x:v>
      </x:c>
      <x:c r="E552" s="8">
        <x:v>16658</x:v>
      </x:c>
      <x:c r="F552" s="9">
        <x:v>14763333100</x:v>
      </x:c>
      <x:c r="G552" s="9">
        <x:v>18491513069.15001</x:v>
      </x:c>
      <x:c r="H552" s="10" t="n">
        <x:f>G552-F552</x:f>
        <x:v>3728179969.150009</x:v>
      </x:c>
    </x:row>
    <x:row r="553">
      <x:c r="A553" s="7" t="str">
        <x:v>3274041</x:v>
      </x:c>
      <x:c r="B553" s="7" t="str">
        <x:v>RS 3274041</x:v>
      </x:c>
      <x:c r="C553" s="7" t="str">
        <x:v>D</x:v>
      </x:c>
      <x:c r="D553" s="7" t="str">
        <x:v>KOTA CIREBON</x:v>
      </x:c>
      <x:c r="E553" s="8">
        <x:v>146</x:v>
      </x:c>
      <x:c r="F553" s="9">
        <x:v>28418100</x:v>
      </x:c>
      <x:c r="G553" s="9">
        <x:v>41720110.7</x:v>
      </x:c>
      <x:c r="H553" s="10" t="n">
        <x:f>G553-F553</x:f>
        <x:v>13302010.700000003</x:v>
      </x:c>
    </x:row>
    <x:row r="554">
      <x:c r="A554" s="7" t="str">
        <x:v>3274053</x:v>
      </x:c>
      <x:c r="B554" s="7" t="str">
        <x:v>RS Umum Pelabuhan Cirebon</x:v>
      </x:c>
      <x:c r="C554" s="7" t="str">
        <x:v>C</x:v>
      </x:c>
      <x:c r="D554" s="7" t="str">
        <x:v>KOTA CIREBON</x:v>
      </x:c>
      <x:c r="E554" s="8">
        <x:v>57248</x:v>
      </x:c>
      <x:c r="F554" s="9">
        <x:v>48616825750</x:v>
      </x:c>
      <x:c r="G554" s="9">
        <x:v>57154768012.41001</x:v>
      </x:c>
      <x:c r="H554" s="10" t="n">
        <x:f>G554-F554</x:f>
        <x:v>8537942262.410011</x:v>
      </x:c>
    </x:row>
    <x:row r="555">
      <x:c r="A555" s="7" t="str">
        <x:v>3274064</x:v>
      </x:c>
      <x:c r="B555" s="7" t="str">
        <x:v>RS Umum Putera Bahagia</x:v>
      </x:c>
      <x:c r="C555" s="7" t="str">
        <x:v>C</x:v>
      </x:c>
      <x:c r="D555" s="7" t="str">
        <x:v>KOTA CIREBON</x:v>
      </x:c>
      <x:c r="E555" s="8">
        <x:v>67142</x:v>
      </x:c>
      <x:c r="F555" s="9">
        <x:v>41715583250</x:v>
      </x:c>
      <x:c r="G555" s="9">
        <x:v>48975868101.84999</x:v>
      </x:c>
      <x:c r="H555" s="10" t="n">
        <x:f>G555-F555</x:f>
        <x:v>7260284851.849991</x:v>
      </x:c>
    </x:row>
    <x:row r="556">
      <x:c r="A556" s="7" t="str">
        <x:v>3274090</x:v>
      </x:c>
      <x:c r="B556" s="7" t="str">
        <x:v>RS Umum Sumber Kasih</x:v>
      </x:c>
      <x:c r="C556" s="7" t="str">
        <x:v>C</x:v>
      </x:c>
      <x:c r="D556" s="7" t="str">
        <x:v>KOTA CIREBON</x:v>
      </x:c>
      <x:c r="E556" s="8">
        <x:v>51754</x:v>
      </x:c>
      <x:c r="F556" s="9">
        <x:v>41113295100</x:v>
      </x:c>
      <x:c r="G556" s="9">
        <x:v>49515545807.10998</x:v>
      </x:c>
      <x:c r="H556" s="10" t="n">
        <x:f>G556-F556</x:f>
        <x:v>8402250707.109978</x:v>
      </x:c>
    </x:row>
    <x:row r="557">
      <x:c r="A557" s="7" t="str">
        <x:v>3274100</x:v>
      </x:c>
      <x:c r="B557" s="7" t="str">
        <x:v>RS Umum Budi Asta</x:v>
      </x:c>
      <x:c r="C557" s="7" t="str">
        <x:v>D</x:v>
      </x:c>
      <x:c r="D557" s="7" t="str">
        <x:v>KOTA CIREBON</x:v>
      </x:c>
      <x:c r="E557" s="8">
        <x:v>1441</x:v>
      </x:c>
      <x:c r="F557" s="9">
        <x:v>1480964900</x:v>
      </x:c>
      <x:c r="G557" s="9">
        <x:v>1809043498.78</x:v>
      </x:c>
      <x:c r="H557" s="10" t="n">
        <x:f>G557-F557</x:f>
        <x:v>328078598.78</x:v>
      </x:c>
    </x:row>
    <x:row r="558">
      <x:c r="A558" s="7" t="str">
        <x:v>3274111</x:v>
      </x:c>
      <x:c r="B558" s="7" t="str">
        <x:v>RS Umum Muhammadiyah</x:v>
      </x:c>
      <x:c r="C558" s="7" t="str">
        <x:v>D</x:v>
      </x:c>
      <x:c r="D558" s="7" t="str">
        <x:v>KOTA CIREBON</x:v>
      </x:c>
      <x:c r="E558" s="8">
        <x:v>2373</x:v>
      </x:c>
      <x:c r="F558" s="9">
        <x:v>2926560000</x:v>
      </x:c>
      <x:c r="G558" s="9">
        <x:v>3822058350.2199993</x:v>
      </x:c>
      <x:c r="H558" s="10" t="n">
        <x:f>G558-F558</x:f>
        <x:v>895498350.2199993</x:v>
      </x:c>
    </x:row>
    <x:row r="559">
      <x:c r="A559" s="7" t="str">
        <x:v>3274134</x:v>
      </x:c>
      <x:c r="B559" s="7" t="str">
        <x:v>RS Umum Medimas</x:v>
      </x:c>
      <x:c r="C559" s="7" t="str">
        <x:v>C</x:v>
      </x:c>
      <x:c r="D559" s="7" t="str">
        <x:v>KOTA CIREBON</x:v>
      </x:c>
      <x:c r="E559" s="8">
        <x:v>29746</x:v>
      </x:c>
      <x:c r="F559" s="9">
        <x:v>19596071300</x:v>
      </x:c>
      <x:c r="G559" s="9">
        <x:v>23114802100.190006</x:v>
      </x:c>
      <x:c r="H559" s="10" t="n">
        <x:f>G559-F559</x:f>
        <x:v>3518730800.1900063</x:v>
      </x:c>
    </x:row>
    <x:row r="560">
      <x:c r="A560" s="7" t="str">
        <x:v>3274135</x:v>
      </x:c>
      <x:c r="B560" s="7" t="str">
        <x:v>RS Umum Sumber Hurip</x:v>
      </x:c>
      <x:c r="C560" s="7" t="str">
        <x:v>C</x:v>
      </x:c>
      <x:c r="D560" s="7" t="str">
        <x:v>KOTA CIREBON</x:v>
      </x:c>
      <x:c r="E560" s="8">
        <x:v>54847</x:v>
      </x:c>
      <x:c r="F560" s="9">
        <x:v>36985822800</x:v>
      </x:c>
      <x:c r="G560" s="9">
        <x:v>45933166893.309975</x:v>
      </x:c>
      <x:c r="H560" s="10" t="n">
        <x:f>G560-F560</x:f>
        <x:v>8947344093.309975</x:v>
      </x:c>
    </x:row>
    <x:row r="561">
      <x:c r="A561" s="7" t="str">
        <x:v>3274136</x:v>
      </x:c>
      <x:c r="B561" s="7" t="str">
        <x:v>RS Jantung Hasna Medika</x:v>
      </x:c>
      <x:c r="C561" s="7" t="str">
        <x:v>B</x:v>
      </x:c>
      <x:c r="D561" s="7" t="str">
        <x:v>KOTA CIREBON</x:v>
      </x:c>
      <x:c r="E561" s="8">
        <x:v>3447</x:v>
      </x:c>
      <x:c r="F561" s="9">
        <x:v>11709032000</x:v>
      </x:c>
      <x:c r="G561" s="9">
        <x:v>18291903877.080013</x:v>
      </x:c>
      <x:c r="H561" s="10" t="n">
        <x:f>G561-F561</x:f>
        <x:v>6582871877.080013</x:v>
      </x:c>
    </x:row>
    <x:row r="562">
      <x:c r="A562" s="7" t="str">
        <x:v>3274137</x:v>
      </x:c>
      <x:c r="B562" s="7" t="str">
        <x:v>RS Ibu dan Anak Cahaya Bunda</x:v>
      </x:c>
      <x:c r="C562" s="7" t="str">
        <x:v>C</x:v>
      </x:c>
      <x:c r="D562" s="7" t="str">
        <x:v>KOTA CIREBON</x:v>
      </x:c>
      <x:c r="E562" s="8">
        <x:v>3951</x:v>
      </x:c>
      <x:c r="F562" s="9">
        <x:v>4671542700</x:v>
      </x:c>
      <x:c r="G562" s="9">
        <x:v>5185487336.620001</x:v>
      </x:c>
      <x:c r="H562" s="10" t="n">
        <x:f>G562-F562</x:f>
        <x:v>513944636.62000084</x:v>
      </x:c>
    </x:row>
    <x:row r="563">
      <x:c r="A563" s="7" t="str">
        <x:v>3275013</x:v>
      </x:c>
      <x:c r="B563" s="7" t="str">
        <x:v>RS Umum Daerah dr. Chasbullah Abdulmadjid</x:v>
      </x:c>
      <x:c r="C563" s="7" t="str">
        <x:v>B</x:v>
      </x:c>
      <x:c r="D563" s="7" t="str">
        <x:v>KOTA BEKASI</x:v>
      </x:c>
      <x:c r="E563" s="8">
        <x:v>167561</x:v>
      </x:c>
      <x:c r="F563" s="9">
        <x:v>195977553600</x:v>
      </x:c>
      <x:c r="G563" s="9">
        <x:v>224870181230.66998</x:v>
      </x:c>
      <x:c r="H563" s="10" t="n">
        <x:f>G563-F563</x:f>
        <x:v>28892627630.669983</x:v>
      </x:c>
    </x:row>
    <x:row r="564">
      <x:c r="A564" s="7" t="str">
        <x:v>3275017</x:v>
      </x:c>
      <x:c r="B564" s="7" t="str">
        <x:v>RS Karunia Kasih</x:v>
      </x:c>
      <x:c r="C564" s="7" t="str">
        <x:v>C</x:v>
      </x:c>
      <x:c r="D564" s="7" t="str">
        <x:v>KOTA BEKASI</x:v>
      </x:c>
      <x:c r="E564" s="8">
        <x:v>45012</x:v>
      </x:c>
      <x:c r="F564" s="9">
        <x:v>24363723400</x:v>
      </x:c>
      <x:c r="G564" s="9">
        <x:v>28804356468.74001</x:v>
      </x:c>
      <x:c r="H564" s="10" t="n">
        <x:f>G564-F564</x:f>
        <x:v>4440633068.740009</x:v>
      </x:c>
    </x:row>
    <x:row r="565">
      <x:c r="A565" s="7" t="str">
        <x:v>3275024</x:v>
      </x:c>
      <x:c r="B565" s="7" t="str">
        <x:v>RS Mekar Sari</x:v>
      </x:c>
      <x:c r="C565" s="7" t="str">
        <x:v>C</x:v>
      </x:c>
      <x:c r="D565" s="7" t="str">
        <x:v>KOTA BEKASI</x:v>
      </x:c>
      <x:c r="E565" s="8">
        <x:v>56737</x:v>
      </x:c>
      <x:c r="F565" s="9">
        <x:v>33435560650</x:v>
      </x:c>
      <x:c r="G565" s="9">
        <x:v>39423906585.320015</x:v>
      </x:c>
      <x:c r="H565" s="10" t="n">
        <x:f>G565-F565</x:f>
        <x:v>5988345935.320015</x:v>
      </x:c>
    </x:row>
    <x:row r="566">
      <x:c r="A566" s="7" t="str">
        <x:v>3275035</x:v>
      </x:c>
      <x:c r="B566" s="7" t="str">
        <x:v>RS Siloam Sentosa</x:v>
      </x:c>
      <x:c r="C566" s="7" t="str">
        <x:v>C</x:v>
      </x:c>
      <x:c r="D566" s="7" t="str">
        <x:v>KOTA BEKASI</x:v>
      </x:c>
      <x:c r="E566" s="8">
        <x:v>76726</x:v>
      </x:c>
      <x:c r="F566" s="9">
        <x:v>43392058200</x:v>
      </x:c>
      <x:c r="G566" s="9">
        <x:v>50053666995.77</x:v>
      </x:c>
      <x:c r="H566" s="10" t="n">
        <x:f>G566-F566</x:f>
        <x:v>6661608795.769997</x:v>
      </x:c>
    </x:row>
    <x:row r="567">
      <x:c r="A567" s="7" t="str">
        <x:v>3275039</x:v>
      </x:c>
      <x:c r="B567" s="7" t="str">
        <x:v>RS Umum Masmitra</x:v>
      </x:c>
      <x:c r="C567" s="7" t="str">
        <x:v>C</x:v>
      </x:c>
      <x:c r="D567" s="7" t="str">
        <x:v>KOTA BEKASI</x:v>
      </x:c>
      <x:c r="E567" s="8">
        <x:v>51450</x:v>
      </x:c>
      <x:c r="F567" s="9">
        <x:v>26106717550</x:v>
      </x:c>
      <x:c r="G567" s="9">
        <x:v>30986171834.699997</x:v>
      </x:c>
      <x:c r="H567" s="10" t="n">
        <x:f>G567-F567</x:f>
        <x:v>4879454284.699997</x:v>
      </x:c>
    </x:row>
    <x:row r="568">
      <x:c r="A568" s="7" t="str">
        <x:v>3275046</x:v>
      </x:c>
      <x:c r="B568" s="7" t="str">
        <x:v>RS Umum Mitra Keluarga Bekasi Timur</x:v>
      </x:c>
      <x:c r="C568" s="7" t="str">
        <x:v>B</x:v>
      </x:c>
      <x:c r="D568" s="7" t="str">
        <x:v>KOTA BEKASI</x:v>
      </x:c>
      <x:c r="E568" s="8">
        <x:v>22184</x:v>
      </x:c>
      <x:c r="F568" s="9">
        <x:v>22330809300</x:v>
      </x:c>
      <x:c r="G568" s="9">
        <x:v>23030633438.079998</x:v>
      </x:c>
      <x:c r="H568" s="10" t="n">
        <x:f>G568-F568</x:f>
        <x:v>699824138.079998</x:v>
      </x:c>
    </x:row>
    <x:row r="569">
      <x:c r="A569" s="7" t="str">
        <x:v>3275052</x:v>
      </x:c>
      <x:c r="B569" s="7" t="str">
        <x:v>RS Umum Juwita</x:v>
      </x:c>
      <x:c r="C569" s="7" t="str">
        <x:v>C</x:v>
      </x:c>
      <x:c r="D569" s="7" t="str">
        <x:v>KOTA BEKASI</x:v>
      </x:c>
      <x:c r="E569" s="8">
        <x:v>21772</x:v>
      </x:c>
      <x:c r="F569" s="9">
        <x:v>14769146450</x:v>
      </x:c>
      <x:c r="G569" s="9">
        <x:v>18239114852.980003</x:v>
      </x:c>
      <x:c r="H569" s="10" t="n">
        <x:f>G569-F569</x:f>
        <x:v>3469968402.9800034</x:v>
      </x:c>
    </x:row>
    <x:row r="570">
      <x:c r="A570" s="7" t="str">
        <x:v>3275053</x:v>
      </x:c>
      <x:c r="B570" s="7" t="str">
        <x:v>RS Umum Taman Harapan Baru</x:v>
      </x:c>
      <x:c r="C570" s="7" t="str">
        <x:v>C</x:v>
      </x:c>
      <x:c r="D570" s="7" t="str">
        <x:v>KOTA BEKASI</x:v>
      </x:c>
      <x:c r="E570" s="8">
        <x:v>29640</x:v>
      </x:c>
      <x:c r="F570" s="9">
        <x:v>22703190300</x:v>
      </x:c>
      <x:c r="G570" s="9">
        <x:v>26084795483.150005</x:v>
      </x:c>
      <x:c r="H570" s="10" t="n">
        <x:f>G570-F570</x:f>
        <x:v>3381605183.1500053</x:v>
      </x:c>
    </x:row>
    <x:row r="571">
      <x:c r="A571" s="7" t="str">
        <x:v>3275054</x:v>
      </x:c>
      <x:c r="B571" s="7" t="str">
        <x:v>RS DKH Kedungwaringin</x:v>
      </x:c>
      <x:c r="C571" s="7" t="str">
        <x:v>C</x:v>
      </x:c>
      <x:c r="D571" s="7" t="str">
        <x:v>BEKASI</x:v>
      </x:c>
      <x:c r="E571" s="8">
        <x:v>9267</x:v>
      </x:c>
      <x:c r="F571" s="9">
        <x:v>13185756600</x:v>
      </x:c>
      <x:c r="G571" s="9">
        <x:v>16193500057.759998</x:v>
      </x:c>
      <x:c r="H571" s="10" t="n">
        <x:f>G571-F571</x:f>
        <x:v>3007743457.7599983</x:v>
      </x:c>
    </x:row>
    <x:row r="572">
      <x:c r="A572" s="7" t="str">
        <x:v>3275057</x:v>
      </x:c>
      <x:c r="B572" s="7" t="str">
        <x:v>RS Umum Karya Medika Bantar Gebang</x:v>
      </x:c>
      <x:c r="C572" s="7" t="str">
        <x:v>C</x:v>
      </x:c>
      <x:c r="D572" s="7" t="str">
        <x:v>KOTA BEKASI</x:v>
      </x:c>
      <x:c r="E572" s="8">
        <x:v>15808</x:v>
      </x:c>
      <x:c r="F572" s="9">
        <x:v>13955425500</x:v>
      </x:c>
      <x:c r="G572" s="9">
        <x:v>16121813593.98</x:v>
      </x:c>
      <x:c r="H572" s="10" t="n">
        <x:f>G572-F572</x:f>
        <x:v>2166388093.9799995</x:v>
      </x:c>
    </x:row>
    <x:row r="573">
      <x:c r="A573" s="7" t="str">
        <x:v>3275060</x:v>
      </x:c>
      <x:c r="B573" s="7" t="str">
        <x:v>RS Umum Satria Medika</x:v>
      </x:c>
      <x:c r="C573" s="7" t="str">
        <x:v>C</x:v>
      </x:c>
      <x:c r="D573" s="7" t="str">
        <x:v>KOTA BEKASI</x:v>
      </x:c>
      <x:c r="E573" s="8">
        <x:v>16680</x:v>
      </x:c>
      <x:c r="F573" s="9">
        <x:v>16216086350</x:v>
      </x:c>
      <x:c r="G573" s="9">
        <x:v>18824351523.149998</x:v>
      </x:c>
      <x:c r="H573" s="10" t="n">
        <x:f>G573-F573</x:f>
        <x:v>2608265173.1499977</x:v>
      </x:c>
    </x:row>
    <x:row r="574">
      <x:c r="A574" s="7" t="str">
        <x:v>3275061</x:v>
      </x:c>
      <x:c r="B574" s="7" t="str">
        <x:v>RS Helsa</x:v>
      </x:c>
      <x:c r="C574" s="7" t="str">
        <x:v>C</x:v>
      </x:c>
      <x:c r="D574" s="7" t="str">
        <x:v>KOTA BEKASI</x:v>
      </x:c>
      <x:c r="E574" s="8">
        <x:v>51382</x:v>
      </x:c>
      <x:c r="F574" s="9">
        <x:v>31476655500</x:v>
      </x:c>
      <x:c r="G574" s="9">
        <x:v>35885731420.98</x:v>
      </x:c>
      <x:c r="H574" s="10" t="n">
        <x:f>G574-F574</x:f>
        <x:v>4409075920.980003</x:v>
      </x:c>
    </x:row>
    <x:row r="575">
      <x:c r="A575" s="7" t="str">
        <x:v>3275062</x:v>
      </x:c>
      <x:c r="B575" s="7" t="str">
        <x:v>RS Siloam Bekasi Timur</x:v>
      </x:c>
      <x:c r="C575" s="7" t="str">
        <x:v>C</x:v>
      </x:c>
      <x:c r="D575" s="7" t="str">
        <x:v>KOTA BEKASI</x:v>
      </x:c>
      <x:c r="E575" s="8">
        <x:v>49526</x:v>
      </x:c>
      <x:c r="F575" s="9">
        <x:v>30628537600</x:v>
      </x:c>
      <x:c r="G575" s="9">
        <x:v>34207104964.37</x:v>
      </x:c>
      <x:c r="H575" s="10" t="n">
        <x:f>G575-F575</x:f>
        <x:v>3578567364.369999</x:v>
      </x:c>
    </x:row>
    <x:row r="576">
      <x:c r="A576" s="7" t="str">
        <x:v>3275063</x:v>
      </x:c>
      <x:c r="B576" s="7" t="str">
        <x:v>RS Primaya</x:v>
      </x:c>
      <x:c r="C576" s="7" t="str">
        <x:v>B</x:v>
      </x:c>
      <x:c r="D576" s="7" t="str">
        <x:v>KOTA BEKASI</x:v>
      </x:c>
      <x:c r="E576" s="8">
        <x:v>86343</x:v>
      </x:c>
      <x:c r="F576" s="9">
        <x:v>81777869120</x:v>
      </x:c>
      <x:c r="G576" s="9">
        <x:v>85792867985.26003</x:v>
      </x:c>
      <x:c r="H576" s="10" t="n">
        <x:f>G576-F576</x:f>
        <x:v>4014998865.260025</x:v>
      </x:c>
    </x:row>
    <x:row r="577">
      <x:c r="A577" s="7" t="str">
        <x:v>3275064</x:v>
      </x:c>
      <x:c r="B577" s="7" t="str">
        <x:v>RS Nusantara</x:v>
      </x:c>
      <x:c r="C577" s="7" t="str">
        <x:v>D</x:v>
      </x:c>
      <x:c r="D577" s="7" t="str">
        <x:v>KOTA BEKASI</x:v>
      </x:c>
      <x:c r="E577" s="8">
        <x:v>9319</x:v>
      </x:c>
      <x:c r="F577" s="9">
        <x:v>10254055100</x:v>
      </x:c>
      <x:c r="G577" s="9">
        <x:v>13722529306.330008</x:v>
      </x:c>
      <x:c r="H577" s="10" t="n">
        <x:f>G577-F577</x:f>
        <x:v>3468474206.3300076</x:v>
      </x:c>
    </x:row>
    <x:row r="578">
      <x:c r="A578" s="7" t="str">
        <x:v>3275065</x:v>
      </x:c>
      <x:c r="B578" s="7" t="str">
        <x:v>RS Primaya Bekasi Utara</x:v>
      </x:c>
      <x:c r="C578" s="7" t="str">
        <x:v>C</x:v>
      </x:c>
      <x:c r="D578" s="7" t="str">
        <x:v>KOTA BEKASI</x:v>
      </x:c>
      <x:c r="E578" s="8">
        <x:v>100991</x:v>
      </x:c>
      <x:c r="F578" s="9">
        <x:v>61991938650</x:v>
      </x:c>
      <x:c r="G578" s="9">
        <x:v>67224109382.45</x:v>
      </x:c>
      <x:c r="H578" s="10" t="n">
        <x:f>G578-F578</x:f>
        <x:v>5232170732.449997</x:v>
      </x:c>
    </x:row>
    <x:row r="579">
      <x:c r="A579" s="7" t="str">
        <x:v>3275066</x:v>
      </x:c>
      <x:c r="B579" s="7" t="str">
        <x:v>RS Umum Daerah Jatisampurna</x:v>
      </x:c>
      <x:c r="C579" s="7" t="str">
        <x:v>D</x:v>
      </x:c>
      <x:c r="D579" s="7" t="str">
        <x:v>KOTA BEKASI</x:v>
      </x:c>
      <x:c r="E579" s="8">
        <x:v>25850</x:v>
      </x:c>
      <x:c r="F579" s="9">
        <x:v>10812191900</x:v>
      </x:c>
      <x:c r="G579" s="9">
        <x:v>15412927562.990005</x:v>
      </x:c>
      <x:c r="H579" s="10" t="n">
        <x:f>G579-F579</x:f>
        <x:v>4600735662.9900055</x:v>
      </x:c>
    </x:row>
    <x:row r="580">
      <x:c r="A580" s="7" t="str">
        <x:v>3275067</x:v>
      </x:c>
      <x:c r="B580" s="7" t="str">
        <x:v>RS Umum Daerah Pondokgede</x:v>
      </x:c>
      <x:c r="C580" s="7" t="str">
        <x:v>D</x:v>
      </x:c>
      <x:c r="D580" s="7" t="str">
        <x:v>KOTA BEKASI</x:v>
      </x:c>
      <x:c r="E580" s="8">
        <x:v>14415</x:v>
      </x:c>
      <x:c r="F580" s="9">
        <x:v>8654862800</x:v>
      </x:c>
      <x:c r="G580" s="9">
        <x:v>12951773326.550005</x:v>
      </x:c>
      <x:c r="H580" s="10" t="n">
        <x:f>G580-F580</x:f>
        <x:v>4296910526.550005</x:v>
      </x:c>
    </x:row>
    <x:row r="581">
      <x:c r="A581" s="7" t="str">
        <x:v>3275068</x:v>
      </x:c>
      <x:c r="B581" s="7" t="str">
        <x:v>RS Umum Daerah Bantar Gebang</x:v>
      </x:c>
      <x:c r="C581" s="7" t="str">
        <x:v>D</x:v>
      </x:c>
      <x:c r="D581" s="7" t="str">
        <x:v>KOTA BEKASI</x:v>
      </x:c>
      <x:c r="E581" s="8">
        <x:v>9840</x:v>
      </x:c>
      <x:c r="F581" s="9">
        <x:v>6900518200</x:v>
      </x:c>
      <x:c r="G581" s="9">
        <x:v>9782004993.749996</x:v>
      </x:c>
      <x:c r="H581" s="10" t="n">
        <x:f>G581-F581</x:f>
        <x:v>2881486793.749996</x:v>
      </x:c>
    </x:row>
    <x:row r="582">
      <x:c r="A582" s="7" t="str">
        <x:v>3275070</x:v>
      </x:c>
      <x:c r="B582" s="7" t="str">
        <x:v>RS umum Daerah Teluk Pucung</x:v>
      </x:c>
      <x:c r="C582" s="7" t="str">
        <x:v>D</x:v>
      </x:c>
      <x:c r="D582" s="7" t="str">
        <x:v>KOTA BEKASI</x:v>
      </x:c>
      <x:c r="E582" s="8">
        <x:v>4379</x:v>
      </x:c>
      <x:c r="F582" s="9">
        <x:v>3108926000</x:v>
      </x:c>
      <x:c r="G582" s="9">
        <x:v>4281673213.110001</x:v>
      </x:c>
      <x:c r="H582" s="10" t="n">
        <x:f>G582-F582</x:f>
        <x:v>1172747213.110001</x:v>
      </x:c>
    </x:row>
    <x:row r="583">
      <x:c r="A583" s="7" t="str">
        <x:v>3275083</x:v>
      </x:c>
      <x:c r="B583" s="7" t="str">
        <x:v>RS Seto Hasbadi</x:v>
      </x:c>
      <x:c r="C583" s="7" t="str">
        <x:v>D</x:v>
      </x:c>
      <x:c r="D583" s="7" t="str">
        <x:v>KOTA BEKASI</x:v>
      </x:c>
      <x:c r="E583" s="8">
        <x:v>12556</x:v>
      </x:c>
      <x:c r="F583" s="9">
        <x:v>11762564300</x:v>
      </x:c>
      <x:c r="G583" s="9">
        <x:v>14629385847.309996</x:v>
      </x:c>
      <x:c r="H583" s="10" t="n">
        <x:f>G583-F583</x:f>
        <x:v>2866821547.3099957</x:v>
      </x:c>
    </x:row>
    <x:row r="584">
      <x:c r="A584" s="7" t="str">
        <x:v>3275115</x:v>
      </x:c>
      <x:c r="B584" s="7" t="str">
        <x:v>RS Umum Hermina Bekasi</x:v>
      </x:c>
      <x:c r="C584" s="7" t="str">
        <x:v>B</x:v>
      </x:c>
      <x:c r="D584" s="7" t="str">
        <x:v>KOTA BEKASI</x:v>
      </x:c>
      <x:c r="E584" s="8">
        <x:v>194383</x:v>
      </x:c>
      <x:c r="F584" s="9">
        <x:v>243047031800</x:v>
      </x:c>
      <x:c r="G584" s="9">
        <x:v>258332261346.42</x:v>
      </x:c>
      <x:c r="H584" s="10" t="n">
        <x:f>G584-F584</x:f>
        <x:v>15285229546.420013</x:v>
      </x:c>
    </x:row>
    <x:row r="585">
      <x:c r="A585" s="7" t="str">
        <x:v>3275130</x:v>
      </x:c>
      <x:c r="B585" s="7" t="str">
        <x:v>RS Umum Bhakti Kartini</x:v>
      </x:c>
      <x:c r="C585" s="7" t="str">
        <x:v>C</x:v>
      </x:c>
      <x:c r="D585" s="7" t="str">
        <x:v>KOTA BEKASI</x:v>
      </x:c>
      <x:c r="E585" s="8">
        <x:v>58929</x:v>
      </x:c>
      <x:c r="F585" s="9">
        <x:v>37878439000</x:v>
      </x:c>
      <x:c r="G585" s="9">
        <x:v>41077715610.369995</x:v>
      </x:c>
      <x:c r="H585" s="10" t="n">
        <x:f>G585-F585</x:f>
        <x:v>3199276610.369995</x:v>
      </x:c>
    </x:row>
    <x:row r="586">
      <x:c r="A586" s="7" t="str">
        <x:v>3275141</x:v>
      </x:c>
      <x:c r="B586" s="7" t="str">
        <x:v>RS Umum Permata Bekasi</x:v>
      </x:c>
      <x:c r="C586" s="7" t="str">
        <x:v>C</x:v>
      </x:c>
      <x:c r="D586" s="7" t="str">
        <x:v>KOTA BEKASI</x:v>
      </x:c>
      <x:c r="E586" s="8">
        <x:v>93273</x:v>
      </x:c>
      <x:c r="F586" s="9">
        <x:v>56908297700</x:v>
      </x:c>
      <x:c r="G586" s="9">
        <x:v>65419293868.149994</x:v>
      </x:c>
      <x:c r="H586" s="10" t="n">
        <x:f>G586-F586</x:f>
        <x:v>8510996168.149994</x:v>
      </x:c>
    </x:row>
    <x:row r="587">
      <x:c r="A587" s="7" t="str">
        <x:v>3275196</x:v>
      </x:c>
      <x:c r="B587" s="7" t="str">
        <x:v>RS Umum Bella</x:v>
      </x:c>
      <x:c r="C587" s="7" t="str">
        <x:v>C</x:v>
      </x:c>
      <x:c r="D587" s="7" t="str">
        <x:v>KOTA BEKASI</x:v>
      </x:c>
      <x:c r="E587" s="8">
        <x:v>70602</x:v>
      </x:c>
      <x:c r="F587" s="9">
        <x:v>27885188500</x:v>
      </x:c>
      <x:c r="G587" s="9">
        <x:v>31154237233.909996</x:v>
      </x:c>
      <x:c r="H587" s="10" t="n">
        <x:f>G587-F587</x:f>
        <x:v>3269048733.909996</x:v>
      </x:c>
    </x:row>
    <x:row r="588">
      <x:c r="A588" s="7" t="str">
        <x:v>3275207</x:v>
      </x:c>
      <x:c r="B588" s="7" t="str">
        <x:v>RS Umum Graha Juanda</x:v>
      </x:c>
      <x:c r="C588" s="7" t="str">
        <x:v>C</x:v>
      </x:c>
      <x:c r="D588" s="7" t="str">
        <x:v>KOTA BEKASI</x:v>
      </x:c>
      <x:c r="E588" s="8">
        <x:v>7972</x:v>
      </x:c>
      <x:c r="F588" s="9">
        <x:v>5666566100</x:v>
      </x:c>
      <x:c r="G588" s="9">
        <x:v>6609344033.870002</x:v>
      </x:c>
      <x:c r="H588" s="10" t="n">
        <x:f>G588-F588</x:f>
        <x:v>942777933.8700018</x:v>
      </x:c>
    </x:row>
    <x:row r="589">
      <x:c r="A589" s="7" t="str">
        <x:v>3275229</x:v>
      </x:c>
      <x:c r="B589" s="7" t="str">
        <x:v>RS Umum Anna</x:v>
      </x:c>
      <x:c r="C589" s="7" t="str">
        <x:v>C</x:v>
      </x:c>
      <x:c r="D589" s="7" t="str">
        <x:v>KOTA BEKASI</x:v>
      </x:c>
      <x:c r="E589" s="8">
        <x:v>58590</x:v>
      </x:c>
      <x:c r="F589" s="9">
        <x:v>40014686250</x:v>
      </x:c>
      <x:c r="G589" s="9">
        <x:v>45056120462.149994</x:v>
      </x:c>
      <x:c r="H589" s="10" t="n">
        <x:f>G589-F589</x:f>
        <x:v>5041434212.149994</x:v>
      </x:c>
    </x:row>
    <x:row r="590">
      <x:c r="A590" s="7" t="str">
        <x:v>3275263</x:v>
      </x:c>
      <x:c r="B590" s="7" t="str">
        <x:v>RS Umum Citra Harapan</x:v>
      </x:c>
      <x:c r="C590" s="7" t="str">
        <x:v>C</x:v>
      </x:c>
      <x:c r="D590" s="7" t="str">
        <x:v>KOTA BEKASI</x:v>
      </x:c>
      <x:c r="E590" s="8">
        <x:v>48139</x:v>
      </x:c>
      <x:c r="F590" s="9">
        <x:v>33158430350</x:v>
      </x:c>
      <x:c r="G590" s="9">
        <x:v>35780079109.25001</x:v>
      </x:c>
      <x:c r="H590" s="10" t="n">
        <x:f>G590-F590</x:f>
        <x:v>2621648759.2500076</x:v>
      </x:c>
    </x:row>
    <x:row r="591">
      <x:c r="A591" s="7" t="str">
        <x:v>3275274</x:v>
      </x:c>
      <x:c r="B591" s="7" t="str">
        <x:v>RS Umum Jati Sampurna</x:v>
      </x:c>
      <x:c r="C591" s="7" t="str">
        <x:v>C</x:v>
      </x:c>
      <x:c r="D591" s="7" t="str">
        <x:v>KOTA BEKASI</x:v>
      </x:c>
      <x:c r="E591" s="8">
        <x:v>46085</x:v>
      </x:c>
      <x:c r="F591" s="9">
        <x:v>29606146500</x:v>
      </x:c>
      <x:c r="G591" s="9">
        <x:v>31971363652.430004</x:v>
      </x:c>
      <x:c r="H591" s="10" t="n">
        <x:f>G591-F591</x:f>
        <x:v>2365217152.430004</x:v>
      </x:c>
    </x:row>
    <x:row r="592">
      <x:c r="A592" s="7" t="str">
        <x:v>3275296</x:v>
      </x:c>
      <x:c r="B592" s="7" t="str">
        <x:v>RS Umum Islam dr. Subki Abdulkadir</x:v>
      </x:c>
      <x:c r="C592" s="7" t="str">
        <x:v>D</x:v>
      </x:c>
      <x:c r="D592" s="7" t="str">
        <x:v>KOTA BEKASI</x:v>
      </x:c>
      <x:c r="E592" s="8">
        <x:v>3741</x:v>
      </x:c>
      <x:c r="F592" s="9">
        <x:v>1921444300</x:v>
      </x:c>
      <x:c r="G592" s="9">
        <x:v>2512797673.600001</x:v>
      </x:c>
      <x:c r="H592" s="10" t="n">
        <x:f>G592-F592</x:f>
        <x:v>591353373.6000009</x:v>
      </x:c>
    </x:row>
    <x:row r="593">
      <x:c r="A593" s="7" t="str">
        <x:v>3275307</x:v>
      </x:c>
      <x:c r="B593" s="7" t="str">
        <x:v>RS Siloam Bekasi Sepanjang Jaya</x:v>
      </x:c>
      <x:c r="C593" s="7" t="str">
        <x:v>C</x:v>
      </x:c>
      <x:c r="D593" s="7" t="str">
        <x:v>KOTA BEKASI</x:v>
      </x:c>
      <x:c r="E593" s="8">
        <x:v>95413</x:v>
      </x:c>
      <x:c r="F593" s="9">
        <x:v>55636963100</x:v>
      </x:c>
      <x:c r="G593" s="9">
        <x:v>61571365568.84999</x:v>
      </x:c>
      <x:c r="H593" s="10" t="n">
        <x:f>G593-F593</x:f>
        <x:v>5934402468.849991</x:v>
      </x:c>
    </x:row>
    <x:row r="594">
      <x:c r="A594" s="7" t="str">
        <x:v>3275390</x:v>
      </x:c>
      <x:c r="B594" s="7" t="str">
        <x:v>RS Ibu dan Anak Selasih Medika</x:v>
      </x:c>
      <x:c r="C594" s="7" t="str">
        <x:v>C</x:v>
      </x:c>
      <x:c r="D594" s="7" t="str">
        <x:v>KOTA BEKASI</x:v>
      </x:c>
      <x:c r="E594" s="8">
        <x:v>11299</x:v>
      </x:c>
      <x:c r="F594" s="9">
        <x:v>10857164100</x:v>
      </x:c>
      <x:c r="G594" s="9">
        <x:v>12858906122.8</x:v>
      </x:c>
      <x:c r="H594" s="10" t="n">
        <x:f>G594-F594</x:f>
        <x:v>2001742022.7999992</x:v>
      </x:c>
    </x:row>
    <x:row r="595">
      <x:c r="A595" s="7" t="str">
        <x:v>3275392</x:v>
      </x:c>
      <x:c r="B595" s="7" t="str">
        <x:v>RS Primaya Bekasi Barat</x:v>
      </x:c>
      <x:c r="C595" s="7" t="str">
        <x:v>A</x:v>
      </x:c>
      <x:c r="D595" s="7" t="str">
        <x:v>KOTA BEKASI</x:v>
      </x:c>
      <x:c r="E595" s="8">
        <x:v>80695</x:v>
      </x:c>
      <x:c r="F595" s="9">
        <x:v>183509340675</x:v>
      </x:c>
      <x:c r="G595" s="9">
        <x:v>149305712497.20996</x:v>
      </x:c>
      <x:c r="H595" s="10" t="n">
        <x:f>G595-F595</x:f>
        <x:v>-34203628177.79004</x:v>
      </x:c>
    </x:row>
    <x:row r="596">
      <x:c r="A596" s="7" t="str">
        <x:v>3275403</x:v>
      </x:c>
      <x:c r="B596" s="7" t="str">
        <x:v>RS Ibu dan Anak Rinova Intan</x:v>
      </x:c>
      <x:c r="C596" s="7" t="str">
        <x:v>C</x:v>
      </x:c>
      <x:c r="D596" s="7" t="str">
        <x:v>KOTA BEKASI</x:v>
      </x:c>
      <x:c r="E596" s="8">
        <x:v>732</x:v>
      </x:c>
      <x:c r="F596" s="9">
        <x:v>1022792400</x:v>
      </x:c>
      <x:c r="G596" s="9">
        <x:v>1236099342.6399999</x:v>
      </x:c>
      <x:c r="H596" s="10" t="n">
        <x:f>G596-F596</x:f>
        <x:v>213306942.63999987</x:v>
      </x:c>
    </x:row>
    <x:row r="597">
      <x:c r="A597" s="7" t="str">
        <x:v>3275414</x:v>
      </x:c>
      <x:c r="B597" s="7" t="str">
        <x:v>RS CItra Arafiq Bekasi</x:v>
      </x:c>
      <x:c r="C597" s="7" t="str">
        <x:v>C</x:v>
      </x:c>
      <x:c r="D597" s="7" t="str">
        <x:v>KOTA BEKASI</x:v>
      </x:c>
      <x:c r="E597" s="8">
        <x:v>13836</x:v>
      </x:c>
      <x:c r="F597" s="9">
        <x:v>21690787800</x:v>
      </x:c>
      <x:c r="G597" s="9">
        <x:v>24861885032.590008</x:v>
      </x:c>
      <x:c r="H597" s="10" t="n">
        <x:f>G597-F597</x:f>
        <x:v>3171097232.590008</x:v>
      </x:c>
    </x:row>
    <x:row r="598">
      <x:c r="A598" s="7" t="str">
        <x:v>3275415</x:v>
      </x:c>
      <x:c r="B598" s="7" t="str">
        <x:v>RS Paramedika</x:v>
      </x:c>
      <x:c r="C598" s="7" t="str">
        <x:v>D</x:v>
      </x:c>
      <x:c r="D598" s="7" t="str">
        <x:v>KOTA BEKASI</x:v>
      </x:c>
      <x:c r="E598" s="8">
        <x:v>502</x:v>
      </x:c>
      <x:c r="F598" s="9">
        <x:v>631419200</x:v>
      </x:c>
      <x:c r="G598" s="9">
        <x:v>789517856.98</x:v>
      </x:c>
      <x:c r="H598" s="10" t="n">
        <x:f>G598-F598</x:f>
        <x:v>158098656.98000002</x:v>
      </x:c>
    </x:row>
    <x:row r="599">
      <x:c r="A599" s="7" t="str">
        <x:v>3276017</x:v>
      </x:c>
      <x:c r="B599" s="7" t="str">
        <x:v>RS Umum Sentra Medika</x:v>
      </x:c>
      <x:c r="C599" s="7" t="str">
        <x:v>B</x:v>
      </x:c>
      <x:c r="D599" s="7" t="str">
        <x:v>KOTA DEPOK</x:v>
      </x:c>
      <x:c r="E599" s="8">
        <x:v>84126</x:v>
      </x:c>
      <x:c r="F599" s="9">
        <x:v>113129284100</x:v>
      </x:c>
      <x:c r="G599" s="9">
        <x:v>122671427127.60999</x:v>
      </x:c>
      <x:c r="H599" s="10" t="n">
        <x:f>G599-F599</x:f>
        <x:v>9542143027.609985</x:v>
      </x:c>
    </x:row>
    <x:row r="600">
      <x:c r="A600" s="7" t="str">
        <x:v>3276028</x:v>
      </x:c>
      <x:c r="B600" s="7" t="str">
        <x:v>RS Umum Mitra Keluarga Depok</x:v>
      </x:c>
      <x:c r="C600" s="7" t="str">
        <x:v>C</x:v>
      </x:c>
      <x:c r="D600" s="7" t="str">
        <x:v>KOTA DEPOK</x:v>
      </x:c>
      <x:c r="E600" s="8">
        <x:v>12965</x:v>
      </x:c>
      <x:c r="F600" s="9">
        <x:v>9120018950</x:v>
      </x:c>
      <x:c r="G600" s="9">
        <x:v>11309942198.350004</x:v>
      </x:c>
      <x:c r="H600" s="10" t="n">
        <x:f>G600-F600</x:f>
        <x:v>2189923248.350004</x:v>
      </x:c>
    </x:row>
    <x:row r="601">
      <x:c r="A601" s="7" t="str">
        <x:v>3276039</x:v>
      </x:c>
      <x:c r="B601" s="7" t="str">
        <x:v>RS Umum Bhayangkara Brimob</x:v>
      </x:c>
      <x:c r="C601" s="7" t="str">
        <x:v>C</x:v>
      </x:c>
      <x:c r="D601" s="7" t="str">
        <x:v>KOTA DEPOK</x:v>
      </x:c>
      <x:c r="E601" s="8">
        <x:v>75568</x:v>
      </x:c>
      <x:c r="F601" s="9">
        <x:v>47394447900</x:v>
      </x:c>
      <x:c r="G601" s="9">
        <x:v>60090350512.229996</x:v>
      </x:c>
      <x:c r="H601" s="10" t="n">
        <x:f>G601-F601</x:f>
        <x:v>12695902612.229996</x:v>
      </x:c>
    </x:row>
    <x:row r="602">
      <x:c r="A602" s="7" t="str">
        <x:v>3276041</x:v>
      </x:c>
      <x:c r="B602" s="7" t="str">
        <x:v>RS Umum Grha Permata Ibu</x:v>
      </x:c>
      <x:c r="C602" s="7" t="str">
        <x:v>C</x:v>
      </x:c>
      <x:c r="D602" s="7" t="str">
        <x:v>KOTA DEPOK</x:v>
      </x:c>
      <x:c r="E602" s="8">
        <x:v>65958</x:v>
      </x:c>
      <x:c r="F602" s="9">
        <x:v>42480459500</x:v>
      </x:c>
      <x:c r="G602" s="9">
        <x:v>48570012039.66999</x:v>
      </x:c>
      <x:c r="H602" s="10" t="n">
        <x:f>G602-F602</x:f>
        <x:v>6089552539.669991</x:v>
      </x:c>
    </x:row>
    <x:row r="603">
      <x:c r="A603" s="7" t="str">
        <x:v>3276124</x:v>
      </x:c>
      <x:c r="B603" s="7" t="str">
        <x:v>RS Umum Daerah Khidmat Sehat Afiat Kota Depok</x:v>
      </x:c>
      <x:c r="C603" s="7" t="str">
        <x:v>C</x:v>
      </x:c>
      <x:c r="D603" s="7" t="str">
        <x:v>KOTA DEPOK</x:v>
      </x:c>
      <x:c r="E603" s="8">
        <x:v>88229</x:v>
      </x:c>
      <x:c r="F603" s="9">
        <x:v>66692863500</x:v>
      </x:c>
      <x:c r="G603" s="9">
        <x:v>86781997513.80998</x:v>
      </x:c>
      <x:c r="H603" s="10" t="n">
        <x:f>G603-F603</x:f>
        <x:v>20089134013.809982</x:v>
      </x:c>
    </x:row>
    <x:row r="604">
      <x:c r="A604" s="7" t="str">
        <x:v>3276135</x:v>
      </x:c>
      <x:c r="B604" s="7" t="str">
        <x:v>RS Umum Simpangan Depok</x:v>
      </x:c>
      <x:c r="C604" s="7" t="str">
        <x:v>C</x:v>
      </x:c>
      <x:c r="D604" s="7" t="str">
        <x:v>KOTA DEPOK</x:v>
      </x:c>
      <x:c r="E604" s="8">
        <x:v>30262</x:v>
      </x:c>
      <x:c r="F604" s="9">
        <x:v>18322447700</x:v>
      </x:c>
      <x:c r="G604" s="9">
        <x:v>21800110834.210007</x:v>
      </x:c>
      <x:c r="H604" s="10" t="n">
        <x:f>G604-F604</x:f>
        <x:v>3477663134.2100067</x:v>
      </x:c>
    </x:row>
    <x:row r="605">
      <x:c r="A605" s="7" t="str">
        <x:v>3276146</x:v>
      </x:c>
      <x:c r="B605" s="7" t="str">
        <x:v>RS Umum Hasanah Graha Afiah</x:v>
      </x:c>
      <x:c r="C605" s="7" t="str">
        <x:v>C</x:v>
      </x:c>
      <x:c r="D605" s="7" t="str">
        <x:v>KOTA DEPOK</x:v>
      </x:c>
      <x:c r="E605" s="8">
        <x:v>67007</x:v>
      </x:c>
      <x:c r="F605" s="9">
        <x:v>39776620100</x:v>
      </x:c>
      <x:c r="G605" s="9">
        <x:v>44055092233.69</x:v>
      </x:c>
      <x:c r="H605" s="10" t="n">
        <x:f>G605-F605</x:f>
        <x:v>4278472133.6900024</x:v>
      </x:c>
    </x:row>
    <x:row r="606">
      <x:c r="A606" s="7" t="str">
        <x:v>3276147</x:v>
      </x:c>
      <x:c r="B606" s="7" t="str">
        <x:v>RS Ibu dan Anak Asyifa Depok</x:v>
      </x:c>
      <x:c r="C606" s="7" t="str">
        <x:v>C</x:v>
      </x:c>
      <x:c r="D606" s="7" t="str">
        <x:v>KOTA DEPOK</x:v>
      </x:c>
      <x:c r="E606" s="8">
        <x:v>4009</x:v>
      </x:c>
      <x:c r="F606" s="9">
        <x:v>4012894100</x:v>
      </x:c>
      <x:c r="G606" s="9">
        <x:v>4710673766.889999</x:v>
      </x:c>
      <x:c r="H606" s="10" t="n">
        <x:f>G606-F606</x:f>
        <x:v>697779666.8899994</x:v>
      </x:c>
    </x:row>
    <x:row r="607">
      <x:c r="A607" s="7" t="str">
        <x:v>3276149</x:v>
      </x:c>
      <x:c r="B607" s="7" t="str">
        <x:v>RS Ibu dan Anak Setya Bhakti</x:v>
      </x:c>
      <x:c r="C607" s="7" t="str">
        <x:v>C</x:v>
      </x:c>
      <x:c r="D607" s="7" t="str">
        <x:v>KOTA DEPOK</x:v>
      </x:c>
      <x:c r="E607" s="8">
        <x:v>4607</x:v>
      </x:c>
      <x:c r="F607" s="9">
        <x:v>7859425400</x:v>
      </x:c>
      <x:c r="G607" s="9">
        <x:v>9128706263.27</x:v>
      </x:c>
      <x:c r="H607" s="10" t="n">
        <x:f>G607-F607</x:f>
        <x:v>1269280863.2700005</x:v>
      </x:c>
    </x:row>
    <x:row r="608">
      <x:c r="A608" s="7" t="str">
        <x:v>3276150</x:v>
      </x:c>
      <x:c r="B608" s="7" t="str">
        <x:v>RS Siloam Heart Hospital</x:v>
      </x:c>
      <x:c r="C608" s="7" t="str">
        <x:v>B</x:v>
      </x:c>
      <x:c r="D608" s="7" t="str">
        <x:v>KOTA DEPOK</x:v>
      </x:c>
      <x:c r="E608" s="8">
        <x:v>22675</x:v>
      </x:c>
      <x:c r="F608" s="9">
        <x:v>35727266100</x:v>
      </x:c>
      <x:c r="G608" s="9">
        <x:v>44785784666.47999</x:v>
      </x:c>
      <x:c r="H608" s="10" t="n">
        <x:f>G608-F608</x:f>
        <x:v>9058518566.479988</x:v>
      </x:c>
    </x:row>
    <x:row r="609">
      <x:c r="A609" s="7" t="str">
        <x:v>3276151</x:v>
      </x:c>
      <x:c r="B609" s="7" t="str">
        <x:v>RS Umum Permata Depok</x:v>
      </x:c>
      <x:c r="C609" s="7" t="str">
        <x:v>C</x:v>
      </x:c>
      <x:c r="D609" s="7" t="str">
        <x:v>KOTA DEPOK</x:v>
      </x:c>
      <x:c r="E609" s="8">
        <x:v>67058</x:v>
      </x:c>
      <x:c r="F609" s="9">
        <x:v>44182705000</x:v>
      </x:c>
      <x:c r="G609" s="9">
        <x:v>51719758357.619995</x:v>
      </x:c>
      <x:c r="H609" s="10" t="n">
        <x:f>G609-F609</x:f>
        <x:v>7537053357.619995</x:v>
      </x:c>
    </x:row>
    <x:row r="610">
      <x:c r="A610" s="7" t="str">
        <x:v>3276152</x:v>
      </x:c>
      <x:c r="B610" s="7" t="str">
        <x:v>RS Umum Citra Medika Depok</x:v>
      </x:c>
      <x:c r="C610" s="7" t="str">
        <x:v>C</x:v>
      </x:c>
      <x:c r="D610" s="7" t="str">
        <x:v>KOTA DEPOK</x:v>
      </x:c>
      <x:c r="E610" s="8">
        <x:v>6427</x:v>
      </x:c>
      <x:c r="F610" s="9">
        <x:v>4475677800</x:v>
      </x:c>
      <x:c r="G610" s="9">
        <x:v>6320632066.470001</x:v>
      </x:c>
      <x:c r="H610" s="10" t="n">
        <x:f>G610-F610</x:f>
        <x:v>1844954266.4700012</x:v>
      </x:c>
    </x:row>
    <x:row r="611">
      <x:c r="A611" s="7" t="str">
        <x:v>3276153</x:v>
      </x:c>
      <x:c r="B611" s="7" t="str">
        <x:v>RS Umum Citra Arafiq</x:v>
      </x:c>
      <x:c r="C611" s="7" t="str">
        <x:v>C</x:v>
      </x:c>
      <x:c r="D611" s="7" t="str">
        <x:v>KOTA DEPOK</x:v>
      </x:c>
      <x:c r="E611" s="8">
        <x:v>53127</x:v>
      </x:c>
      <x:c r="F611" s="9">
        <x:v>58754677800</x:v>
      </x:c>
      <x:c r="G611" s="9">
        <x:v>65749454230.29999</x:v>
      </x:c>
      <x:c r="H611" s="10" t="n">
        <x:f>G611-F611</x:f>
        <x:v>6994776430.299988</x:v>
      </x:c>
    </x:row>
    <x:row r="612">
      <x:c r="A612" s="7" t="str">
        <x:v>3276154</x:v>
      </x:c>
      <x:c r="B612" s="7" t="str">
        <x:v>RS Umum Alia Hospital</x:v>
      </x:c>
      <x:c r="C612" s="7" t="str">
        <x:v>B</x:v>
      </x:c>
      <x:c r="D612" s="7" t="str">
        <x:v>KOTA DEPOK</x:v>
      </x:c>
      <x:c r="E612" s="8">
        <x:v>50880</x:v>
      </x:c>
      <x:c r="F612" s="9">
        <x:v>47806207500</x:v>
      </x:c>
      <x:c r="G612" s="9">
        <x:v>47675784375.09998</x:v>
      </x:c>
      <x:c r="H612" s="10" t="n">
        <x:f>G612-F612</x:f>
        <x:v>-130423124.90001678</x:v>
      </x:c>
    </x:row>
    <x:row r="613">
      <x:c r="A613" s="7" t="str">
        <x:v>3276166</x:v>
      </x:c>
      <x:c r="B613" s="7" t="str">
        <x:v>RS Umum Citra Arafiq Sawangan</x:v>
      </x:c>
      <x:c r="C613" s="7" t="str">
        <x:v>C</x:v>
      </x:c>
      <x:c r="D613" s="7" t="str">
        <x:v>KOTA DEPOK</x:v>
      </x:c>
      <x:c r="E613" s="8">
        <x:v>37652</x:v>
      </x:c>
      <x:c r="F613" s="9">
        <x:v>37597410450</x:v>
      </x:c>
      <x:c r="G613" s="9">
        <x:v>44862877444.62</x:v>
      </x:c>
      <x:c r="H613" s="10" t="n">
        <x:f>G613-F613</x:f>
        <x:v>7265466994.620003</x:v>
      </x:c>
    </x:row>
    <x:row r="614">
      <x:c r="A614" s="7" t="str">
        <x:v>3276167</x:v>
      </x:c>
      <x:c r="B614" s="7" t="str">
        <x:v>RS Primaya Depok</x:v>
      </x:c>
      <x:c r="C614" s="7" t="str">
        <x:v>C</x:v>
      </x:c>
      <x:c r="D614" s="7" t="str">
        <x:v>KOTA DEPOK</x:v>
      </x:c>
      <x:c r="E614" s="8">
        <x:v>42616</x:v>
      </x:c>
      <x:c r="F614" s="9">
        <x:v>29518818350</x:v>
      </x:c>
      <x:c r="G614" s="9">
        <x:v>33592009446.82</x:v>
      </x:c>
      <x:c r="H614" s="10" t="n">
        <x:f>G614-F614</x:f>
        <x:v>4073191096.8199997</x:v>
      </x:c>
    </x:row>
    <x:row r="615">
      <x:c r="A615" s="7" t="str">
        <x:v>3276168</x:v>
      </x:c>
      <x:c r="B615" s="7" t="str">
        <x:v>RS Umum Daerah Anugerah Sehat Afiat</x:v>
      </x:c>
      <x:c r="C615" s="7" t="str">
        <x:v>C</x:v>
      </x:c>
      <x:c r="D615" s="7" t="str">
        <x:v>KOTA DEPOK</x:v>
      </x:c>
      <x:c r="E615" s="8">
        <x:v>18179</x:v>
      </x:c>
      <x:c r="F615" s="9">
        <x:v>17053879600</x:v>
      </x:c>
      <x:c r="G615" s="9">
        <x:v>22344791684.170002</x:v>
      </x:c>
      <x:c r="H615" s="10" t="n">
        <x:f>G615-F615</x:f>
        <x:v>5290912084.170002</x:v>
      </x:c>
    </x:row>
    <x:row r="616">
      <x:c r="A616" s="7" t="str">
        <x:v>3277018</x:v>
      </x:c>
      <x:c r="B616" s="7" t="str">
        <x:v>RS Umum Mitra Anugrah Lestari</x:v>
      </x:c>
      <x:c r="C616" s="7" t="str">
        <x:v>C</x:v>
      </x:c>
      <x:c r="D616" s="7" t="str">
        <x:v>KOTA CIMAHI</x:v>
      </x:c>
      <x:c r="E616" s="8">
        <x:v>26811</x:v>
      </x:c>
      <x:c r="F616" s="9">
        <x:v>13397213400</x:v>
      </x:c>
      <x:c r="G616" s="9">
        <x:v>15659867080.369999</x:v>
      </x:c>
      <x:c r="H616" s="10" t="n">
        <x:f>G616-F616</x:f>
        <x:v>2262653680.369999</x:v>
      </x:c>
    </x:row>
    <x:row r="617">
      <x:c r="A617" s="7" t="str">
        <x:v>3277019</x:v>
      </x:c>
      <x:c r="B617" s="7" t="str">
        <x:v>RS Umum Avisena</x:v>
      </x:c>
      <x:c r="C617" s="7" t="str">
        <x:v>C</x:v>
      </x:c>
      <x:c r="D617" s="7" t="str">
        <x:v>KOTA CIMAHI</x:v>
      </x:c>
      <x:c r="E617" s="8">
        <x:v>54339</x:v>
      </x:c>
      <x:c r="F617" s="9">
        <x:v>31256846700</x:v>
      </x:c>
      <x:c r="G617" s="9">
        <x:v>37930567930.659996</x:v>
      </x:c>
      <x:c r="H617" s="10" t="n">
        <x:f>G617-F617</x:f>
        <x:v>6673721230.659996</x:v>
      </x:c>
    </x:row>
    <x:row r="618">
      <x:c r="A618" s="7" t="str">
        <x:v>3277020</x:v>
      </x:c>
      <x:c r="B618" s="7" t="str">
        <x:v>RS Umum Daerah Cibabat</x:v>
      </x:c>
      <x:c r="C618" s="7" t="str">
        <x:v>B</x:v>
      </x:c>
      <x:c r="D618" s="7" t="str">
        <x:v>KOTA CIMAHI</x:v>
      </x:c>
      <x:c r="E618" s="8">
        <x:v>98385</x:v>
      </x:c>
      <x:c r="F618" s="9">
        <x:v>103622793580</x:v>
      </x:c>
      <x:c r="G618" s="9">
        <x:v>128322586134.3</x:v>
      </x:c>
      <x:c r="H618" s="10" t="n">
        <x:f>G618-F618</x:f>
        <x:v>24699792554.300003</x:v>
      </x:c>
    </x:row>
    <x:row r="619">
      <x:c r="A619" s="7" t="str">
        <x:v>3277021</x:v>
      </x:c>
      <x:c r="B619" s="7" t="str">
        <x:v>RS Umum Kasih Bunda</x:v>
      </x:c>
      <x:c r="C619" s="7" t="str">
        <x:v>C</x:v>
      </x:c>
      <x:c r="D619" s="7" t="str">
        <x:v>KOTA CIMAHI</x:v>
      </x:c>
      <x:c r="E619" s="8">
        <x:v>126618</x:v>
      </x:c>
      <x:c r="F619" s="9">
        <x:v>72127457800</x:v>
      </x:c>
      <x:c r="G619" s="9">
        <x:v>81591792561.02002</x:v>
      </x:c>
      <x:c r="H619" s="10" t="n">
        <x:f>G619-F619</x:f>
        <x:v>9464334761.02002</x:v>
      </x:c>
    </x:row>
    <x:row r="620">
      <x:c r="A620" s="7" t="str">
        <x:v>3277022</x:v>
      </x:c>
      <x:c r="B620" s="7" t="str">
        <x:v>RS Gigi dan Mulut Pendidikan Unjani</x:v>
      </x:c>
      <x:c r="C620" s="7" t="str">
        <x:v>B</x:v>
      </x:c>
      <x:c r="D620" s="7" t="str">
        <x:v>KOTA CIMAHI</x:v>
      </x:c>
      <x:c r="E620" s="8">
        <x:v>10869</x:v>
      </x:c>
      <x:c r="F620" s="9">
        <x:v>4593649900</x:v>
      </x:c>
      <x:c r="G620" s="9">
        <x:v>4969011630.650001</x:v>
      </x:c>
      <x:c r="H620" s="10" t="n">
        <x:f>G620-F620</x:f>
        <x:v>375361730.6500006</x:v>
      </x:c>
    </x:row>
    <x:row r="621">
      <x:c r="A621" s="7" t="str">
        <x:v>3277023</x:v>
      </x:c>
      <x:c r="B621" s="7" t="str">
        <x:v>RS Umum Baros</x:v>
      </x:c>
      <x:c r="C621" s="7" t="str">
        <x:v>D</x:v>
      </x:c>
      <x:c r="D621" s="7" t="str">
        <x:v>KOTA CIMAHI</x:v>
      </x:c>
      <x:c r="E621" s="8">
        <x:v>18590</x:v>
      </x:c>
      <x:c r="F621" s="9">
        <x:v>16430059300</x:v>
      </x:c>
      <x:c r="G621" s="9">
        <x:v>21081472125.97001</x:v>
      </x:c>
      <x:c r="H621" s="10" t="n">
        <x:f>G621-F621</x:f>
        <x:v>4651412825.970009</x:v>
      </x:c>
    </x:row>
    <x:row r="622">
      <x:c r="A622" s="7" t="str">
        <x:v>3277031</x:v>
      </x:c>
      <x:c r="B622" s="7" t="str">
        <x:v>RS Umum Tk. II Dustira</x:v>
      </x:c>
      <x:c r="C622" s="7" t="str">
        <x:v>B</x:v>
      </x:c>
      <x:c r="D622" s="7" t="str">
        <x:v>KOTA CIMAHI</x:v>
      </x:c>
      <x:c r="E622" s="8">
        <x:v>228175</x:v>
      </x:c>
      <x:c r="F622" s="9">
        <x:v>186614656735</x:v>
      </x:c>
      <x:c r="G622" s="9">
        <x:v>210148685672.5099</x:v>
      </x:c>
      <x:c r="H622" s="10" t="n">
        <x:f>G622-F622</x:f>
        <x:v>23534028937.509888</x:v>
      </x:c>
    </x:row>
    <x:row r="623">
      <x:c r="A623" s="7" t="str">
        <x:v>3278014</x:v>
      </x:c>
      <x:c r="B623" s="7" t="str">
        <x:v>RS Umum Tasik Medika Citratama (TMC)</x:v>
      </x:c>
      <x:c r="C623" s="7" t="str">
        <x:v>C</x:v>
      </x:c>
      <x:c r="D623" s="7" t="str">
        <x:v>KOTA TASIKMALAYA</x:v>
      </x:c>
      <x:c r="E623" s="8">
        <x:v>117801</x:v>
      </x:c>
      <x:c r="F623" s="9">
        <x:v>94556543300</x:v>
      </x:c>
      <x:c r="G623" s="9">
        <x:v>116714054920.17998</x:v>
      </x:c>
      <x:c r="H623" s="10" t="n">
        <x:f>G623-F623</x:f>
        <x:v>22157511620.179977</x:v>
      </x:c>
    </x:row>
    <x:row r="624">
      <x:c r="A624" s="7" t="str">
        <x:v>3278017</x:v>
      </x:c>
      <x:c r="B624" s="7" t="str">
        <x:v>RS Ibu dan Anak Widaningsih</x:v>
      </x:c>
      <x:c r="C624" s="7" t="str">
        <x:v>C</x:v>
      </x:c>
      <x:c r="D624" s="7" t="str">
        <x:v>KOTA TASIKMALAYA</x:v>
      </x:c>
      <x:c r="E624" s="8">
        <x:v>2737</x:v>
      </x:c>
      <x:c r="F624" s="9">
        <x:v>3566527200</x:v>
      </x:c>
      <x:c r="G624" s="9">
        <x:v>4186497329.0399985</x:v>
      </x:c>
      <x:c r="H624" s="10" t="n">
        <x:f>G624-F624</x:f>
        <x:v>619970129.0399985</x:v>
      </x:c>
    </x:row>
    <x:row r="625">
      <x:c r="A625" s="7" t="str">
        <x:v>3278018</x:v>
      </x:c>
      <x:c r="B625" s="7" t="str">
        <x:v>RS Umum Syifa Medina</x:v>
      </x:c>
      <x:c r="C625" s="7" t="str">
        <x:v>D</x:v>
      </x:c>
      <x:c r="D625" s="7" t="str">
        <x:v>KOTA TASIKMALAYA</x:v>
      </x:c>
      <x:c r="E625" s="8">
        <x:v>1296</x:v>
      </x:c>
      <x:c r="F625" s="9">
        <x:v>2257675900</x:v>
      </x:c>
      <x:c r="G625" s="9">
        <x:v>3327831176.3199987</x:v>
      </x:c>
      <x:c r="H625" s="10" t="n">
        <x:f>G625-F625</x:f>
        <x:v>1070155276.3199987</x:v>
      </x:c>
    </x:row>
    <x:row r="626">
      <x:c r="A626" s="7" t="str">
        <x:v>3278021</x:v>
      </x:c>
      <x:c r="B626" s="7" t="str">
        <x:v>RS Ibu dan Anak Bunda Aisyah</x:v>
      </x:c>
      <x:c r="C626" s="7" t="str">
        <x:v>C</x:v>
      </x:c>
      <x:c r="D626" s="7" t="str">
        <x:v>KOTA TASIKMALAYA</x:v>
      </x:c>
      <x:c r="E626" s="8">
        <x:v>8354</x:v>
      </x:c>
      <x:c r="F626" s="9">
        <x:v>16558556600</x:v>
      </x:c>
      <x:c r="G626" s="9">
        <x:v>19117498965.92</x:v>
      </x:c>
      <x:c r="H626" s="10" t="n">
        <x:f>G626-F626</x:f>
        <x:v>2558942365.919998</x:v>
      </x:c>
    </x:row>
    <x:row r="627">
      <x:c r="A627" s="7" t="str">
        <x:v>3278081</x:v>
      </x:c>
      <x:c r="B627" s="7" t="str">
        <x:v>RS Umum Prasetya Bunda</x:v>
      </x:c>
      <x:c r="C627" s="7" t="str">
        <x:v>C</x:v>
      </x:c>
      <x:c r="D627" s="7" t="str">
        <x:v>KOTA TASIKMALAYA</x:v>
      </x:c>
      <x:c r="E627" s="8">
        <x:v>30442</x:v>
      </x:c>
      <x:c r="F627" s="9">
        <x:v>27293144400</x:v>
      </x:c>
      <x:c r="G627" s="9">
        <x:v>32836331365.770008</x:v>
      </x:c>
      <x:c r="H627" s="10" t="n">
        <x:f>G627-F627</x:f>
        <x:v>5543186965.770008</x:v>
      </x:c>
    </x:row>
    <x:row r="628">
      <x:c r="A628" s="7" t="str">
        <x:v>3278082</x:v>
      </x:c>
      <x:c r="B628" s="7" t="str">
        <x:v>RS Umum Permata Bunda</x:v>
      </x:c>
      <x:c r="C628" s="7" t="str">
        <x:v>C</x:v>
      </x:c>
      <x:c r="D628" s="7" t="str">
        <x:v>KOTA TASIKMALAYA</x:v>
      </x:c>
      <x:c r="E628" s="8">
        <x:v>45433</x:v>
      </x:c>
      <x:c r="F628" s="9">
        <x:v>40700343400</x:v>
      </x:c>
      <x:c r="G628" s="9">
        <x:v>49377188684.18</x:v>
      </x:c>
      <x:c r="H628" s="10" t="n">
        <x:f>G628-F628</x:f>
        <x:v>8676845284.18</x:v>
      </x:c>
    </x:row>
    <x:row r="629">
      <x:c r="A629" s="7" t="str">
        <x:v>3278093</x:v>
      </x:c>
      <x:c r="B629" s="7" t="str">
        <x:v>RS Hermina Tasikmalaya</x:v>
      </x:c>
      <x:c r="C629" s="7" t="str">
        <x:v>C</x:v>
      </x:c>
      <x:c r="D629" s="7" t="str">
        <x:v>KOTA TASIKMALAYA</x:v>
      </x:c>
      <x:c r="E629" s="8">
        <x:v>36388</x:v>
      </x:c>
      <x:c r="F629" s="9">
        <x:v>45517093000</x:v>
      </x:c>
      <x:c r="G629" s="9">
        <x:v>55909898105.560005</x:v>
      </x:c>
      <x:c r="H629" s="10" t="n">
        <x:f>G629-F629</x:f>
        <x:v>10392805105.560005</x:v>
      </x:c>
    </x:row>
    <x:row r="630">
      <x:c r="A630" s="7" t="str">
        <x:v>3278094</x:v>
      </x:c>
      <x:c r="B630" s="7" t="str">
        <x:v>RS Jantung dan Pembuluh Darah Tasikmalaya</x:v>
      </x:c>
      <x:c r="C630" s="7" t="str">
        <x:v>B</x:v>
      </x:c>
      <x:c r="D630" s="7" t="str">
        <x:v>KOTA TASIKMALAYA</x:v>
      </x:c>
      <x:c r="E630" s="8">
        <x:v>36813</x:v>
      </x:c>
      <x:c r="F630" s="9">
        <x:v>54999937500</x:v>
      </x:c>
      <x:c r="G630" s="9">
        <x:v>78900408702.95999</x:v>
      </x:c>
      <x:c r="H630" s="10" t="n">
        <x:f>G630-F630</x:f>
        <x:v>23900471202.95999</x:v>
      </x:c>
    </x:row>
    <x:row r="631">
      <x:c r="A631" s="7" t="str">
        <x:v>3278095</x:v>
      </x:c>
      <x:c r="B631" s="7" t="str">
        <x:v>Rumah Sakit Umum Daerah Dewi Sartika</x:v>
      </x:c>
      <x:c r="C631" s="7" t="str">
        <x:v>D</x:v>
      </x:c>
      <x:c r="D631" s="7" t="str">
        <x:v>KOTA TASIKMALAYA</x:v>
      </x:c>
      <x:c r="E631" s="8">
        <x:v>241</x:v>
      </x:c>
      <x:c r="F631" s="9">
        <x:v>300225800</x:v>
      </x:c>
      <x:c r="G631" s="9">
        <x:v>430547118.22999996</x:v>
      </x:c>
      <x:c r="H631" s="10" t="n">
        <x:f>G631-F631</x:f>
        <x:v>130321318.22999996</x:v>
      </x:c>
    </x:row>
    <x:row r="632">
      <x:c r="A632" s="7" t="str">
        <x:v>3279002</x:v>
      </x:c>
      <x:c r="B632" s="7" t="str">
        <x:v>RS Umum Mitra Idaman</x:v>
      </x:c>
      <x:c r="C632" s="7" t="str">
        <x:v>D</x:v>
      </x:c>
      <x:c r="D632" s="7" t="str">
        <x:v>KOTA BANJAR</x:v>
      </x:c>
      <x:c r="E632" s="8">
        <x:v>45438</x:v>
      </x:c>
      <x:c r="F632" s="9">
        <x:v>21431990900</x:v>
      </x:c>
      <x:c r="G632" s="9">
        <x:v>28996542837.340008</x:v>
      </x:c>
      <x:c r="H632" s="10" t="n">
        <x:f>G632-F632</x:f>
        <x:v>7564551937.340008</x:v>
      </x:c>
    </x:row>
    <x:row r="633">
      <x:c r="A633" s="7" t="str">
        <x:v>3279003</x:v>
      </x:c>
      <x:c r="B633" s="7" t="str">
        <x:v>RS Umum Banjar Patroman</x:v>
      </x:c>
      <x:c r="C633" s="7" t="str">
        <x:v>C</x:v>
      </x:c>
      <x:c r="D633" s="7" t="str">
        <x:v>KOTA BANJAR</x:v>
      </x:c>
      <x:c r="E633" s="8">
        <x:v>28401</x:v>
      </x:c>
      <x:c r="F633" s="9">
        <x:v>24328538800</x:v>
      </x:c>
      <x:c r="G633" s="9">
        <x:v>30639871220.75</x:v>
      </x:c>
      <x:c r="H633" s="10" t="n">
        <x:f>G633-F633</x:f>
        <x:v>6311332420.75</x:v>
      </x:c>
    </x:row>
    <x:row r="634">
      <x:c r="A634" s="7" t="str">
        <x:v>3279004</x:v>
      </x:c>
      <x:c r="B634" s="7" t="str">
        <x:v>RS Umum Daerah Asih Husada Langensari</x:v>
      </x:c>
      <x:c r="C634" s="7" t="str">
        <x:v>D</x:v>
      </x:c>
      <x:c r="D634" s="7" t="str">
        <x:v>KOTA BANJAR</x:v>
      </x:c>
      <x:c r="E634" s="8">
        <x:v>6646</x:v>
      </x:c>
      <x:c r="F634" s="9">
        <x:v>3653077300</x:v>
      </x:c>
      <x:c r="G634" s="9">
        <x:v>5361559234.02</x:v>
      </x:c>
      <x:c r="H634" s="10" t="n">
        <x:f>G634-F634</x:f>
        <x:v>1708481934.0200005</x:v>
      </x:c>
    </x:row>
    <x:row r="635">
      <x:c r="A635" s="7" t="str">
        <x:v>3301014</x:v>
      </x:c>
      <x:c r="B635" s="7" t="str">
        <x:v>RS Umum Daerah Cilacap</x:v>
      </x:c>
      <x:c r="C635" s="7" t="str">
        <x:v>B</x:v>
      </x:c>
      <x:c r="D635" s="7" t="str">
        <x:v>CILACAP</x:v>
      </x:c>
      <x:c r="E635" s="8">
        <x:v>132910</x:v>
      </x:c>
      <x:c r="F635" s="9">
        <x:v>135424620850</x:v>
      </x:c>
      <x:c r="G635" s="9">
        <x:v>146390411503.37997</x:v>
      </x:c>
      <x:c r="H635" s="10" t="n">
        <x:f>G635-F635</x:f>
        <x:v>10965790653.379974</x:v>
      </x:c>
    </x:row>
    <x:row r="636">
      <x:c r="A636" s="7" t="str">
        <x:v>3301036</x:v>
      </x:c>
      <x:c r="B636" s="7" t="str">
        <x:v>RS Umum Pertamina Cilacap</x:v>
      </x:c>
      <x:c r="C636" s="7" t="str">
        <x:v>C</x:v>
      </x:c>
      <x:c r="D636" s="7" t="str">
        <x:v>CILACAP</x:v>
      </x:c>
      <x:c r="E636" s="8">
        <x:v>32200</x:v>
      </x:c>
      <x:c r="F636" s="9">
        <x:v>21224077400</x:v>
      </x:c>
      <x:c r="G636" s="9">
        <x:v>24801465039.680004</x:v>
      </x:c>
      <x:c r="H636" s="10" t="n">
        <x:f>G636-F636</x:f>
        <x:v>3577387639.680004</x:v>
      </x:c>
    </x:row>
    <x:row r="637">
      <x:c r="A637" s="7" t="str">
        <x:v>3301073</x:v>
      </x:c>
      <x:c r="B637" s="7" t="str">
        <x:v>RS Umum Islam Fatimah</x:v>
      </x:c>
      <x:c r="C637" s="7" t="str">
        <x:v>C</x:v>
      </x:c>
      <x:c r="D637" s="7" t="str">
        <x:v>CILACAP</x:v>
      </x:c>
      <x:c r="E637" s="8">
        <x:v>36661</x:v>
      </x:c>
      <x:c r="F637" s="9">
        <x:v>41972504050</x:v>
      </x:c>
      <x:c r="G637" s="9">
        <x:v>49761057273.83</x:v>
      </x:c>
      <x:c r="H637" s="10" t="n">
        <x:f>G637-F637</x:f>
        <x:v>7788553223.830002</x:v>
      </x:c>
    </x:row>
    <x:row r="638">
      <x:c r="A638" s="7" t="str">
        <x:v>3301084</x:v>
      </x:c>
      <x:c r="B638" s="7" t="str">
        <x:v>RS Umum Daerah Majenang</x:v>
      </x:c>
      <x:c r="C638" s="7" t="str">
        <x:v>C</x:v>
      </x:c>
      <x:c r="D638" s="7" t="str">
        <x:v>CILACAP</x:v>
      </x:c>
      <x:c r="E638" s="8">
        <x:v>72174</x:v>
      </x:c>
      <x:c r="F638" s="9">
        <x:v>63254477100</x:v>
      </x:c>
      <x:c r="G638" s="9">
        <x:v>79657687765.19998</x:v>
      </x:c>
      <x:c r="H638" s="10" t="n">
        <x:f>G638-F638</x:f>
        <x:v>16403210665.199982</x:v>
      </x:c>
    </x:row>
    <x:row r="639">
      <x:c r="A639" s="7" t="str">
        <x:v>3301105</x:v>
      </x:c>
      <x:c r="B639" s="7" t="str">
        <x:v>RS Umum Aprillia</x:v>
      </x:c>
      <x:c r="C639" s="7" t="str">
        <x:v>D</x:v>
      </x:c>
      <x:c r="D639" s="7" t="str">
        <x:v>CILACAP</x:v>
      </x:c>
      <x:c r="E639" s="8">
        <x:v>2488</x:v>
      </x:c>
      <x:c r="F639" s="9">
        <x:v>3222491400</x:v>
      </x:c>
      <x:c r="G639" s="9">
        <x:v>4030495614.42</x:v>
      </x:c>
      <x:c r="H639" s="10" t="n">
        <x:f>G639-F639</x:f>
        <x:v>808004214.4200001</x:v>
      </x:c>
    </x:row>
    <x:row r="640">
      <x:c r="A640" s="7" t="str">
        <x:v>3301106</x:v>
      </x:c>
      <x:c r="B640" s="7" t="str">
        <x:v>RS Umum Duta Mulya</x:v>
      </x:c>
      <x:c r="C640" s="7" t="str">
        <x:v>C</x:v>
      </x:c>
      <x:c r="D640" s="7" t="str">
        <x:v>CILACAP</x:v>
      </x:c>
      <x:c r="E640" s="8">
        <x:v>27271</x:v>
      </x:c>
      <x:c r="F640" s="9">
        <x:v>28688156900</x:v>
      </x:c>
      <x:c r="G640" s="9">
        <x:v>34800117484.58</x:v>
      </x:c>
      <x:c r="H640" s="10" t="n">
        <x:f>G640-F640</x:f>
        <x:v>6111960584.580002</x:v>
      </x:c>
    </x:row>
    <x:row r="641">
      <x:c r="A641" s="7" t="str">
        <x:v>3301107</x:v>
      </x:c>
      <x:c r="B641" s="7" t="str">
        <x:v>RS Umum Santa Maria Cilacap</x:v>
      </x:c>
      <x:c r="C641" s="7" t="str">
        <x:v>D</x:v>
      </x:c>
      <x:c r="D641" s="7" t="str">
        <x:v>CILACAP</x:v>
      </x:c>
      <x:c r="E641" s="8">
        <x:v>11424</x:v>
      </x:c>
      <x:c r="F641" s="9">
        <x:v>11240056700</x:v>
      </x:c>
      <x:c r="G641" s="9">
        <x:v>15050340469.13</x:v>
      </x:c>
      <x:c r="H641" s="10" t="n">
        <x:f>G641-F641</x:f>
        <x:v>3810283769.129999</x:v>
      </x:c>
    </x:row>
    <x:row r="642">
      <x:c r="A642" s="7" t="str">
        <x:v>3301108</x:v>
      </x:c>
      <x:c r="B642" s="7" t="str">
        <x:v>RS Umum PKU Muhammdiyah Aghisna Kroya</x:v>
      </x:c>
      <x:c r="C642" s="7" t="str">
        <x:v>C</x:v>
      </x:c>
      <x:c r="D642" s="7" t="str">
        <x:v>CILACAP</x:v>
      </x:c>
      <x:c r="E642" s="8">
        <x:v>38028</x:v>
      </x:c>
      <x:c r="F642" s="9">
        <x:v>33266287600</x:v>
      </x:c>
      <x:c r="G642" s="9">
        <x:v>40876565999.460014</x:v>
      </x:c>
      <x:c r="H642" s="10" t="n">
        <x:f>G642-F642</x:f>
        <x:v>7610278399.460014</x:v>
      </x:c>
    </x:row>
    <x:row r="643">
      <x:c r="A643" s="7" t="str">
        <x:v>3301109</x:v>
      </x:c>
      <x:c r="B643" s="7" t="str">
        <x:v>RS Umum Afdila Cilacap</x:v>
      </x:c>
      <x:c r="C643" s="7" t="str">
        <x:v>C</x:v>
      </x:c>
      <x:c r="D643" s="7" t="str">
        <x:v>CILACAP</x:v>
      </x:c>
      <x:c r="E643" s="8">
        <x:v>2511</x:v>
      </x:c>
      <x:c r="F643" s="9">
        <x:v>3808112300</x:v>
      </x:c>
      <x:c r="G643" s="9">
        <x:v>4555471472.679999</x:v>
      </x:c>
      <x:c r="H643" s="10" t="n">
        <x:f>G643-F643</x:f>
        <x:v>747359172.6799994</x:v>
      </x:c>
    </x:row>
    <x:row r="644">
      <x:c r="A644" s="7" t="str">
        <x:v>3301112</x:v>
      </x:c>
      <x:c r="B644" s="7" t="str">
        <x:v>RS Umum Raffa Majenang</x:v>
      </x:c>
      <x:c r="C644" s="7" t="str">
        <x:v>C</x:v>
      </x:c>
      <x:c r="D644" s="7" t="str">
        <x:v>CILACAP</x:v>
      </x:c>
      <x:c r="E644" s="8">
        <x:v>37588</x:v>
      </x:c>
      <x:c r="F644" s="9">
        <x:v>44231684100</x:v>
      </x:c>
      <x:c r="G644" s="9">
        <x:v>56901423832.65999</x:v>
      </x:c>
      <x:c r="H644" s="10" t="n">
        <x:f>G644-F644</x:f>
        <x:v>12669739732.659988</x:v>
      </x:c>
    </x:row>
    <x:row r="645">
      <x:c r="A645" s="7" t="str">
        <x:v>3301114</x:v>
      </x:c>
      <x:c r="B645" s="7" t="str">
        <x:v>RS Umum Aghisna Medika Sidareja</x:v>
      </x:c>
      <x:c r="C645" s="7" t="str">
        <x:v>D</x:v>
      </x:c>
      <x:c r="D645" s="7" t="str">
        <x:v>CILACAP</x:v>
      </x:c>
      <x:c r="E645" s="8">
        <x:v>28053</x:v>
      </x:c>
      <x:c r="F645" s="9">
        <x:v>22262786600</x:v>
      </x:c>
      <x:c r="G645" s="9">
        <x:v>29797547463.920002</x:v>
      </x:c>
      <x:c r="H645" s="10" t="n">
        <x:f>G645-F645</x:f>
        <x:v>7534760863.920002</x:v>
      </x:c>
    </x:row>
    <x:row r="646">
      <x:c r="A646" s="7" t="str">
        <x:v>3301115</x:v>
      </x:c>
      <x:c r="B646" s="7" t="str">
        <x:v>RS Priscilla Medical Center</x:v>
      </x:c>
      <x:c r="C646" s="7" t="str">
        <x:v>C</x:v>
      </x:c>
      <x:c r="D646" s="7" t="str">
        <x:v>CILACAP</x:v>
      </x:c>
      <x:c r="E646" s="8">
        <x:v>11730</x:v>
      </x:c>
      <x:c r="F646" s="9">
        <x:v>12096165700</x:v>
      </x:c>
      <x:c r="G646" s="9">
        <x:v>14846667561.689995</x:v>
      </x:c>
      <x:c r="H646" s="10" t="n">
        <x:f>G646-F646</x:f>
        <x:v>2750501861.689995</x:v>
      </x:c>
    </x:row>
    <x:row r="647">
      <x:c r="A647" s="7" t="str">
        <x:v>3302015</x:v>
      </x:c>
      <x:c r="B647" s="7" t="str">
        <x:v>RS umum Daerah Banyumas</x:v>
      </x:c>
      <x:c r="C647" s="7" t="str">
        <x:v>B</x:v>
      </x:c>
      <x:c r="D647" s="7" t="str">
        <x:v>BANYUMAS</x:v>
      </x:c>
      <x:c r="E647" s="8">
        <x:v>161925</x:v>
      </x:c>
      <x:c r="F647" s="9">
        <x:v>147790132500</x:v>
      </x:c>
      <x:c r="G647" s="9">
        <x:v>167749068673.6499</x:v>
      </x:c>
      <x:c r="H647" s="10" t="n">
        <x:f>G647-F647</x:f>
        <x:v>19958936173.649902</x:v>
      </x:c>
    </x:row>
    <x:row r="648">
      <x:c r="A648" s="7" t="str">
        <x:v>3302026</x:v>
      </x:c>
      <x:c r="B648" s="7" t="str">
        <x:v>RS Umum Daerah Prof Dr. Margono Soekarjo</x:v>
      </x:c>
      <x:c r="C648" s="7" t="str">
        <x:v>A</x:v>
      </x:c>
      <x:c r="D648" s="7" t="str">
        <x:v>BANYUMAS</x:v>
      </x:c>
      <x:c r="E648" s="8">
        <x:v>269147</x:v>
      </x:c>
      <x:c r="F648" s="9">
        <x:v>520041463850</x:v>
      </x:c>
      <x:c r="G648" s="9">
        <x:v>439929158158.93024</x:v>
      </x:c>
      <x:c r="H648" s="10" t="n">
        <x:f>G648-F648</x:f>
        <x:v>-80112305691.06976</x:v>
      </x:c>
    </x:row>
    <x:row r="649">
      <x:c r="A649" s="7" t="str">
        <x:v>3302030</x:v>
      </x:c>
      <x:c r="B649" s="7" t="str">
        <x:v>RS Umum Tk. III Wijayakusuma</x:v>
      </x:c>
      <x:c r="C649" s="7" t="str">
        <x:v>C</x:v>
      </x:c>
      <x:c r="D649" s="7" t="str">
        <x:v>BANYUMAS</x:v>
      </x:c>
      <x:c r="E649" s="8">
        <x:v>82667</x:v>
      </x:c>
      <x:c r="F649" s="9">
        <x:v>55179399910</x:v>
      </x:c>
      <x:c r="G649" s="9">
        <x:v>69917863638.82999</x:v>
      </x:c>
      <x:c r="H649" s="10" t="n">
        <x:f>G649-F649</x:f>
        <x:v>14738463728.829987</x:v>
      </x:c>
    </x:row>
    <x:row r="650">
      <x:c r="A650" s="7" t="str">
        <x:v>3302040</x:v>
      </x:c>
      <x:c r="B650" s="7" t="str">
        <x:v>RS 3302040</x:v>
      </x:c>
      <x:c r="C650" s="7" t="str">
        <x:v>D</x:v>
      </x:c>
      <x:c r="D650" s="7" t="str">
        <x:v>BANYUMAS</x:v>
      </x:c>
      <x:c r="E650" s="8">
        <x:v>5021</x:v>
      </x:c>
      <x:c r="F650" s="9">
        <x:v>1263367100</x:v>
      </x:c>
      <x:c r="G650" s="9">
        <x:v>1488624628.8899996</x:v>
      </x:c>
      <x:c r="H650" s="10" t="n">
        <x:f>G650-F650</x:f>
        <x:v>225257528.88999963</x:v>
      </x:c>
    </x:row>
    <x:row r="651">
      <x:c r="A651" s="7" t="str">
        <x:v>3302041</x:v>
      </x:c>
      <x:c r="B651" s="7" t="str">
        <x:v>RS Umum Santa Elisabeth Purwokerto</x:v>
      </x:c>
      <x:c r="C651" s="7" t="str">
        <x:v>C</x:v>
      </x:c>
      <x:c r="D651" s="7" t="str">
        <x:v>BANYUMAS</x:v>
      </x:c>
      <x:c r="E651" s="8">
        <x:v>30583</x:v>
      </x:c>
      <x:c r="F651" s="9">
        <x:v>16649244600</x:v>
      </x:c>
      <x:c r="G651" s="9">
        <x:v>20214313400.65</x:v>
      </x:c>
      <x:c r="H651" s="10" t="n">
        <x:f>G651-F651</x:f>
        <x:v>3565068800.6500015</x:v>
      </x:c>
    </x:row>
    <x:row r="652">
      <x:c r="A652" s="7" t="str">
        <x:v>3302052</x:v>
      </x:c>
      <x:c r="B652" s="7" t="str">
        <x:v>RS Khusus Orthopaedi Purwokerto</x:v>
      </x:c>
      <x:c r="C652" s="7" t="str">
        <x:v>C</x:v>
      </x:c>
      <x:c r="D652" s="7" t="str">
        <x:v>BANYUMAS</x:v>
      </x:c>
      <x:c r="E652" s="8">
        <x:v>13691</x:v>
      </x:c>
      <x:c r="F652" s="9">
        <x:v>23256750000</x:v>
      </x:c>
      <x:c r="G652" s="9">
        <x:v>32174701513.830006</x:v>
      </x:c>
      <x:c r="H652" s="10" t="n">
        <x:f>G652-F652</x:f>
        <x:v>8917951513.830006</x:v>
      </x:c>
    </x:row>
    <x:row r="653">
      <x:c r="A653" s="7" t="str">
        <x:v>3302063</x:v>
      </x:c>
      <x:c r="B653" s="7" t="str">
        <x:v>RS Khusus Bedah Jatiwinangun</x:v>
      </x:c>
      <x:c r="C653" s="7" t="str">
        <x:v>C</x:v>
      </x:c>
      <x:c r="D653" s="7" t="str">
        <x:v>BANYUMAS</x:v>
      </x:c>
      <x:c r="E653" s="8">
        <x:v>2793</x:v>
      </x:c>
      <x:c r="F653" s="9">
        <x:v>3571483100</x:v>
      </x:c>
      <x:c r="G653" s="9">
        <x:v>4220139317.88</x:v>
      </x:c>
      <x:c r="H653" s="10" t="n">
        <x:f>G653-F653</x:f>
        <x:v>648656217.8800001</x:v>
      </x:c>
    </x:row>
    <x:row r="654">
      <x:c r="A654" s="7" t="str">
        <x:v>3302074</x:v>
      </x:c>
      <x:c r="B654" s="7" t="str">
        <x:v>RS Umum An Ni'mah</x:v>
      </x:c>
      <x:c r="C654" s="7" t="str">
        <x:v>C</x:v>
      </x:c>
      <x:c r="D654" s="7" t="str">
        <x:v>BANYUMAS</x:v>
      </x:c>
      <x:c r="E654" s="8">
        <x:v>37454</x:v>
      </x:c>
      <x:c r="F654" s="9">
        <x:v>32272424000</x:v>
      </x:c>
      <x:c r="G654" s="9">
        <x:v>40899677226.819984</x:v>
      </x:c>
      <x:c r="H654" s="10" t="n">
        <x:f>G654-F654</x:f>
        <x:v>8627253226.819984</x:v>
      </x:c>
    </x:row>
    <x:row r="655">
      <x:c r="A655" s="7" t="str">
        <x:v>3302121</x:v>
      </x:c>
      <x:c r="B655" s="7" t="str">
        <x:v>RS Umum PKU Muhammadiyah Amanah Sumpiuh</x:v>
      </x:c>
      <x:c r="C655" s="7" t="str">
        <x:v>C</x:v>
      </x:c>
      <x:c r="D655" s="7" t="str">
        <x:v>BANYUMAS</x:v>
      </x:c>
      <x:c r="E655" s="8">
        <x:v>36013</x:v>
      </x:c>
      <x:c r="F655" s="9">
        <x:v>28346373350</x:v>
      </x:c>
      <x:c r="G655" s="9">
        <x:v>34620262886.810005</x:v>
      </x:c>
      <x:c r="H655" s="10" t="n">
        <x:f>G655-F655</x:f>
        <x:v>6273889536.810005</x:v>
      </x:c>
    </x:row>
    <x:row r="656">
      <x:c r="A656" s="7" t="str">
        <x:v>3302132</x:v>
      </x:c>
      <x:c r="B656" s="7" t="str">
        <x:v>RS Umum Islam Purwokerto</x:v>
      </x:c>
      <x:c r="C656" s="7" t="str">
        <x:v>C</x:v>
      </x:c>
      <x:c r="D656" s="7" t="str">
        <x:v>BANYUMAS</x:v>
      </x:c>
      <x:c r="E656" s="8">
        <x:v>48599</x:v>
      </x:c>
      <x:c r="F656" s="9">
        <x:v>35374693800</x:v>
      </x:c>
      <x:c r="G656" s="9">
        <x:v>43540820723.87</x:v>
      </x:c>
      <x:c r="H656" s="10" t="n">
        <x:f>G656-F656</x:f>
        <x:v>8166126923.870003</x:v>
      </x:c>
    </x:row>
    <x:row r="657">
      <x:c r="A657" s="7" t="str">
        <x:v>3302143</x:v>
      </x:c>
      <x:c r="B657" s="7" t="str">
        <x:v>RS Umum Hidayah Purwokerto</x:v>
      </x:c>
      <x:c r="C657" s="7" t="str">
        <x:v>D</x:v>
      </x:c>
      <x:c r="D657" s="7" t="str">
        <x:v>BANYUMAS</x:v>
      </x:c>
      <x:c r="E657" s="8">
        <x:v>4076</x:v>
      </x:c>
      <x:c r="F657" s="9">
        <x:v>3425524200</x:v>
      </x:c>
      <x:c r="G657" s="9">
        <x:v>4956985453.639998</x:v>
      </x:c>
      <x:c r="H657" s="10" t="n">
        <x:f>G657-F657</x:f>
        <x:v>1531461253.6399984</x:v>
      </x:c>
    </x:row>
    <x:row r="658">
      <x:c r="A658" s="7" t="str">
        <x:v>3302154</x:v>
      </x:c>
      <x:c r="B658" s="7" t="str">
        <x:v>RS Umum Bunda</x:v>
      </x:c>
      <x:c r="C658" s="7" t="str">
        <x:v>D</x:v>
      </x:c>
      <x:c r="D658" s="7" t="str">
        <x:v>BANYUMAS</x:v>
      </x:c>
      <x:c r="E658" s="8">
        <x:v>11569</x:v>
      </x:c>
      <x:c r="F658" s="9">
        <x:v>10780831200</x:v>
      </x:c>
      <x:c r="G658" s="9">
        <x:v>13249973523.359999</x:v>
      </x:c>
      <x:c r="H658" s="10" t="n">
        <x:f>G658-F658</x:f>
        <x:v>2469142323.3599987</x:v>
      </x:c>
    </x:row>
    <x:row r="659">
      <x:c r="A659" s="7" t="str">
        <x:v>3302165</x:v>
      </x:c>
      <x:c r="B659" s="7" t="str">
        <x:v>RS Umum Ananda Purwokerto</x:v>
      </x:c>
      <x:c r="C659" s="7" t="str">
        <x:v>C</x:v>
      </x:c>
      <x:c r="D659" s="7" t="str">
        <x:v>BANYUMAS</x:v>
      </x:c>
      <x:c r="E659" s="8">
        <x:v>30788</x:v>
      </x:c>
      <x:c r="F659" s="9">
        <x:v>18750688900</x:v>
      </x:c>
      <x:c r="G659" s="9">
        <x:v>23639142315.91001</x:v>
      </x:c>
      <x:c r="H659" s="10" t="n">
        <x:f>G659-F659</x:f>
        <x:v>4888453415.910011</x:v>
      </x:c>
    </x:row>
    <x:row r="660">
      <x:c r="A660" s="7" t="str">
        <x:v>3302174</x:v>
      </x:c>
      <x:c r="B660" s="7" t="str">
        <x:v>RS Ibu dan Anak Bunda Arif Purwokerto</x:v>
      </x:c>
      <x:c r="C660" s="7" t="str">
        <x:v>C</x:v>
      </x:c>
      <x:c r="D660" s="7" t="str">
        <x:v>BANYUMAS</x:v>
      </x:c>
      <x:c r="E660" s="8">
        <x:v>3432</x:v>
      </x:c>
      <x:c r="F660" s="9">
        <x:v>4749199900</x:v>
      </x:c>
      <x:c r="G660" s="9">
        <x:v>5575141143.780004</x:v>
      </x:c>
      <x:c r="H660" s="10" t="n">
        <x:f>G660-F660</x:f>
        <x:v>825941243.7800035</x:v>
      </x:c>
    </x:row>
    <x:row r="661">
      <x:c r="A661" s="7" t="str">
        <x:v>3302180</x:v>
      </x:c>
      <x:c r="B661" s="7" t="str">
        <x:v>RS Umum Sinar Kasih</x:v>
      </x:c>
      <x:c r="C661" s="7" t="str">
        <x:v>D</x:v>
      </x:c>
      <x:c r="D661" s="7" t="str">
        <x:v>BANYUMAS</x:v>
      </x:c>
      <x:c r="E661" s="8">
        <x:v>19041</x:v>
      </x:c>
      <x:c r="F661" s="9">
        <x:v>10556399900</x:v>
      </x:c>
      <x:c r="G661" s="9">
        <x:v>13571044729.000002</x:v>
      </x:c>
      <x:c r="H661" s="10" t="n">
        <x:f>G661-F661</x:f>
        <x:v>3014644829.000002</x:v>
      </x:c>
    </x:row>
    <x:row r="662">
      <x:c r="A662" s="7" t="str">
        <x:v>3302191</x:v>
      </x:c>
      <x:c r="B662" s="7" t="str">
        <x:v>RS Umum Daerah Ajibarang</x:v>
      </x:c>
      <x:c r="C662" s="7" t="str">
        <x:v>C</x:v>
      </x:c>
      <x:c r="D662" s="7" t="str">
        <x:v>BANYUMAS</x:v>
      </x:c>
      <x:c r="E662" s="8">
        <x:v>119748</x:v>
      </x:c>
      <x:c r="F662" s="9">
        <x:v>85831034005</x:v>
      </x:c>
      <x:c r="G662" s="9">
        <x:v>111700764505.54996</x:v>
      </x:c>
      <x:c r="H662" s="10" t="n">
        <x:f>G662-F662</x:f>
        <x:v>25869730500.549957</x:v>
      </x:c>
    </x:row>
    <x:row r="663">
      <x:c r="A663" s="7" t="str">
        <x:v>3302213</x:v>
      </x:c>
      <x:c r="B663" s="7" t="str">
        <x:v>RS Umum Wiradadi Husada</x:v>
      </x:c>
      <x:c r="C663" s="7" t="str">
        <x:v>C</x:v>
      </x:c>
      <x:c r="D663" s="7" t="str">
        <x:v>BANYUMAS</x:v>
      </x:c>
      <x:c r="E663" s="8">
        <x:v>45012</x:v>
      </x:c>
      <x:c r="F663" s="9">
        <x:v>52024273000</x:v>
      </x:c>
      <x:c r="G663" s="9">
        <x:v>67893773043.36001</x:v>
      </x:c>
      <x:c r="H663" s="10" t="n">
        <x:f>G663-F663</x:f>
        <x:v>15869500043.360008</x:v>
      </x:c>
    </x:row>
    <x:row r="664">
      <x:c r="A664" s="7" t="str">
        <x:v>3302224</x:v>
      </x:c>
      <x:c r="B664" s="7" t="str">
        <x:v>RS Umum Siaga Medika Banyumas</x:v>
      </x:c>
      <x:c r="C664" s="7" t="str">
        <x:v>C</x:v>
      </x:c>
      <x:c r="D664" s="7" t="str">
        <x:v>BANYUMAS</x:v>
      </x:c>
      <x:c r="E664" s="8">
        <x:v>78631</x:v>
      </x:c>
      <x:c r="F664" s="9">
        <x:v>81095358500</x:v>
      </x:c>
      <x:c r="G664" s="9">
        <x:v>105430798691.42001</x:v>
      </x:c>
      <x:c r="H664" s="10" t="n">
        <x:f>G664-F664</x:f>
        <x:v>24335440191.420013</x:v>
      </x:c>
    </x:row>
    <x:row r="665">
      <x:c r="A665" s="7" t="str">
        <x:v>3302225</x:v>
      </x:c>
      <x:c r="B665" s="7" t="str">
        <x:v>RS Khusus Bedah Mitra Ariva</x:v>
      </x:c>
      <x:c r="C665" s="7" t="str">
        <x:v>C</x:v>
      </x:c>
      <x:c r="D665" s="7" t="str">
        <x:v>BANYUMAS</x:v>
      </x:c>
      <x:c r="E665" s="8">
        <x:v>2080</x:v>
      </x:c>
      <x:c r="F665" s="9">
        <x:v>2795940300</x:v>
      </x:c>
      <x:c r="G665" s="9">
        <x:v>3840426116.3699994</x:v>
      </x:c>
      <x:c r="H665" s="10" t="n">
        <x:f>G665-F665</x:f>
        <x:v>1044485816.3699994</x:v>
      </x:c>
    </x:row>
    <x:row r="666">
      <x:c r="A666" s="7" t="str">
        <x:v>3302227</x:v>
      </x:c>
      <x:c r="B666" s="7" t="str">
        <x:v>RS Umum Medika Lestari Banyumas</x:v>
      </x:c>
      <x:c r="C666" s="7" t="str">
        <x:v>D</x:v>
      </x:c>
      <x:c r="D666" s="7" t="str">
        <x:v>BANYUMAS</x:v>
      </x:c>
      <x:c r="E666" s="8">
        <x:v>6936</x:v>
      </x:c>
      <x:c r="F666" s="9">
        <x:v>6672421800</x:v>
      </x:c>
      <x:c r="G666" s="9">
        <x:v>9769537510.400002</x:v>
      </x:c>
      <x:c r="H666" s="10" t="n">
        <x:f>G666-F666</x:f>
        <x:v>3097115710.4000015</x:v>
      </x:c>
    </x:row>
    <x:row r="667">
      <x:c r="A667" s="7" t="str">
        <x:v>3302229</x:v>
      </x:c>
      <x:c r="B667" s="7" t="str">
        <x:v>RS Umum Dadi Keluarga</x:v>
      </x:c>
      <x:c r="C667" s="7" t="str">
        <x:v>C</x:v>
      </x:c>
      <x:c r="D667" s="7" t="str">
        <x:v>BANYUMAS</x:v>
      </x:c>
      <x:c r="E667" s="8">
        <x:v>55541</x:v>
      </x:c>
      <x:c r="F667" s="9">
        <x:v>41248941200</x:v>
      </x:c>
      <x:c r="G667" s="9">
        <x:v>53167264192.35001</x:v>
      </x:c>
      <x:c r="H667" s="10" t="n">
        <x:f>G667-F667</x:f>
        <x:v>11918322992.350014</x:v>
      </x:c>
    </x:row>
    <x:row r="668">
      <x:c r="A668" s="7" t="str">
        <x:v>3302232</x:v>
      </x:c>
      <x:c r="B668" s="7" t="str">
        <x:v>RS Hermina Purwokerto</x:v>
      </x:c>
      <x:c r="C668" s="7" t="str">
        <x:v>C</x:v>
      </x:c>
      <x:c r="D668" s="7" t="str">
        <x:v>BANYUMAS</x:v>
      </x:c>
      <x:c r="E668" s="8">
        <x:v>69571</x:v>
      </x:c>
      <x:c r="F668" s="9">
        <x:v>52748101700</x:v>
      </x:c>
      <x:c r="G668" s="9">
        <x:v>63385020301.60001</x:v>
      </x:c>
      <x:c r="H668" s="10" t="n">
        <x:f>G668-F668</x:f>
        <x:v>10636918601.600014</x:v>
      </x:c>
    </x:row>
    <x:row r="669">
      <x:c r="A669" s="7" t="str">
        <x:v>3302248</x:v>
      </x:c>
      <x:c r="B669" s="7" t="str">
        <x:v>RS Khusus Mata Purwokerto</x:v>
      </x:c>
      <x:c r="C669" s="7" t="str">
        <x:v>C</x:v>
      </x:c>
      <x:c r="D669" s="7" t="str">
        <x:v>BANYUMAS</x:v>
      </x:c>
      <x:c r="E669" s="8">
        <x:v>14451</x:v>
      </x:c>
      <x:c r="F669" s="9">
        <x:v>8171176300</x:v>
      </x:c>
      <x:c r="G669" s="9">
        <x:v>9141210818.160004</x:v>
      </x:c>
      <x:c r="H669" s="10" t="n">
        <x:f>G669-F669</x:f>
        <x:v>970034518.1600037</x:v>
      </x:c>
    </x:row>
    <x:row r="670">
      <x:c r="A670" s="7" t="str">
        <x:v>3303016</x:v>
      </x:c>
      <x:c r="B670" s="7" t="str">
        <x:v>RS Umum Daerah dr. R. Goeteng Taroenadibrata</x:v>
      </x:c>
      <x:c r="C670" s="7" t="str">
        <x:v>C</x:v>
      </x:c>
      <x:c r="D670" s="7" t="str">
        <x:v>PURBALINGGA</x:v>
      </x:c>
      <x:c r="E670" s="8">
        <x:v>88635</x:v>
      </x:c>
      <x:c r="F670" s="9">
        <x:v>64312939115</x:v>
      </x:c>
      <x:c r="G670" s="9">
        <x:v>79366957926.11002</x:v>
      </x:c>
      <x:c r="H670" s="10" t="n">
        <x:f>G670-F670</x:f>
        <x:v>15054018811.110016</x:v>
      </x:c>
    </x:row>
    <x:row r="671">
      <x:c r="A671" s="7" t="str">
        <x:v>3303064</x:v>
      </x:c>
      <x:c r="B671" s="7" t="str">
        <x:v>RS Umum Nirmala</x:v>
      </x:c>
      <x:c r="C671" s="7" t="str">
        <x:v>C</x:v>
      </x:c>
      <x:c r="D671" s="7" t="str">
        <x:v>PURBALINGGA</x:v>
      </x:c>
      <x:c r="E671" s="8">
        <x:v>18914</x:v>
      </x:c>
      <x:c r="F671" s="9">
        <x:v>17615651400</x:v>
      </x:c>
      <x:c r="G671" s="9">
        <x:v>21553421292.510002</x:v>
      </x:c>
      <x:c r="H671" s="10" t="n">
        <x:f>G671-F671</x:f>
        <x:v>3937769892.510002</x:v>
      </x:c>
    </x:row>
    <x:row r="672">
      <x:c r="A672" s="7" t="str">
        <x:v>3303075</x:v>
      </x:c>
      <x:c r="B672" s="7" t="str">
        <x:v>RS Umum Harapan Ibu</x:v>
      </x:c>
      <x:c r="C672" s="7" t="str">
        <x:v>C</x:v>
      </x:c>
      <x:c r="D672" s="7" t="str">
        <x:v>PURBALINGGA</x:v>
      </x:c>
      <x:c r="E672" s="8">
        <x:v>79305</x:v>
      </x:c>
      <x:c r="F672" s="9">
        <x:v>44387939100</x:v>
      </x:c>
      <x:c r="G672" s="9">
        <x:v>52873664145.87996</x:v>
      </x:c>
      <x:c r="H672" s="10" t="n">
        <x:f>G672-F672</x:f>
        <x:v>8485725045.879959</x:v>
      </x:c>
    </x:row>
    <x:row r="673">
      <x:c r="A673" s="7" t="str">
        <x:v>3303097</x:v>
      </x:c>
      <x:c r="B673" s="7" t="str">
        <x:v>RS Umum Daerah Panti Nugroho</x:v>
      </x:c>
      <x:c r="C673" s="7" t="str">
        <x:v>C</x:v>
      </x:c>
      <x:c r="D673" s="7" t="str">
        <x:v>PURBALINGGA</x:v>
      </x:c>
      <x:c r="E673" s="8">
        <x:v>18380</x:v>
      </x:c>
      <x:c r="F673" s="9">
        <x:v>22245947000</x:v>
      </x:c>
      <x:c r="G673" s="9">
        <x:v>26557039304.280014</x:v>
      </x:c>
      <x:c r="H673" s="10" t="n">
        <x:f>G673-F673</x:f>
        <x:v>4311092304.280014</x:v>
      </x:c>
    </x:row>
    <x:row r="674">
      <x:c r="A674" s="7" t="str">
        <x:v>3303099</x:v>
      </x:c>
      <x:c r="B674" s="7" t="str">
        <x:v>RS Ibu dan Anak Ummu Hani</x:v>
      </x:c>
      <x:c r="C674" s="7" t="str">
        <x:v>C</x:v>
      </x:c>
      <x:c r="D674" s="7" t="str">
        <x:v>PURBALINGGA</x:v>
      </x:c>
      <x:c r="E674" s="8">
        <x:v>6806</x:v>
      </x:c>
      <x:c r="F674" s="9">
        <x:v>8248356300</x:v>
      </x:c>
      <x:c r="G674" s="9">
        <x:v>9859101980.779997</x:v>
      </x:c>
      <x:c r="H674" s="10" t="n">
        <x:f>G674-F674</x:f>
        <x:v>1610745680.7799969</x:v>
      </x:c>
    </x:row>
    <x:row r="675">
      <x:c r="A675" s="7" t="str">
        <x:v>3303101</x:v>
      </x:c>
      <x:c r="B675" s="7" t="str">
        <x:v>RS Umum Siaga Medika Purbalingga</x:v>
      </x:c>
      <x:c r="C675" s="7" t="str">
        <x:v>C</x:v>
      </x:c>
      <x:c r="D675" s="7" t="str">
        <x:v>PURBALINGGA</x:v>
      </x:c>
      <x:c r="E675" s="8">
        <x:v>78472</x:v>
      </x:c>
      <x:c r="F675" s="9">
        <x:v>62602410500</x:v>
      </x:c>
      <x:c r="G675" s="9">
        <x:v>78543080217.36998</x:v>
      </x:c>
      <x:c r="H675" s="10" t="n">
        <x:f>G675-F675</x:f>
        <x:v>15940669717.36998</x:v>
      </x:c>
    </x:row>
    <x:row r="676">
      <x:c r="A676" s="7" t="str">
        <x:v>3303102</x:v>
      </x:c>
      <x:c r="B676" s="7" t="str">
        <x:v>RS Umum PKU Muhammadiyah Purbalingga</x:v>
      </x:c>
      <x:c r="C676" s="7" t="str">
        <x:v>D</x:v>
      </x:c>
      <x:c r="D676" s="7" t="str">
        <x:v>PURBALINGGA</x:v>
      </x:c>
      <x:c r="E676" s="8">
        <x:v>15706</x:v>
      </x:c>
      <x:c r="F676" s="9">
        <x:v>12306307000</x:v>
      </x:c>
      <x:c r="G676" s="9">
        <x:v>17542958995.469994</x:v>
      </x:c>
      <x:c r="H676" s="10" t="n">
        <x:f>G676-F676</x:f>
        <x:v>5236651995.469994</x:v>
      </x:c>
    </x:row>
    <x:row r="677">
      <x:c r="A677" s="7" t="str">
        <x:v>3303103</x:v>
      </x:c>
      <x:c r="B677" s="7" t="str">
        <x:v>RS Islam At-Tin Husada Purbalingga</x:v>
      </x:c>
      <x:c r="C677" s="7" t="str">
        <x:v>C</x:v>
      </x:c>
      <x:c r="D677" s="7" t="str">
        <x:v>PURBALINGGA</x:v>
      </x:c>
      <x:c r="E677" s="8">
        <x:v>15686</x:v>
      </x:c>
      <x:c r="F677" s="9">
        <x:v>18668075400</x:v>
      </x:c>
      <x:c r="G677" s="9">
        <x:v>22380884642.039993</x:v>
      </x:c>
      <x:c r="H677" s="10" t="n">
        <x:f>G677-F677</x:f>
        <x:v>3712809242.0399933</x:v>
      </x:c>
    </x:row>
    <x:row r="678">
      <x:c r="A678" s="7" t="str">
        <x:v>3304010</x:v>
      </x:c>
      <x:c r="B678" s="7" t="str">
        <x:v>RS Umum Daerah Hj. Anna Lasmanah Banjarnegara</x:v>
      </x:c>
      <x:c r="C678" s="7" t="str">
        <x:v>C</x:v>
      </x:c>
      <x:c r="D678" s="7" t="str">
        <x:v>BANJARNEGARA</x:v>
      </x:c>
      <x:c r="E678" s="8">
        <x:v>94893</x:v>
      </x:c>
      <x:c r="F678" s="9">
        <x:v>73987181225</x:v>
      </x:c>
      <x:c r="G678" s="9">
        <x:v>93132843534.32</x:v>
      </x:c>
      <x:c r="H678" s="10" t="n">
        <x:f>G678-F678</x:f>
        <x:v>19145662309.320007</x:v>
      </x:c>
    </x:row>
    <x:row r="679">
      <x:c r="A679" s="7" t="str">
        <x:v>3304021</x:v>
      </x:c>
      <x:c r="B679" s="7" t="str">
        <x:v>RS Umum Emmanuel</x:v>
      </x:c>
      <x:c r="C679" s="7" t="str">
        <x:v>C</x:v>
      </x:c>
      <x:c r="D679" s="7" t="str">
        <x:v>BANJARNEGARA</x:v>
      </x:c>
      <x:c r="E679" s="8">
        <x:v>73037</x:v>
      </x:c>
      <x:c r="F679" s="9">
        <x:v>44023780400</x:v>
      </x:c>
      <x:c r="G679" s="9">
        <x:v>53262049103.16997</x:v>
      </x:c>
      <x:c r="H679" s="10" t="n">
        <x:f>G679-F679</x:f>
        <x:v>9238268703.169968</x:v>
      </x:c>
    </x:row>
    <x:row r="680">
      <x:c r="A680" s="7" t="str">
        <x:v>3304032</x:v>
      </x:c>
      <x:c r="B680" s="7" t="str">
        <x:v>RS Umum Islam Banjarnegara</x:v>
      </x:c>
      <x:c r="C680" s="7" t="str">
        <x:v>C</x:v>
      </x:c>
      <x:c r="D680" s="7" t="str">
        <x:v>BANJARNEGARA</x:v>
      </x:c>
      <x:c r="E680" s="8">
        <x:v>71660</x:v>
      </x:c>
      <x:c r="F680" s="9">
        <x:v>54657573300</x:v>
      </x:c>
      <x:c r="G680" s="9">
        <x:v>68159379104.84</x:v>
      </x:c>
      <x:c r="H680" s="10" t="n">
        <x:f>G680-F680</x:f>
        <x:v>13501805804.839996</x:v>
      </x:c>
    </x:row>
    <x:row r="681">
      <x:c r="A681" s="7" t="str">
        <x:v>3304035</x:v>
      </x:c>
      <x:c r="B681" s="7" t="str">
        <x:v>RS Umum PKU Muhammadiyah Banjarnegara</x:v>
      </x:c>
      <x:c r="C681" s="7" t="str">
        <x:v>D</x:v>
      </x:c>
      <x:c r="D681" s="7" t="str">
        <x:v>BANJARNEGARA</x:v>
      </x:c>
      <x:c r="E681" s="8">
        <x:v>13852</x:v>
      </x:c>
      <x:c r="F681" s="9">
        <x:v>12735335900</x:v>
      </x:c>
      <x:c r="G681" s="9">
        <x:v>17627328192.140003</x:v>
      </x:c>
      <x:c r="H681" s="10" t="n">
        <x:f>G681-F681</x:f>
        <x:v>4891992292.140003</x:v>
      </x:c>
    </x:row>
    <x:row r="682">
      <x:c r="A682" s="7" t="str">
        <x:v>3305011</x:v>
      </x:c>
      <x:c r="B682" s="7" t="str">
        <x:v>RS Umum Daerah dr. Soedirman Kabupaten Kebumen</x:v>
      </x:c>
      <x:c r="C682" s="7" t="str">
        <x:v>C</x:v>
      </x:c>
      <x:c r="D682" s="7" t="str">
        <x:v>KEBUMEN</x:v>
      </x:c>
      <x:c r="E682" s="8">
        <x:v>134273</x:v>
      </x:c>
      <x:c r="F682" s="9">
        <x:v>92155717810</x:v>
      </x:c>
      <x:c r="G682" s="9">
        <x:v>117928198467.58995</x:v>
      </x:c>
      <x:c r="H682" s="10" t="n">
        <x:f>G682-F682</x:f>
        <x:v>25772480657.58995</x:v>
      </x:c>
    </x:row>
    <x:row r="683">
      <x:c r="A683" s="7" t="str">
        <x:v>3305023</x:v>
      </x:c>
      <x:c r="B683" s="7" t="str">
        <x:v>RS Umum Permata Medika Kebumen</x:v>
      </x:c>
      <x:c r="C683" s="7" t="str">
        <x:v>C</x:v>
      </x:c>
      <x:c r="D683" s="7" t="str">
        <x:v>KEBUMEN</x:v>
      </x:c>
      <x:c r="E683" s="8">
        <x:v>66208</x:v>
      </x:c>
      <x:c r="F683" s="9">
        <x:v>49515190600</x:v>
      </x:c>
      <x:c r="G683" s="9">
        <x:v>59920493043.91003</x:v>
      </x:c>
      <x:c r="H683" s="10" t="n">
        <x:f>G683-F683</x:f>
        <x:v>10405302443.910027</x:v>
      </x:c>
    </x:row>
    <x:row r="684">
      <x:c r="A684" s="7" t="str">
        <x:v>3305033</x:v>
      </x:c>
      <x:c r="B684" s="7" t="str">
        <x:v>RS Umum Palang Biru Gombong</x:v>
      </x:c>
      <x:c r="C684" s="7" t="str">
        <x:v>C</x:v>
      </x:c>
      <x:c r="D684" s="7" t="str">
        <x:v>KEBUMEN</x:v>
      </x:c>
      <x:c r="E684" s="8">
        <x:v>27769</x:v>
      </x:c>
      <x:c r="F684" s="9">
        <x:v>28614507200</x:v>
      </x:c>
      <x:c r="G684" s="9">
        <x:v>35854211420.05001</x:v>
      </x:c>
      <x:c r="H684" s="10" t="n">
        <x:f>G684-F684</x:f>
        <x:v>7239704220.050011</x:v>
      </x:c>
    </x:row>
    <x:row r="685">
      <x:c r="A685" s="7" t="str">
        <x:v>3305066</x:v>
      </x:c>
      <x:c r="B685" s="7" t="str">
        <x:v>RS Umum PKU Muhamadiyah Gombong</x:v>
      </x:c>
      <x:c r="C685" s="7" t="str">
        <x:v>B</x:v>
      </x:c>
      <x:c r="D685" s="7" t="str">
        <x:v>KEBUMEN</x:v>
      </x:c>
      <x:c r="E685" s="8">
        <x:v>166220</x:v>
      </x:c>
      <x:c r="F685" s="9">
        <x:v>157868404620</x:v>
      </x:c>
      <x:c r="G685" s="9">
        <x:v>169954971749.89</x:v>
      </x:c>
      <x:c r="H685" s="10" t="n">
        <x:f>G685-F685</x:f>
        <x:v>12086567129.890015</x:v>
      </x:c>
    </x:row>
    <x:row r="686">
      <x:c r="A686" s="7" t="str">
        <x:v>3305081</x:v>
      </x:c>
      <x:c r="B686" s="7" t="str">
        <x:v>RS Umum Wijayakusuma</x:v>
      </x:c>
      <x:c r="C686" s="7" t="str">
        <x:v>D</x:v>
      </x:c>
      <x:c r="D686" s="7" t="str">
        <x:v>KEBUMEN</x:v>
      </x:c>
      <x:c r="E686" s="8">
        <x:v>9929</x:v>
      </x:c>
      <x:c r="F686" s="9">
        <x:v>12524499700</x:v>
      </x:c>
      <x:c r="G686" s="9">
        <x:v>16029351664.119993</x:v>
      </x:c>
      <x:c r="H686" s="10" t="n">
        <x:f>G686-F686</x:f>
        <x:v>3504851964.119993</x:v>
      </x:c>
    </x:row>
    <x:row r="687">
      <x:c r="A687" s="7" t="str">
        <x:v>3305092</x:v>
      </x:c>
      <x:c r="B687" s="7" t="str">
        <x:v>RS Umum Purbowangi</x:v>
      </x:c>
      <x:c r="C687" s="7" t="str">
        <x:v>C</x:v>
      </x:c>
      <x:c r="D687" s="7" t="str">
        <x:v>KEBUMEN</x:v>
      </x:c>
      <x:c r="E687" s="8">
        <x:v>33388</x:v>
      </x:c>
      <x:c r="F687" s="9">
        <x:v>30333660600</x:v>
      </x:c>
      <x:c r="G687" s="9">
        <x:v>36196175854.40999</x:v>
      </x:c>
      <x:c r="H687" s="10" t="n">
        <x:f>G687-F687</x:f>
        <x:v>5862515254.409988</x:v>
      </x:c>
    </x:row>
    <x:row r="688">
      <x:c r="A688" s="7" t="str">
        <x:v>3305103</x:v>
      </x:c>
      <x:c r="B688" s="7" t="str">
        <x:v>RS Umum PKU Muhammadiyah Sruweng</x:v>
      </x:c>
      <x:c r="C688" s="7" t="str">
        <x:v>C</x:v>
      </x:c>
      <x:c r="D688" s="7" t="str">
        <x:v>KEBUMEN</x:v>
      </x:c>
      <x:c r="E688" s="8">
        <x:v>73260</x:v>
      </x:c>
      <x:c r="F688" s="9">
        <x:v>54593079700</x:v>
      </x:c>
      <x:c r="G688" s="9">
        <x:v>65218326433.320015</x:v>
      </x:c>
      <x:c r="H688" s="10" t="n">
        <x:f>G688-F688</x:f>
        <x:v>10625246733.320015</x:v>
      </x:c>
    </x:row>
    <x:row r="689">
      <x:c r="A689" s="7" t="str">
        <x:v>3305114</x:v>
      </x:c>
      <x:c r="B689" s="7" t="str">
        <x:v>RS Umum Purwogondo</x:v>
      </x:c>
      <x:c r="C689" s="7" t="str">
        <x:v>D</x:v>
      </x:c>
      <x:c r="D689" s="7" t="str">
        <x:v>KEBUMEN</x:v>
      </x:c>
      <x:c r="E689" s="8">
        <x:v>25725</x:v>
      </x:c>
      <x:c r="F689" s="9">
        <x:v>20795931500</x:v>
      </x:c>
      <x:c r="G689" s="9">
        <x:v>28051663229.190002</x:v>
      </x:c>
      <x:c r="H689" s="10" t="n">
        <x:f>G689-F689</x:f>
        <x:v>7255731729.190002</x:v>
      </x:c>
    </x:row>
    <x:row r="690">
      <x:c r="A690" s="7" t="str">
        <x:v>3305117</x:v>
      </x:c>
      <x:c r="B690" s="7" t="str">
        <x:v>RS Umum PKU Muhammadiyah Petanahan Kebumen</x:v>
      </x:c>
      <x:c r="C690" s="7" t="str">
        <x:v>D</x:v>
      </x:c>
      <x:c r="D690" s="7" t="str">
        <x:v>KEBUMEN</x:v>
      </x:c>
      <x:c r="E690" s="8">
        <x:v>23499</x:v>
      </x:c>
      <x:c r="F690" s="9">
        <x:v>15429703000</x:v>
      </x:c>
      <x:c r="G690" s="9">
        <x:v>20507616349.23</x:v>
      </x:c>
      <x:c r="H690" s="10" t="n">
        <x:f>G690-F690</x:f>
        <x:v>5077913349.23</x:v>
      </x:c>
    </x:row>
    <x:row r="691">
      <x:c r="A691" s="7" t="str">
        <x:v>3305118</x:v>
      </x:c>
      <x:c r="B691" s="7" t="str">
        <x:v>RS Umum PKU Muhammadiyah Kutowinangun</x:v>
      </x:c>
      <x:c r="C691" s="7" t="str">
        <x:v>D</x:v>
      </x:c>
      <x:c r="D691" s="7" t="str">
        <x:v>KEBUMEN</x:v>
      </x:c>
      <x:c r="E691" s="8">
        <x:v>27047</x:v>
      </x:c>
      <x:c r="F691" s="9">
        <x:v>17268107800</x:v>
      </x:c>
      <x:c r="G691" s="9">
        <x:v>23881087592.769997</x:v>
      </x:c>
      <x:c r="H691" s="10" t="n">
        <x:f>G691-F691</x:f>
        <x:v>6612979792.769997</x:v>
      </x:c>
    </x:row>
    <x:row r="692">
      <x:c r="A692" s="7" t="str">
        <x:v>3305120</x:v>
      </x:c>
      <x:c r="B692" s="7" t="str">
        <x:v>RS Umum Daerah Prembun</x:v>
      </x:c>
      <x:c r="C692" s="7" t="str">
        <x:v>C</x:v>
      </x:c>
      <x:c r="D692" s="7" t="str">
        <x:v>KEBUMEN</x:v>
      </x:c>
      <x:c r="E692" s="8">
        <x:v>59510</x:v>
      </x:c>
      <x:c r="F692" s="9">
        <x:v>37156576015</x:v>
      </x:c>
      <x:c r="G692" s="9">
        <x:v>49517836761.81</x:v>
      </x:c>
      <x:c r="H692" s="10" t="n">
        <x:f>G692-F692</x:f>
        <x:v>12361260746.809998</x:v>
      </x:c>
    </x:row>
    <x:row r="693">
      <x:c r="A693" s="7" t="str">
        <x:v>3306012</x:v>
      </x:c>
      <x:c r="B693" s="7" t="str">
        <x:v>RS Umum Daerah Dr. Tjitrowardojo Purworejo</x:v>
      </x:c>
      <x:c r="C693" s="7" t="str">
        <x:v>B</x:v>
      </x:c>
      <x:c r="D693" s="7" t="str">
        <x:v>PURWOREJO</x:v>
      </x:c>
      <x:c r="E693" s="8">
        <x:v>136305</x:v>
      </x:c>
      <x:c r="F693" s="9">
        <x:v>158012896155</x:v>
      </x:c>
      <x:c r="G693" s="9">
        <x:v>174602372361.33002</x:v>
      </x:c>
      <x:c r="H693" s="10" t="n">
        <x:f>G693-F693</x:f>
        <x:v>16589476206.330017</x:v>
      </x:c>
    </x:row>
    <x:row r="694">
      <x:c r="A694" s="7" t="str">
        <x:v>3306023</x:v>
      </x:c>
      <x:c r="B694" s="7" t="str">
        <x:v>RS Umum  Aisyiyah</x:v>
      </x:c>
      <x:c r="C694" s="7" t="str">
        <x:v>D</x:v>
      </x:c>
      <x:c r="D694" s="7" t="str">
        <x:v>PURWOREJO</x:v>
      </x:c>
      <x:c r="E694" s="8">
        <x:v>5752</x:v>
      </x:c>
      <x:c r="F694" s="9">
        <x:v>2866782600</x:v>
      </x:c>
      <x:c r="G694" s="9">
        <x:v>3682144858.4700007</x:v>
      </x:c>
      <x:c r="H694" s="10" t="n">
        <x:f>G694-F694</x:f>
        <x:v>815362258.4700007</x:v>
      </x:c>
    </x:row>
    <x:row r="695">
      <x:c r="A695" s="7" t="str">
        <x:v>3306082</x:v>
      </x:c>
      <x:c r="B695" s="7" t="str">
        <x:v>RS Umum Panti Waluyo Yakkum Purworejo</x:v>
      </x:c>
      <x:c r="C695" s="7" t="str">
        <x:v>D</x:v>
      </x:c>
      <x:c r="D695" s="7" t="str">
        <x:v>PURWOREJO</x:v>
      </x:c>
      <x:c r="E695" s="8">
        <x:v>32809</x:v>
      </x:c>
      <x:c r="F695" s="9">
        <x:v>16420280400</x:v>
      </x:c>
      <x:c r="G695" s="9">
        <x:v>20910347426.929993</x:v>
      </x:c>
      <x:c r="H695" s="10" t="n">
        <x:f>G695-F695</x:f>
        <x:v>4490067026.929993</x:v>
      </x:c>
    </x:row>
    <x:row r="696">
      <x:c r="A696" s="7" t="str">
        <x:v>3306104</x:v>
      </x:c>
      <x:c r="B696" s="7" t="str">
        <x:v>RS Umum Palang Biru Kutoarjo</x:v>
      </x:c>
      <x:c r="C696" s="7" t="str">
        <x:v>C</x:v>
      </x:c>
      <x:c r="D696" s="7" t="str">
        <x:v>PURWOREJO</x:v>
      </x:c>
      <x:c r="E696" s="8">
        <x:v>35190</x:v>
      </x:c>
      <x:c r="F696" s="9">
        <x:v>31310124850</x:v>
      </x:c>
      <x:c r="G696" s="9">
        <x:v>38615081885.67002</x:v>
      </x:c>
      <x:c r="H696" s="10" t="n">
        <x:f>G696-F696</x:f>
        <x:v>7304957035.670021</x:v>
      </x:c>
    </x:row>
    <x:row r="697">
      <x:c r="A697" s="7" t="str">
        <x:v>3306105</x:v>
      </x:c>
      <x:c r="B697" s="7" t="str">
        <x:v>RS Ibu dan Anak Permata</x:v>
      </x:c>
      <x:c r="C697" s="7" t="str">
        <x:v>C</x:v>
      </x:c>
      <x:c r="D697" s="7" t="str">
        <x:v>PURWOREJO</x:v>
      </x:c>
      <x:c r="E697" s="8">
        <x:v>3134</x:v>
      </x:c>
      <x:c r="F697" s="9">
        <x:v>4760675000</x:v>
      </x:c>
      <x:c r="G697" s="9">
        <x:v>5651775625.410004</x:v>
      </x:c>
      <x:c r="H697" s="10" t="n">
        <x:f>G697-F697</x:f>
        <x:v>891100625.4100037</x:v>
      </x:c>
    </x:row>
    <x:row r="698">
      <x:c r="A698" s="7" t="str">
        <x:v>3306106</x:v>
      </x:c>
      <x:c r="B698" s="7" t="str">
        <x:v>RS Umum Purwa Husada</x:v>
      </x:c>
      <x:c r="C698" s="7" t="str">
        <x:v>D</x:v>
      </x:c>
      <x:c r="D698" s="7" t="str">
        <x:v>PURWOREJO</x:v>
      </x:c>
      <x:c r="E698" s="8">
        <x:v>3603</x:v>
      </x:c>
      <x:c r="F698" s="9">
        <x:v>2227662500</x:v>
      </x:c>
      <x:c r="G698" s="9">
        <x:v>2963310457.37</x:v>
      </x:c>
      <x:c r="H698" s="10" t="n">
        <x:f>G698-F698</x:f>
        <x:v>735647957.3699999</x:v>
      </x:c>
    </x:row>
    <x:row r="699">
      <x:c r="A699" s="7" t="str">
        <x:v>3306108</x:v>
      </x:c>
      <x:c r="B699" s="7" t="str">
        <x:v>RS Umum Kasih Ibu Purworejo</x:v>
      </x:c>
      <x:c r="C699" s="7" t="str">
        <x:v>D</x:v>
      </x:c>
      <x:c r="D699" s="7" t="str">
        <x:v>PURWOREJO</x:v>
      </x:c>
      <x:c r="E699" s="8">
        <x:v>3933</x:v>
      </x:c>
      <x:c r="F699" s="9">
        <x:v>5731488900</x:v>
      </x:c>
      <x:c r="G699" s="9">
        <x:v>6907176355.399999</x:v>
      </x:c>
      <x:c r="H699" s="10" t="n">
        <x:f>G699-F699</x:f>
        <x:v>1175687455.3999987</x:v>
      </x:c>
    </x:row>
    <x:row r="700">
      <x:c r="A700" s="7" t="str">
        <x:v>3306109</x:v>
      </x:c>
      <x:c r="B700" s="7" t="str">
        <x:v>RS Umum Islam Purworejo</x:v>
      </x:c>
      <x:c r="C700" s="7" t="str">
        <x:v>D</x:v>
      </x:c>
      <x:c r="D700" s="7" t="str">
        <x:v>PURWOREJO</x:v>
      </x:c>
      <x:c r="E700" s="8">
        <x:v>14196</x:v>
      </x:c>
      <x:c r="F700" s="9">
        <x:v>11570061200</x:v>
      </x:c>
      <x:c r="G700" s="9">
        <x:v>16977236950.919996</x:v>
      </x:c>
      <x:c r="H700" s="10" t="n">
        <x:f>G700-F700</x:f>
        <x:v>5407175750.919996</x:v>
      </x:c>
    </x:row>
    <x:row r="701">
      <x:c r="A701" s="7" t="str">
        <x:v>3306110</x:v>
      </x:c>
      <x:c r="B701" s="7" t="str">
        <x:v>RS Umum Budi Sehat Purworejo</x:v>
      </x:c>
      <x:c r="C701" s="7" t="str">
        <x:v>D</x:v>
      </x:c>
      <x:c r="D701" s="7" t="str">
        <x:v>PURWOREJO</x:v>
      </x:c>
      <x:c r="E701" s="8">
        <x:v>16153</x:v>
      </x:c>
      <x:c r="F701" s="9">
        <x:v>8902167500</x:v>
      </x:c>
      <x:c r="G701" s="9">
        <x:v>11836309992.51</x:v>
      </x:c>
      <x:c r="H701" s="10" t="n">
        <x:f>G701-F701</x:f>
        <x:v>2934142492.51</x:v>
      </x:c>
    </x:row>
    <x:row r="702">
      <x:c r="A702" s="7" t="str">
        <x:v>3306111</x:v>
      </x:c>
      <x:c r="B702" s="7" t="str">
        <x:v>RS Amanah Umat Purworejo</x:v>
      </x:c>
      <x:c r="C702" s="7" t="str">
        <x:v>C</x:v>
      </x:c>
      <x:c r="D702" s="7" t="str">
        <x:v>PURWOREJO</x:v>
      </x:c>
      <x:c r="E702" s="8">
        <x:v>22322</x:v>
      </x:c>
      <x:c r="F702" s="9">
        <x:v>14337212200</x:v>
      </x:c>
      <x:c r="G702" s="9">
        <x:v>17108382769.51</x:v>
      </x:c>
      <x:c r="H702" s="10" t="n">
        <x:f>G702-F702</x:f>
        <x:v>2771170569.51</x:v>
      </x:c>
    </x:row>
    <x:row r="703">
      <x:c r="A703" s="7" t="str">
        <x:v>3306112</x:v>
      </x:c>
      <x:c r="B703" s="7" t="str">
        <x:v>RS Umum Ananda Purworejo</x:v>
      </x:c>
      <x:c r="C703" s="7" t="str">
        <x:v>D</x:v>
      </x:c>
      <x:c r="D703" s="7" t="str">
        <x:v>PURWOREJO</x:v>
      </x:c>
      <x:c r="E703" s="8">
        <x:v>984</x:v>
      </x:c>
      <x:c r="F703" s="9">
        <x:v>1390553800</x:v>
      </x:c>
      <x:c r="G703" s="9">
        <x:v>1726884235.4199998</x:v>
      </x:c>
      <x:c r="H703" s="10" t="n">
        <x:f>G703-F703</x:f>
        <x:v>336330435.41999984</x:v>
      </x:c>
    </x:row>
    <x:row r="704">
      <x:c r="A704" s="7" t="str">
        <x:v>3306113</x:v>
      </x:c>
      <x:c r="B704" s="7" t="str">
        <x:v>RS Umum Daerah R.A.A Tjokronegoro</x:v>
      </x:c>
      <x:c r="C704" s="7" t="str">
        <x:v>C</x:v>
      </x:c>
      <x:c r="D704" s="7" t="str">
        <x:v>PURWOREJO</x:v>
      </x:c>
      <x:c r="E704" s="8">
        <x:v>57154</x:v>
      </x:c>
      <x:c r="F704" s="9">
        <x:v>36546768600</x:v>
      </x:c>
      <x:c r="G704" s="9">
        <x:v>48166917464.91999</x:v>
      </x:c>
      <x:c r="H704" s="10" t="n">
        <x:f>G704-F704</x:f>
        <x:v>11620148864.91999</x:v>
      </x:c>
    </x:row>
    <x:row r="705">
      <x:c r="A705" s="7" t="str">
        <x:v>3307013</x:v>
      </x:c>
      <x:c r="B705" s="7" t="str">
        <x:v>RS Umum Setjonegoro Wonosobo</x:v>
      </x:c>
      <x:c r="C705" s="7" t="str">
        <x:v>B</x:v>
      </x:c>
      <x:c r="D705" s="7" t="str">
        <x:v>WONOSOBO</x:v>
      </x:c>
      <x:c r="E705" s="8">
        <x:v>108874</x:v>
      </x:c>
      <x:c r="F705" s="9">
        <x:v>69302509400</x:v>
      </x:c>
      <x:c r="G705" s="9">
        <x:v>93892074133.54004</x:v>
      </x:c>
      <x:c r="H705" s="10" t="n">
        <x:f>G705-F705</x:f>
        <x:v>24589564733.54004</x:v>
      </x:c>
    </x:row>
    <x:row r="706">
      <x:c r="A706" s="7" t="str">
        <x:v>3307035</x:v>
      </x:c>
      <x:c r="B706" s="7" t="str">
        <x:v>RS Ibu dan Anak Adina</x:v>
      </x:c>
      <x:c r="C706" s="7" t="str">
        <x:v>C</x:v>
      </x:c>
      <x:c r="D706" s="7" t="str">
        <x:v>WONOSOBO</x:v>
      </x:c>
      <x:c r="E706" s="8">
        <x:v>4828</x:v>
      </x:c>
      <x:c r="F706" s="9">
        <x:v>7537377900</x:v>
      </x:c>
      <x:c r="G706" s="9">
        <x:v>8243497019.640003</x:v>
      </x:c>
      <x:c r="H706" s="10" t="n">
        <x:f>G706-F706</x:f>
        <x:v>706119119.6400032</x:v>
      </x:c>
    </x:row>
    <x:row r="707">
      <x:c r="A707" s="7" t="str">
        <x:v>3307050</x:v>
      </x:c>
      <x:c r="B707" s="7" t="str">
        <x:v>RS Umum Islam Wonosobo</x:v>
      </x:c>
      <x:c r="C707" s="7" t="str">
        <x:v>C</x:v>
      </x:c>
      <x:c r="D707" s="7" t="str">
        <x:v>WONOSOBO</x:v>
      </x:c>
      <x:c r="E707" s="8">
        <x:v>31718</x:v>
      </x:c>
      <x:c r="F707" s="9">
        <x:v>26333598550</x:v>
      </x:c>
      <x:c r="G707" s="9">
        <x:v>32213898429.419994</x:v>
      </x:c>
      <x:c r="H707" s="10" t="n">
        <x:f>G707-F707</x:f>
        <x:v>5880299879.419994</x:v>
      </x:c>
    </x:row>
    <x:row r="708">
      <x:c r="A708" s="7" t="str">
        <x:v>3307051</x:v>
      </x:c>
      <x:c r="B708" s="7" t="str">
        <x:v>RS Umum  PKU Muhammadiyah Wonosobo</x:v>
      </x:c>
      <x:c r="C708" s="7" t="str">
        <x:v>C</x:v>
      </x:c>
      <x:c r="D708" s="7" t="str">
        <x:v>WONOSOBO</x:v>
      </x:c>
      <x:c r="E708" s="8">
        <x:v>78456</x:v>
      </x:c>
      <x:c r="F708" s="9">
        <x:v>65095667950</x:v>
      </x:c>
      <x:c r="G708" s="9">
        <x:v>76614392493.22003</x:v>
      </x:c>
      <x:c r="H708" s="10" t="n">
        <x:f>G708-F708</x:f>
        <x:v>11518724543.220032</x:v>
      </x:c>
    </x:row>
    <x:row r="709">
      <x:c r="A709" s="7" t="str">
        <x:v>3307062</x:v>
      </x:c>
      <x:c r="B709" s="7" t="str">
        <x:v>RS Umum AISs Wonosobo</x:v>
      </x:c>
      <x:c r="C709" s="7" t="str">
        <x:v>D</x:v>
      </x:c>
      <x:c r="D709" s="7" t="str">
        <x:v>WONOSOBO</x:v>
      </x:c>
      <x:c r="E709" s="8">
        <x:v>459</x:v>
      </x:c>
      <x:c r="F709" s="9">
        <x:v>804931600</x:v>
      </x:c>
      <x:c r="G709" s="9">
        <x:v>982818652.4599998</x:v>
      </x:c>
      <x:c r="H709" s="10" t="n">
        <x:f>G709-F709</x:f>
        <x:v>177887052.4599998</x:v>
      </x:c>
    </x:row>
    <x:row r="710">
      <x:c r="A710" s="7" t="str">
        <x:v>3308014</x:v>
      </x:c>
      <x:c r="B710" s="7" t="str">
        <x:v>RS Umum Daerah Muntilan Kab. Magelang</x:v>
      </x:c>
      <x:c r="C710" s="7" t="str">
        <x:v>C</x:v>
      </x:c>
      <x:c r="D710" s="7" t="str">
        <x:v>MAGELANG</x:v>
      </x:c>
      <x:c r="E710" s="8">
        <x:v>75278</x:v>
      </x:c>
      <x:c r="F710" s="9">
        <x:v>62140891530</x:v>
      </x:c>
      <x:c r="G710" s="9">
        <x:v>79690816301.83</x:v>
      </x:c>
      <x:c r="H710" s="10" t="n">
        <x:f>G710-F710</x:f>
        <x:v>17549924771.83</x:v>
      </x:c>
    </x:row>
    <x:row r="711">
      <x:c r="A711" s="7" t="str">
        <x:v>3308017</x:v>
      </x:c>
      <x:c r="B711" s="7" t="str">
        <x:v>RS Umum Aisyiyah Muntilan</x:v>
      </x:c>
      <x:c r="C711" s="7" t="str">
        <x:v>C</x:v>
      </x:c>
      <x:c r="D711" s="7" t="str">
        <x:v>MAGELANG</x:v>
      </x:c>
      <x:c r="E711" s="8">
        <x:v>54793</x:v>
      </x:c>
      <x:c r="F711" s="9">
        <x:v>38190972700</x:v>
      </x:c>
      <x:c r="G711" s="9">
        <x:v>46718264847.48995</x:v>
      </x:c>
      <x:c r="H711" s="10" t="n">
        <x:f>G711-F711</x:f>
        <x:v>8527292147.489952</x:v>
      </x:c>
    </x:row>
    <x:row r="712">
      <x:c r="A712" s="7" t="str">
        <x:v>3308021</x:v>
      </x:c>
      <x:c r="B712" s="7" t="str">
        <x:v>RS Umum Syubbanul Wathon</x:v>
      </x:c>
      <x:c r="C712" s="7" t="str">
        <x:v>C</x:v>
      </x:c>
      <x:c r="D712" s="7" t="str">
        <x:v>MAGELANG</x:v>
      </x:c>
      <x:c r="E712" s="8">
        <x:v>23374</x:v>
      </x:c>
      <x:c r="F712" s="9">
        <x:v>16594400600</x:v>
      </x:c>
      <x:c r="G712" s="9">
        <x:v>19044667182.760002</x:v>
      </x:c>
      <x:c r="H712" s="10" t="n">
        <x:f>G712-F712</x:f>
        <x:v>2450266582.760002</x:v>
      </x:c>
    </x:row>
    <x:row r="713">
      <x:c r="A713" s="7" t="str">
        <x:v>3308022</x:v>
      </x:c>
      <x:c r="B713" s="7" t="str">
        <x:v>RS Umum Daerah Merah Putih</x:v>
      </x:c>
      <x:c r="C713" s="7" t="str">
        <x:v>C</x:v>
      </x:c>
      <x:c r="D713" s="7" t="str">
        <x:v>MAGELANG</x:v>
      </x:c>
      <x:c r="E713" s="8">
        <x:v>68022</x:v>
      </x:c>
      <x:c r="F713" s="9">
        <x:v>60087047800</x:v>
      </x:c>
      <x:c r="G713" s="9">
        <x:v>75325763412.47003</x:v>
      </x:c>
      <x:c r="H713" s="10" t="n">
        <x:f>G713-F713</x:f>
        <x:v>15238715612.470032</x:v>
      </x:c>
    </x:row>
    <x:row r="714">
      <x:c r="A714" s="7" t="str">
        <x:v>3309015</x:v>
      </x:c>
      <x:c r="B714" s="7" t="str">
        <x:v>RS Umum Daerah Pandan Arang Boyolali</x:v>
      </x:c>
      <x:c r="C714" s="7" t="str">
        <x:v>B</x:v>
      </x:c>
      <x:c r="D714" s="7" t="str">
        <x:v>BOYOLALI</x:v>
      </x:c>
      <x:c r="E714" s="8">
        <x:v>89713</x:v>
      </x:c>
      <x:c r="F714" s="9">
        <x:v>98900518235</x:v>
      </x:c>
      <x:c r="G714" s="9">
        <x:v>109740211492.26007</x:v>
      </x:c>
      <x:c r="H714" s="10" t="n">
        <x:f>G714-F714</x:f>
        <x:v>10839693257.26007</x:v>
      </x:c>
    </x:row>
    <x:row r="715">
      <x:c r="A715" s="7" t="str">
        <x:v>3309063</x:v>
      </x:c>
      <x:c r="B715" s="7" t="str">
        <x:v>RS Umum PKU Aisyiyah Boyolali</x:v>
      </x:c>
      <x:c r="C715" s="7" t="str">
        <x:v>C</x:v>
      </x:c>
      <x:c r="D715" s="7" t="str">
        <x:v>BOYOLALI</x:v>
      </x:c>
      <x:c r="E715" s="8">
        <x:v>52815</x:v>
      </x:c>
      <x:c r="F715" s="9">
        <x:v>35836081300</x:v>
      </x:c>
      <x:c r="G715" s="9">
        <x:v>43569791090.43999</x:v>
      </x:c>
      <x:c r="H715" s="10" t="n">
        <x:f>G715-F715</x:f>
        <x:v>7733709790.439987</x:v>
      </x:c>
    </x:row>
    <x:row r="716">
      <x:c r="A716" s="7" t="str">
        <x:v>3309074</x:v>
      </x:c>
      <x:c r="B716" s="7" t="str">
        <x:v>RS Umum Umi Barokah</x:v>
      </x:c>
      <x:c r="C716" s="7" t="str">
        <x:v>D</x:v>
      </x:c>
      <x:c r="D716" s="7" t="str">
        <x:v>BOYOLALI</x:v>
      </x:c>
      <x:c r="E716" s="8">
        <x:v>32143</x:v>
      </x:c>
      <x:c r="F716" s="9">
        <x:v>23505627300</x:v>
      </x:c>
      <x:c r="G716" s="9">
        <x:v>30093065135.600014</x:v>
      </x:c>
      <x:c r="H716" s="10" t="n">
        <x:f>G716-F716</x:f>
        <x:v>6587437835.600014</x:v>
      </x:c>
    </x:row>
    <x:row r="717">
      <x:c r="A717" s="7" t="str">
        <x:v>3309085</x:v>
      </x:c>
      <x:c r="B717" s="7" t="str">
        <x:v>RS Umum  Karanggede Sisma Medika</x:v>
      </x:c>
      <x:c r="C717" s="7" t="str">
        <x:v>D</x:v>
      </x:c>
      <x:c r="D717" s="7" t="str">
        <x:v>BOYOLALI</x:v>
      </x:c>
      <x:c r="E717" s="8">
        <x:v>32949</x:v>
      </x:c>
      <x:c r="F717" s="9">
        <x:v>22980449400</x:v>
      </x:c>
      <x:c r="G717" s="9">
        <x:v>29159639519.689995</x:v>
      </x:c>
      <x:c r="H717" s="10" t="n">
        <x:f>G717-F717</x:f>
        <x:v>6179190119.689995</x:v>
      </x:c>
    </x:row>
    <x:row r="718">
      <x:c r="A718" s="7" t="str">
        <x:v>3309096</x:v>
      </x:c>
      <x:c r="B718" s="7" t="str">
        <x:v>RS Umum Daerah Waras Wiris</x:v>
      </x:c>
      <x:c r="C718" s="7" t="str">
        <x:v>C</x:v>
      </x:c>
      <x:c r="D718" s="7" t="str">
        <x:v>BOYOLALI</x:v>
      </x:c>
      <x:c r="E718" s="8">
        <x:v>26698</x:v>
      </x:c>
      <x:c r="F718" s="9">
        <x:v>24098853700</x:v>
      </x:c>
      <x:c r="G718" s="9">
        <x:v>30317402083.62</x:v>
      </x:c>
      <x:c r="H718" s="10" t="n">
        <x:f>G718-F718</x:f>
        <x:v>6218548383.619999</x:v>
      </x:c>
    </x:row>
    <x:row r="719">
      <x:c r="A719" s="7" t="str">
        <x:v>3309107</x:v>
      </x:c>
      <x:c r="B719" s="7" t="str">
        <x:v>RS Umum Daerah Simo</x:v>
      </x:c>
      <x:c r="C719" s="7" t="str">
        <x:v>D</x:v>
      </x:c>
      <x:c r="D719" s="7" t="str">
        <x:v>BOYOLALI</x:v>
      </x:c>
      <x:c r="E719" s="8">
        <x:v>23008</x:v>
      </x:c>
      <x:c r="F719" s="9">
        <x:v>17516874410</x:v>
      </x:c>
      <x:c r="G719" s="9">
        <x:v>25263331464.38</x:v>
      </x:c>
      <x:c r="H719" s="10" t="n">
        <x:f>G719-F719</x:f>
        <x:v>7746457054.380001</x:v>
      </x:c>
    </x:row>
    <x:row r="720">
      <x:c r="A720" s="7" t="str">
        <x:v>3309128</x:v>
      </x:c>
      <x:c r="B720" s="7" t="str">
        <x:v>RS Umum Asy-Syifa Sambi</x:v>
      </x:c>
      <x:c r="C720" s="7" t="str">
        <x:v>D</x:v>
      </x:c>
      <x:c r="D720" s="7" t="str">
        <x:v>BOYOLALI</x:v>
      </x:c>
      <x:c r="E720" s="8">
        <x:v>27558</x:v>
      </x:c>
      <x:c r="F720" s="9">
        <x:v>21788928100</x:v>
      </x:c>
      <x:c r="G720" s="9">
        <x:v>28998505980.629997</x:v>
      </x:c>
      <x:c r="H720" s="10" t="n">
        <x:f>G720-F720</x:f>
        <x:v>7209577880.629997</x:v>
      </x:c>
    </x:row>
    <x:row r="721">
      <x:c r="A721" s="7" t="str">
        <x:v>3309129</x:v>
      </x:c>
      <x:c r="B721" s="7" t="str">
        <x:v>RS Umum Hidayah Boyolali</x:v>
      </x:c>
      <x:c r="C721" s="7" t="str">
        <x:v>D</x:v>
      </x:c>
      <x:c r="D721" s="7" t="str">
        <x:v>BOYOLALI</x:v>
      </x:c>
      <x:c r="E721" s="8">
        <x:v>17562</x:v>
      </x:c>
      <x:c r="F721" s="9">
        <x:v>15080195100</x:v>
      </x:c>
      <x:c r="G721" s="9">
        <x:v>19550308357.409996</x:v>
      </x:c>
      <x:c r="H721" s="10" t="n">
        <x:f>G721-F721</x:f>
        <x:v>4470113257.409996</x:v>
      </x:c>
    </x:row>
    <x:row r="722">
      <x:c r="A722" s="7" t="str">
        <x:v>3309131</x:v>
      </x:c>
      <x:c r="B722" s="7" t="str">
        <x:v>RS Umum Islam Banyubening Boyolali</x:v>
      </x:c>
      <x:c r="C722" s="7" t="str">
        <x:v>C</x:v>
      </x:c>
      <x:c r="D722" s="7" t="str">
        <x:v>BOYOLALI</x:v>
      </x:c>
      <x:c r="E722" s="8">
        <x:v>53282</x:v>
      </x:c>
      <x:c r="F722" s="9">
        <x:v>41633458500</x:v>
      </x:c>
      <x:c r="G722" s="9">
        <x:v>48810610584.19999</x:v>
      </x:c>
      <x:c r="H722" s="10" t="n">
        <x:f>G722-F722</x:f>
        <x:v>7177152084.199989</x:v>
      </x:c>
    </x:row>
    <x:row r="723">
      <x:c r="A723" s="7" t="str">
        <x:v>3309132</x:v>
      </x:c>
      <x:c r="B723" s="7" t="str">
        <x:v>RS Umum Natalia</x:v>
      </x:c>
      <x:c r="C723" s="7" t="str">
        <x:v>D</x:v>
      </x:c>
      <x:c r="D723" s="7" t="str">
        <x:v>BOYOLALI</x:v>
      </x:c>
      <x:c r="E723" s="8">
        <x:v>6436</x:v>
      </x:c>
      <x:c r="F723" s="9">
        <x:v>6734826800</x:v>
      </x:c>
      <x:c r="G723" s="9">
        <x:v>8564742177.950002</x:v>
      </x:c>
      <x:c r="H723" s="10" t="n">
        <x:f>G723-F723</x:f>
        <x:v>1829915377.9500017</x:v>
      </x:c>
    </x:row>
    <x:row r="724">
      <x:c r="A724" s="7" t="str">
        <x:v>3309135</x:v>
      </x:c>
      <x:c r="B724" s="7" t="str">
        <x:v>RS Indriati Boyolali</x:v>
      </x:c>
      <x:c r="C724" s="7" t="str">
        <x:v>C</x:v>
      </x:c>
      <x:c r="D724" s="7" t="str">
        <x:v>BOYOLALI</x:v>
      </x:c>
      <x:c r="E724" s="8">
        <x:v>44759</x:v>
      </x:c>
      <x:c r="F724" s="9">
        <x:v>31767184800</x:v>
      </x:c>
      <x:c r="G724" s="9">
        <x:v>36562234227.69999</x:v>
      </x:c>
      <x:c r="H724" s="10" t="n">
        <x:f>G724-F724</x:f>
        <x:v>4795049427.699989</x:v>
      </x:c>
    </x:row>
    <x:row r="725">
      <x:c r="A725" s="7" t="str">
        <x:v>3309136</x:v>
      </x:c>
      <x:c r="B725" s="7" t="str">
        <x:v>RS Umum Islam Boyolali</x:v>
      </x:c>
      <x:c r="C725" s="7" t="str">
        <x:v>C</x:v>
      </x:c>
      <x:c r="D725" s="7" t="str">
        <x:v>BOYOLALI</x:v>
      </x:c>
      <x:c r="E725" s="8">
        <x:v>48184</x:v>
      </x:c>
      <x:c r="F725" s="9">
        <x:v>35932698800</x:v>
      </x:c>
      <x:c r="G725" s="9">
        <x:v>43577643766.680016</x:v>
      </x:c>
      <x:c r="H725" s="10" t="n">
        <x:f>G725-F725</x:f>
        <x:v>7644944966.680016</x:v>
      </x:c>
    </x:row>
    <x:row r="726">
      <x:c r="A726" s="7" t="str">
        <x:v>3309149</x:v>
      </x:c>
      <x:c r="B726" s="7" t="str">
        <x:v>RS Umum PKU dr. Soemowidagdo Boyolali</x:v>
      </x:c>
      <x:c r="C726" s="7" t="str">
        <x:v>D</x:v>
      </x:c>
      <x:c r="D726" s="7" t="str">
        <x:v>BOYOLALI</x:v>
      </x:c>
      <x:c r="E726" s="8">
        <x:v>1440</x:v>
      </x:c>
      <x:c r="F726" s="9">
        <x:v>1726264200</x:v>
      </x:c>
      <x:c r="G726" s="9">
        <x:v>2277705695.590001</x:v>
      </x:c>
      <x:c r="H726" s="10" t="n">
        <x:f>G726-F726</x:f>
        <x:v>551441495.5900011</x:v>
      </x:c>
    </x:row>
    <x:row r="727">
      <x:c r="A727" s="7" t="str">
        <x:v>3310015</x:v>
      </x:c>
      <x:c r="B727" s="7" t="str">
        <x:v>RS Umum Pusat Dr. Soeradji Tirtonegoro</x:v>
      </x:c>
      <x:c r="C727" s="7" t="str">
        <x:v>A</x:v>
      </x:c>
      <x:c r="D727" s="7" t="str">
        <x:v>KLATEN</x:v>
      </x:c>
      <x:c r="E727" s="8">
        <x:v>127346</x:v>
      </x:c>
      <x:c r="F727" s="9">
        <x:v>285496400795</x:v>
      </x:c>
      <x:c r="G727" s="9">
        <x:v>238277035626.19012</x:v>
      </x:c>
      <x:c r="H727" s="10" t="n">
        <x:f>G727-F727</x:f>
        <x:v>-47219365168.809875</x:v>
      </x:c>
    </x:row>
    <x:row r="728">
      <x:c r="A728" s="7" t="str">
        <x:v>3310026</x:v>
      </x:c>
      <x:c r="B728" s="7" t="str">
        <x:v>RS Jiwa Daerah Dr. RM. Soedjarwadi</x:v>
      </x:c>
      <x:c r="C728" s="7" t="str">
        <x:v>A</x:v>
      </x:c>
      <x:c r="D728" s="7" t="str">
        <x:v>KLATEN</x:v>
      </x:c>
      <x:c r="E728" s="8">
        <x:v>52139</x:v>
      </x:c>
      <x:c r="F728" s="9">
        <x:v>36501932100</x:v>
      </x:c>
      <x:c r="G728" s="9">
        <x:v>36253234589.30999</x:v>
      </x:c>
      <x:c r="H728" s="10" t="n">
        <x:f>G728-F728</x:f>
        <x:v>-248697510.69001007</x:v>
      </x:c>
    </x:row>
    <x:row r="729">
      <x:c r="A729" s="7" t="str">
        <x:v>3310040</x:v>
      </x:c>
      <x:c r="B729" s="7" t="str">
        <x:v>RS 3310040</x:v>
      </x:c>
      <x:c r="C729" s="7" t="str">
        <x:v>D</x:v>
      </x:c>
      <x:c r="D729" s="7" t="str">
        <x:v>KLATEN</x:v>
      </x:c>
      <x:c r="E729" s="8">
        <x:v>1603</x:v>
      </x:c>
      <x:c r="F729" s="9">
        <x:v>492493200</x:v>
      </x:c>
      <x:c r="G729" s="9">
        <x:v>766114173.2000002</x:v>
      </x:c>
      <x:c r="H729" s="10" t="n">
        <x:f>G729-F729</x:f>
        <x:v>273620973.20000017</x:v>
      </x:c>
    </x:row>
    <x:row r="730">
      <x:c r="A730" s="7" t="str">
        <x:v>3310052</x:v>
      </x:c>
      <x:c r="B730" s="7" t="str">
        <x:v>RS Umum 'Aisyiyah Klaten</x:v>
      </x:c>
      <x:c r="C730" s="7" t="str">
        <x:v>C</x:v>
      </x:c>
      <x:c r="D730" s="7" t="str">
        <x:v>KLATEN</x:v>
      </x:c>
      <x:c r="E730" s="8">
        <x:v>21147</x:v>
      </x:c>
      <x:c r="F730" s="9">
        <x:v>26443088000</x:v>
      </x:c>
      <x:c r="G730" s="9">
        <x:v>31152010632.950012</x:v>
      </x:c>
      <x:c r="H730" s="10" t="n">
        <x:f>G730-F730</x:f>
        <x:v>4708922632.950012</x:v>
      </x:c>
    </x:row>
    <x:row r="731">
      <x:c r="A731" s="7" t="str">
        <x:v>3310384</x:v>
      </x:c>
      <x:c r="B731" s="7" t="str">
        <x:v>RS Umum Islam Klaten</x:v>
      </x:c>
      <x:c r="C731" s="7" t="str">
        <x:v>B</x:v>
      </x:c>
      <x:c r="D731" s="7" t="str">
        <x:v>KLATEN</x:v>
      </x:c>
      <x:c r="E731" s="8">
        <x:v>165734</x:v>
      </x:c>
      <x:c r="F731" s="9">
        <x:v>153677664200</x:v>
      </x:c>
      <x:c r="G731" s="9">
        <x:v>160494982999.88998</x:v>
      </x:c>
      <x:c r="H731" s="10" t="n">
        <x:f>G731-F731</x:f>
        <x:v>6817318799.889984</x:v>
      </x:c>
    </x:row>
    <x:row r="732">
      <x:c r="A732" s="7" t="str">
        <x:v>3310395</x:v>
      </x:c>
      <x:c r="B732" s="7" t="str">
        <x:v>RS Umum Cakra Husada</x:v>
      </x:c>
      <x:c r="C732" s="7" t="str">
        <x:v>C</x:v>
      </x:c>
      <x:c r="D732" s="7" t="str">
        <x:v>KLATEN</x:v>
      </x:c>
      <x:c r="E732" s="8">
        <x:v>95736</x:v>
      </x:c>
      <x:c r="F732" s="9">
        <x:v>49814459800</x:v>
      </x:c>
      <x:c r="G732" s="9">
        <x:v>59250429667.970024</x:v>
      </x:c>
      <x:c r="H732" s="10" t="n">
        <x:f>G732-F732</x:f>
        <x:v>9435969867.970024</x:v>
      </x:c>
    </x:row>
    <x:row r="733">
      <x:c r="A733" s="7" t="str">
        <x:v>3310405</x:v>
      </x:c>
      <x:c r="B733" s="7" t="str">
        <x:v>RS Umum Diponegoro Dua Satu Klaten</x:v>
      </x:c>
      <x:c r="C733" s="7" t="str">
        <x:v>C</x:v>
      </x:c>
      <x:c r="D733" s="7" t="str">
        <x:v>KLATEN</x:v>
      </x:c>
      <x:c r="E733" s="8">
        <x:v>51210</x:v>
      </x:c>
      <x:c r="F733" s="9">
        <x:v>30181971750</x:v>
      </x:c>
      <x:c r="G733" s="9">
        <x:v>36183480697.66999</x:v>
      </x:c>
      <x:c r="H733" s="10" t="n">
        <x:f>G733-F733</x:f>
        <x:v>6001508947.669991</x:v>
      </x:c>
    </x:row>
    <x:row r="734">
      <x:c r="A734" s="7" t="str">
        <x:v>3310416</x:v>
      </x:c>
      <x:c r="B734" s="7" t="str">
        <x:v>RS Umum PKU Muhammadiyah Delanggu</x:v>
      </x:c>
      <x:c r="C734" s="7" t="str">
        <x:v>C</x:v>
      </x:c>
      <x:c r="D734" s="7" t="str">
        <x:v>KLATEN</x:v>
      </x:c>
      <x:c r="E734" s="8">
        <x:v>72436</x:v>
      </x:c>
      <x:c r="F734" s="9">
        <x:v>56490118400</x:v>
      </x:c>
      <x:c r="G734" s="9">
        <x:v>64500414243.89998</x:v>
      </x:c>
      <x:c r="H734" s="10" t="n">
        <x:f>G734-F734</x:f>
        <x:v>8010295843.899979</x:v>
      </x:c>
    </x:row>
    <x:row r="735">
      <x:c r="A735" s="7" t="str">
        <x:v>3310417</x:v>
      </x:c>
      <x:c r="B735" s="7" t="str">
        <x:v>RS Umum Islam Cawas Klaten</x:v>
      </x:c>
      <x:c r="C735" s="7" t="str">
        <x:v>C</x:v>
      </x:c>
      <x:c r="D735" s="7" t="str">
        <x:v>KLATEN</x:v>
      </x:c>
      <x:c r="E735" s="8">
        <x:v>78952</x:v>
      </x:c>
      <x:c r="F735" s="9">
        <x:v>42065833200</x:v>
      </x:c>
      <x:c r="G735" s="9">
        <x:v>52449806979.94001</x:v>
      </x:c>
      <x:c r="H735" s="10" t="n">
        <x:f>G735-F735</x:f>
        <x:v>10383973779.94001</x:v>
      </x:c>
    </x:row>
    <x:row r="736">
      <x:c r="A736" s="7" t="str">
        <x:v>3310418</x:v>
      </x:c>
      <x:c r="B736" s="7" t="str">
        <x:v>RS Umum PKU Muhammadiyah Jatinom</x:v>
      </x:c>
      <x:c r="C736" s="7" t="str">
        <x:v>C</x:v>
      </x:c>
      <x:c r="D736" s="7" t="str">
        <x:v>KLATEN</x:v>
      </x:c>
      <x:c r="E736" s="8">
        <x:v>49281</x:v>
      </x:c>
      <x:c r="F736" s="9">
        <x:v>30527515400</x:v>
      </x:c>
      <x:c r="G736" s="9">
        <x:v>39374502823.77</x:v>
      </x:c>
      <x:c r="H736" s="10" t="n">
        <x:f>G736-F736</x:f>
        <x:v>8846987423.769997</x:v>
      </x:c>
    </x:row>
    <x:row r="737">
      <x:c r="A737" s="7" t="str">
        <x:v>3310419</x:v>
      </x:c>
      <x:c r="B737" s="7" t="str">
        <x:v>RS Umum Mitra Pedan</x:v>
      </x:c>
      <x:c r="C737" s="7" t="str">
        <x:v>D</x:v>
      </x:c>
      <x:c r="D737" s="7" t="str">
        <x:v>KLATEN</x:v>
      </x:c>
      <x:c r="E737" s="8">
        <x:v>39546</x:v>
      </x:c>
      <x:c r="F737" s="9">
        <x:v>21330181000</x:v>
      </x:c>
      <x:c r="G737" s="9">
        <x:v>28043834266.249996</x:v>
      </x:c>
      <x:c r="H737" s="10" t="n">
        <x:f>G737-F737</x:f>
        <x:v>6713653266.249996</x:v>
      </x:c>
    </x:row>
    <x:row r="738">
      <x:c r="A738" s="7" t="str">
        <x:v>3310421</x:v>
      </x:c>
      <x:c r="B738" s="7" t="str">
        <x:v>RS Umum Daerah Bagas Waras</x:v>
      </x:c>
      <x:c r="C738" s="7" t="str">
        <x:v>C</x:v>
      </x:c>
      <x:c r="D738" s="7" t="str">
        <x:v>KLATEN</x:v>
      </x:c>
      <x:c r="E738" s="8">
        <x:v>67517</x:v>
      </x:c>
      <x:c r="F738" s="9">
        <x:v>35008260305</x:v>
      </x:c>
      <x:c r="G738" s="9">
        <x:v>44301189474.149994</x:v>
      </x:c>
      <x:c r="H738" s="10" t="n">
        <x:f>G738-F738</x:f>
        <x:v>9292929169.149994</x:v>
      </x:c>
    </x:row>
    <x:row r="739">
      <x:c r="A739" s="7" t="str">
        <x:v>3310425</x:v>
      </x:c>
      <x:c r="B739" s="7" t="str">
        <x:v>RS Umum PKU Muhammadiyah Pedan</x:v>
      </x:c>
      <x:c r="C739" s="7" t="str">
        <x:v>D</x:v>
      </x:c>
      <x:c r="D739" s="7" t="str">
        <x:v>KLATEN</x:v>
      </x:c>
      <x:c r="E739" s="8">
        <x:v>18583</x:v>
      </x:c>
      <x:c r="F739" s="9">
        <x:v>12905407300</x:v>
      </x:c>
      <x:c r="G739" s="9">
        <x:v>16932708752.959995</x:v>
      </x:c>
      <x:c r="H739" s="10" t="n">
        <x:f>G739-F739</x:f>
        <x:v>4027301452.9599953</x:v>
      </x:c>
    </x:row>
    <x:row r="740">
      <x:c r="A740" s="7" t="str">
        <x:v>3310426</x:v>
      </x:c>
      <x:c r="B740" s="7" t="str">
        <x:v>RS PKU Muhammadiyah Prambanan</x:v>
      </x:c>
      <x:c r="C740" s="7" t="str">
        <x:v>D</x:v>
      </x:c>
      <x:c r="D740" s="7" t="str">
        <x:v>KLATEN</x:v>
      </x:c>
      <x:c r="E740" s="8">
        <x:v>17332</x:v>
      </x:c>
      <x:c r="F740" s="9">
        <x:v>8908922050</x:v>
      </x:c>
      <x:c r="G740" s="9">
        <x:v>12511475083.97</x:v>
      </x:c>
      <x:c r="H740" s="10" t="n">
        <x:f>G740-F740</x:f>
        <x:v>3602553033.9699993</x:v>
      </x:c>
    </x:row>
    <x:row r="741">
      <x:c r="A741" s="7" t="str">
        <x:v>3311016</x:v>
      </x:c>
      <x:c r="B741" s="7" t="str">
        <x:v>RS Umum Daerah Ir. Soekarno Kabupaten Sukoharjo</x:v>
      </x:c>
      <x:c r="C741" s="7" t="str">
        <x:v>B</x:v>
      </x:c>
      <x:c r="D741" s="7" t="str">
        <x:v>SUKOHARJO</x:v>
      </x:c>
      <x:c r="E741" s="8">
        <x:v>59756</x:v>
      </x:c>
      <x:c r="F741" s="9">
        <x:v>67962748295</x:v>
      </x:c>
      <x:c r="G741" s="9">
        <x:v>73704548607.78003</x:v>
      </x:c>
      <x:c r="H741" s="10" t="n">
        <x:f>G741-F741</x:f>
        <x:v>5741800312.780029</x:v>
      </x:c>
    </x:row>
    <x:row r="742">
      <x:c r="A742" s="7" t="str">
        <x:v>3311027</x:v>
      </x:c>
      <x:c r="B742" s="7" t="str">
        <x:v>RS Khusus Orthopedi Karima Utama</x:v>
      </x:c>
      <x:c r="C742" s="7" t="str">
        <x:v>C</x:v>
      </x:c>
      <x:c r="D742" s="7" t="str">
        <x:v>SUKOHARJO</x:v>
      </x:c>
      <x:c r="E742" s="8">
        <x:v>13015</x:v>
      </x:c>
      <x:c r="F742" s="9">
        <x:v>44314443100</x:v>
      </x:c>
      <x:c r="G742" s="9">
        <x:v>59978752957.00999</x:v>
      </x:c>
      <x:c r="H742" s="10" t="n">
        <x:f>G742-F742</x:f>
        <x:v>15664309857.009987</x:v>
      </x:c>
    </x:row>
    <x:row r="743">
      <x:c r="A743" s="7" t="str">
        <x:v>3311213</x:v>
      </x:c>
      <x:c r="B743" s="7" t="str">
        <x:v>RS Umum Nirmala Suri</x:v>
      </x:c>
      <x:c r="C743" s="7" t="str">
        <x:v>C</x:v>
      </x:c>
      <x:c r="D743" s="7" t="str">
        <x:v>SUKOHARJO</x:v>
      </x:c>
      <x:c r="E743" s="8">
        <x:v>42772</x:v>
      </x:c>
      <x:c r="F743" s="9">
        <x:v>31546089850</x:v>
      </x:c>
      <x:c r="G743" s="9">
        <x:v>38024041090.86003</x:v>
      </x:c>
      <x:c r="H743" s="10" t="n">
        <x:f>G743-F743</x:f>
        <x:v>6477951240.860031</x:v>
      </x:c>
    </x:row>
    <x:row r="744">
      <x:c r="A744" s="7" t="str">
        <x:v>3311224</x:v>
      </x:c>
      <x:c r="B744" s="7" t="str">
        <x:v>RS Umum Dr. Oen Solo Baru</x:v>
      </x:c>
      <x:c r="C744" s="7" t="str">
        <x:v>C</x:v>
      </x:c>
      <x:c r="D744" s="7" t="str">
        <x:v>SUKOHARJO</x:v>
      </x:c>
      <x:c r="E744" s="8">
        <x:v>98034</x:v>
      </x:c>
      <x:c r="F744" s="9">
        <x:v>72719180500</x:v>
      </x:c>
      <x:c r="G744" s="9">
        <x:v>84713970374.15999</x:v>
      </x:c>
      <x:c r="H744" s="10" t="n">
        <x:f>G744-F744</x:f>
        <x:v>11994789874.159988</x:v>
      </x:c>
    </x:row>
    <x:row r="745">
      <x:c r="A745" s="7" t="str">
        <x:v>3311225</x:v>
      </x:c>
      <x:c r="B745" s="7" t="str">
        <x:v>RS Umum PKU Muhammadiyah Sukoharjo</x:v>
      </x:c>
      <x:c r="C745" s="7" t="str">
        <x:v>C</x:v>
      </x:c>
      <x:c r="D745" s="7" t="str">
        <x:v>SUKOHARJO</x:v>
      </x:c>
      <x:c r="E745" s="8">
        <x:v>48407</x:v>
      </x:c>
      <x:c r="F745" s="9">
        <x:v>30082400700</x:v>
      </x:c>
      <x:c r="G745" s="9">
        <x:v>36490331648.49</x:v>
      </x:c>
      <x:c r="H745" s="10" t="n">
        <x:f>G745-F745</x:f>
        <x:v>6407930948.489998</x:v>
      </x:c>
    </x:row>
    <x:row r="746">
      <x:c r="A746" s="7" t="str">
        <x:v>3311228</x:v>
      </x:c>
      <x:c r="B746" s="7" t="str">
        <x:v>RS Umum Universitas Sebelas Maret</x:v>
      </x:c>
      <x:c r="C746" s="7" t="str">
        <x:v>C</x:v>
      </x:c>
      <x:c r="D746" s="7" t="str">
        <x:v>SUKOHARJO</x:v>
      </x:c>
      <x:c r="E746" s="8">
        <x:v>101032</x:v>
      </x:c>
      <x:c r="F746" s="9">
        <x:v>65230326120</x:v>
      </x:c>
      <x:c r="G746" s="9">
        <x:v>87026810882.50003</x:v>
      </x:c>
      <x:c r="H746" s="10" t="n">
        <x:f>G746-F746</x:f>
        <x:v>21796484762.50003</x:v>
      </x:c>
    </x:row>
    <x:row r="747">
      <x:c r="A747" s="7" t="str">
        <x:v>3311229</x:v>
      </x:c>
      <x:c r="B747" s="7" t="str">
        <x:v>RS Umum Indriati</x:v>
      </x:c>
      <x:c r="C747" s="7" t="str">
        <x:v>C</x:v>
      </x:c>
      <x:c r="D747" s="7" t="str">
        <x:v>SUKOHARJO</x:v>
      </x:c>
      <x:c r="E747" s="8">
        <x:v>110547</x:v>
      </x:c>
      <x:c r="F747" s="9">
        <x:v>88462672500</x:v>
      </x:c>
      <x:c r="G747" s="9">
        <x:v>106268078144.85999</x:v>
      </x:c>
      <x:c r="H747" s="10" t="n">
        <x:f>G747-F747</x:f>
        <x:v>17805405644.859985</x:v>
      </x:c>
    </x:row>
    <x:row r="748">
      <x:c r="A748" s="7" t="str">
        <x:v>3311230</x:v>
      </x:c>
      <x:c r="B748" s="7" t="str">
        <x:v>RS PKU Muhammadiyah Kartasura</x:v>
      </x:c>
      <x:c r="C748" s="7" t="str">
        <x:v>D</x:v>
      </x:c>
      <x:c r="D748" s="7" t="str">
        <x:v>SUKOHARJO</x:v>
      </x:c>
      <x:c r="E748" s="8">
        <x:v>2681</x:v>
      </x:c>
      <x:c r="F748" s="9">
        <x:v>3065369300</x:v>
      </x:c>
      <x:c r="G748" s="9">
        <x:v>3932923905.99</x:v>
      </x:c>
      <x:c r="H748" s="10" t="n">
        <x:f>G748-F748</x:f>
        <x:v>867554605.9899998</x:v>
      </x:c>
    </x:row>
    <x:row r="749">
      <x:c r="A749" s="7" t="str">
        <x:v>3311231</x:v>
      </x:c>
      <x:c r="B749" s="7" t="str">
        <x:v>RS Islam Surakarta YARSIS</x:v>
      </x:c>
      <x:c r="C749" s="7" t="str">
        <x:v>C</x:v>
      </x:c>
      <x:c r="D749" s="7" t="str">
        <x:v>SUKOHARJO</x:v>
      </x:c>
      <x:c r="E749" s="8">
        <x:v>6967</x:v>
      </x:c>
      <x:c r="F749" s="9">
        <x:v>4621837700</x:v>
      </x:c>
      <x:c r="G749" s="9">
        <x:v>5458904438.370003</x:v>
      </x:c>
      <x:c r="H749" s="10" t="n">
        <x:f>G749-F749</x:f>
        <x:v>837066738.3700027</x:v>
      </x:c>
    </x:row>
    <x:row r="750">
      <x:c r="A750" s="7" t="str">
        <x:v>3312010</x:v>
      </x:c>
      <x:c r="B750" s="7" t="str">
        <x:v>RS Umum Daerah Dr. Soediran Mangun Sumarso Wonogi</x:v>
      </x:c>
      <x:c r="C750" s="7" t="str">
        <x:v>B</x:v>
      </x:c>
      <x:c r="D750" s="7" t="str">
        <x:v>WONOGIRI</x:v>
      </x:c>
      <x:c r="E750" s="8">
        <x:v>77118</x:v>
      </x:c>
      <x:c r="F750" s="9">
        <x:v>72869318700</x:v>
      </x:c>
      <x:c r="G750" s="9">
        <x:v>84496678380.98997</x:v>
      </x:c>
      <x:c r="H750" s="10" t="n">
        <x:f>G750-F750</x:f>
        <x:v>11627359680.989975</x:v>
      </x:c>
    </x:row>
    <x:row r="751">
      <x:c r="A751" s="7" t="str">
        <x:v>3312021</x:v>
      </x:c>
      <x:c r="B751" s="7" t="str">
        <x:v>RS Umum Maguan Husada</x:v>
      </x:c>
      <x:c r="C751" s="7" t="str">
        <x:v>D</x:v>
      </x:c>
      <x:c r="D751" s="7" t="str">
        <x:v>WONOGIRI</x:v>
      </x:c>
      <x:c r="E751" s="8">
        <x:v>37356</x:v>
      </x:c>
      <x:c r="F751" s="9">
        <x:v>29240009500</x:v>
      </x:c>
      <x:c r="G751" s="9">
        <x:v>39934820626.15002</x:v>
      </x:c>
      <x:c r="H751" s="10" t="n">
        <x:f>G751-F751</x:f>
        <x:v>10694811126.150017</x:v>
      </x:c>
    </x:row>
    <x:row r="752">
      <x:c r="A752" s="7" t="str">
        <x:v>3312284</x:v>
      </x:c>
      <x:c r="B752" s="7" t="str">
        <x:v>RS Umum Muhammadiyah Selogiri</x:v>
      </x:c>
      <x:c r="C752" s="7" t="str">
        <x:v>D</x:v>
      </x:c>
      <x:c r="D752" s="7" t="str">
        <x:v>WONOGIRI</x:v>
      </x:c>
      <x:c r="E752" s="8">
        <x:v>32275</x:v>
      </x:c>
      <x:c r="F752" s="9">
        <x:v>18852569000</x:v>
      </x:c>
      <x:c r="G752" s="9">
        <x:v>25120363659.150005</x:v>
      </x:c>
      <x:c r="H752" s="10" t="n">
        <x:f>G752-F752</x:f>
        <x:v>6267794659.150005</x:v>
      </x:c>
    </x:row>
    <x:row r="753">
      <x:c r="A753" s="7" t="str">
        <x:v>3312295</x:v>
      </x:c>
      <x:c r="B753" s="7" t="str">
        <x:v>RS Hermina Wonogiri</x:v>
      </x:c>
      <x:c r="C753" s="7" t="str">
        <x:v>C</x:v>
      </x:c>
      <x:c r="D753" s="7" t="str">
        <x:v>WONOGIRI</x:v>
      </x:c>
      <x:c r="E753" s="8">
        <x:v>45380</x:v>
      </x:c>
      <x:c r="F753" s="9">
        <x:v>40551325200</x:v>
      </x:c>
      <x:c r="G753" s="9">
        <x:v>49952203453.89001</x:v>
      </x:c>
      <x:c r="H753" s="10" t="n">
        <x:f>G753-F753</x:f>
        <x:v>9400878253.890007</x:v>
      </x:c>
    </x:row>
    <x:row r="754">
      <x:c r="A754" s="7" t="str">
        <x:v>3312306</x:v>
      </x:c>
      <x:c r="B754" s="7" t="str">
        <x:v>RS Umum  Amal Sehat</x:v>
      </x:c>
      <x:c r="C754" s="7" t="str">
        <x:v>C</x:v>
      </x:c>
      <x:c r="D754" s="7" t="str">
        <x:v>WONOGIRI</x:v>
      </x:c>
      <x:c r="E754" s="8">
        <x:v>56033</x:v>
      </x:c>
      <x:c r="F754" s="9">
        <x:v>48119711200</x:v>
      </x:c>
      <x:c r="G754" s="9">
        <x:v>58924179832.45999</x:v>
      </x:c>
      <x:c r="H754" s="10" t="n">
        <x:f>G754-F754</x:f>
        <x:v>10804468632.459991</x:v>
      </x:c>
    </x:row>
    <x:row r="755">
      <x:c r="A755" s="7" t="str">
        <x:v>3312307</x:v>
      </x:c>
      <x:c r="B755" s="7" t="str">
        <x:v>RS Fitri Candra</x:v>
      </x:c>
      <x:c r="C755" s="7" t="str">
        <x:v>D</x:v>
      </x:c>
      <x:c r="D755" s="7" t="str">
        <x:v>WONOGIRI</x:v>
      </x:c>
      <x:c r="E755" s="8">
        <x:v>3291</x:v>
      </x:c>
      <x:c r="F755" s="9">
        <x:v>4652049000</x:v>
      </x:c>
      <x:c r="G755" s="9">
        <x:v>6203463314.219999</x:v>
      </x:c>
      <x:c r="H755" s="10" t="n">
        <x:f>G755-F755</x:f>
        <x:v>1551414314.2199993</x:v>
      </x:c>
    </x:row>
    <x:row r="756">
      <x:c r="A756" s="7" t="str">
        <x:v>3312308</x:v>
      </x:c>
      <x:c r="B756" s="7" t="str">
        <x:v>RS Umum Mulia Hati Wonogiri</x:v>
      </x:c>
      <x:c r="C756" s="7" t="str">
        <x:v>D</x:v>
      </x:c>
      <x:c r="D756" s="7" t="str">
        <x:v>WONOGIRI</x:v>
      </x:c>
      <x:c r="E756" s="8">
        <x:v>44552</x:v>
      </x:c>
      <x:c r="F756" s="9">
        <x:v>30724835600</x:v>
      </x:c>
      <x:c r="G756" s="9">
        <x:v>42184868856.87002</x:v>
      </x:c>
      <x:c r="H756" s="10" t="n">
        <x:f>G756-F756</x:f>
        <x:v>11460033256.870018</x:v>
      </x:c>
    </x:row>
    <x:row r="757">
      <x:c r="A757" s="7" t="str">
        <x:v>3312309</x:v>
      </x:c>
      <x:c r="B757" s="7" t="str">
        <x:v>RS Umum Astrini</x:v>
      </x:c>
      <x:c r="C757" s="7" t="str">
        <x:v>D</x:v>
      </x:c>
      <x:c r="D757" s="7" t="str">
        <x:v>WONOGIRI</x:v>
      </x:c>
      <x:c r="E757" s="8">
        <x:v>49940</x:v>
      </x:c>
      <x:c r="F757" s="9">
        <x:v>36876750100</x:v>
      </x:c>
      <x:c r="G757" s="9">
        <x:v>53026960407.75</x:v>
      </x:c>
      <x:c r="H757" s="10" t="n">
        <x:f>G757-F757</x:f>
        <x:v>16150210307.75</x:v>
      </x:c>
    </x:row>
    <x:row r="758">
      <x:c r="A758" s="7" t="str">
        <x:v>3312310</x:v>
      </x:c>
      <x:c r="B758" s="7" t="str">
        <x:v>RS PKU Muhammadiyah Wonogiri</x:v>
      </x:c>
      <x:c r="C758" s="7" t="str">
        <x:v>D</x:v>
      </x:c>
      <x:c r="D758" s="7" t="str">
        <x:v>WONOGIRI</x:v>
      </x:c>
      <x:c r="E758" s="8">
        <x:v>3491</x:v>
      </x:c>
      <x:c r="F758" s="9">
        <x:v>2170242500</x:v>
      </x:c>
      <x:c r="G758" s="9">
        <x:v>2673093033.5100007</x:v>
      </x:c>
      <x:c r="H758" s="10" t="n">
        <x:f>G758-F758</x:f>
        <x:v>502850533.5100007</x:v>
      </x:c>
    </x:row>
    <x:row r="759">
      <x:c r="A759" s="7" t="str">
        <x:v>3313011</x:v>
      </x:c>
      <x:c r="B759" s="7" t="str">
        <x:v>RS Umum Daerah Kartini Karanganyar</x:v>
      </x:c>
      <x:c r="C759" s="7" t="str">
        <x:v>C</x:v>
      </x:c>
      <x:c r="D759" s="7" t="str">
        <x:v>KARANGANYAR</x:v>
      </x:c>
      <x:c r="E759" s="8">
        <x:v>93436</x:v>
      </x:c>
      <x:c r="F759" s="9">
        <x:v>57440607565</x:v>
      </x:c>
      <x:c r="G759" s="9">
        <x:v>74039333804.15001</x:v>
      </x:c>
      <x:c r="H759" s="10" t="n">
        <x:f>G759-F759</x:f>
        <x:v>16598726239.15001</x:v>
      </x:c>
    </x:row>
    <x:row r="760">
      <x:c r="A760" s="7" t="str">
        <x:v>3313022</x:v>
      </x:c>
      <x:c r="B760" s="7" t="str">
        <x:v>RSAU dr. Siswanto Lanud Adi Soemarmo</x:v>
      </x:c>
      <x:c r="C760" s="7" t="str">
        <x:v>D</x:v>
      </x:c>
      <x:c r="D760" s="7" t="str">
        <x:v>KARANGANYAR</x:v>
      </x:c>
      <x:c r="E760" s="8">
        <x:v>13381</x:v>
      </x:c>
      <x:c r="F760" s="9">
        <x:v>6676945500</x:v>
      </x:c>
      <x:c r="G760" s="9">
        <x:v>8996474648.44</x:v>
      </x:c>
      <x:c r="H760" s="10" t="n">
        <x:f>G760-F760</x:f>
        <x:v>2319529148.4400005</x:v>
      </x:c>
    </x:row>
    <x:row r="761">
      <x:c r="A761" s="7" t="str">
        <x:v>3313033</x:v>
      </x:c>
      <x:c r="B761" s="7" t="str">
        <x:v>RS PKU Muhammadiyah Karanganyar</x:v>
      </x:c>
      <x:c r="C761" s="7" t="str">
        <x:v>C</x:v>
      </x:c>
      <x:c r="D761" s="7" t="str">
        <x:v>KARANGANYAR</x:v>
      </x:c>
      <x:c r="E761" s="8">
        <x:v>105186</x:v>
      </x:c>
      <x:c r="F761" s="9">
        <x:v>69361615350</x:v>
      </x:c>
      <x:c r="G761" s="9">
        <x:v>88001906540.33002</x:v>
      </x:c>
      <x:c r="H761" s="10" t="n">
        <x:f>G761-F761</x:f>
        <x:v>18640291190.330017</x:v>
      </x:c>
    </x:row>
    <x:row r="762">
      <x:c r="A762" s="7" t="str">
        <x:v>3313042</x:v>
      </x:c>
      <x:c r="B762" s="7" t="str">
        <x:v>RS Ibu dan Anak Dian Pertiwi</x:v>
      </x:c>
      <x:c r="C762" s="7" t="str">
        <x:v>C</x:v>
      </x:c>
      <x:c r="D762" s="7" t="str">
        <x:v>KARANGANYAR</x:v>
      </x:c>
      <x:c r="E762" s="8">
        <x:v>176</x:v>
      </x:c>
      <x:c r="F762" s="9">
        <x:v>680770800</x:v>
      </x:c>
      <x:c r="G762" s="9">
        <x:v>816450717.1600001</x:v>
      </x:c>
      <x:c r="H762" s="10" t="n">
        <x:f>G762-F762</x:f>
        <x:v>135679917.1600001</x:v>
      </x:c>
    </x:row>
    <x:row r="763">
      <x:c r="A763" s="7" t="str">
        <x:v>3313053</x:v>
      </x:c>
      <x:c r="B763" s="7" t="str">
        <x:v>RS Umum Jati Husada Karanganyar</x:v>
      </x:c>
      <x:c r="C763" s="7" t="str">
        <x:v>D</x:v>
      </x:c>
      <x:c r="D763" s="7" t="str">
        <x:v>KARANGANYAR</x:v>
      </x:c>
      <x:c r="E763" s="8">
        <x:v>16080</x:v>
      </x:c>
      <x:c r="F763" s="9">
        <x:v>9846114300</x:v>
      </x:c>
      <x:c r="G763" s="9">
        <x:v>12803079389.969997</x:v>
      </x:c>
      <x:c r="H763" s="10" t="n">
        <x:f>G763-F763</x:f>
        <x:v>2956965089.9699974</x:v>
      </x:c>
    </x:row>
    <x:row r="764">
      <x:c r="A764" s="7" t="str">
        <x:v>3313054</x:v>
      </x:c>
      <x:c r="B764" s="7" t="str">
        <x:v>RS Umum Indo Sehat Karanganyar</x:v>
      </x:c>
      <x:c r="C764" s="7" t="str">
        <x:v>D</x:v>
      </x:c>
      <x:c r="D764" s="7" t="str">
        <x:v>KARANGANYAR</x:v>
      </x:c>
      <x:c r="E764" s="8">
        <x:v>238</x:v>
      </x:c>
      <x:c r="F764" s="9">
        <x:v>128081100</x:v>
      </x:c>
      <x:c r="G764" s="9">
        <x:v>194373661.24999994</x:v>
      </x:c>
      <x:c r="H764" s="10" t="n">
        <x:f>G764-F764</x:f>
        <x:v>66292561.24999994</x:v>
      </x:c>
    </x:row>
    <x:row r="765">
      <x:c r="A765" s="7" t="str">
        <x:v>3313055</x:v>
      </x:c>
      <x:c r="B765" s="7" t="str">
        <x:v>RS Umum Jafar Medika Karanganyar</x:v>
      </x:c>
      <x:c r="C765" s="7" t="str">
        <x:v>D</x:v>
      </x:c>
      <x:c r="D765" s="7" t="str">
        <x:v>KARANGANYAR</x:v>
      </x:c>
      <x:c r="E765" s="8">
        <x:v>5386</x:v>
      </x:c>
      <x:c r="F765" s="9">
        <x:v>5677090300</x:v>
      </x:c>
      <x:c r="G765" s="9">
        <x:v>7957316550.360001</x:v>
      </x:c>
      <x:c r="H765" s="10" t="n">
        <x:f>G765-F765</x:f>
        <x:v>2280226250.3600006</x:v>
      </x:c>
    </x:row>
    <x:row r="766">
      <x:c r="A766" s="7" t="str">
        <x:v>3313067</x:v>
      </x:c>
      <x:c r="B766" s="7" t="str">
        <x:v>RS Mangesti Rahayu</x:v>
      </x:c>
      <x:c r="C766" s="7" t="str">
        <x:v>C</x:v>
      </x:c>
      <x:c r="D766" s="7" t="str">
        <x:v>KARANGANYAR</x:v>
      </x:c>
      <x:c r="E766" s="8">
        <x:v>1902</x:v>
      </x:c>
      <x:c r="F766" s="9">
        <x:v>4757046500</x:v>
      </x:c>
      <x:c r="G766" s="9">
        <x:v>5759196756.99</x:v>
      </x:c>
      <x:c r="H766" s="10" t="n">
        <x:f>G766-F766</x:f>
        <x:v>1002150256.9899998</x:v>
      </x:c>
    </x:row>
    <x:row r="767">
      <x:c r="A767" s="7" t="str">
        <x:v>3314012</x:v>
      </x:c>
      <x:c r="B767" s="7" t="str">
        <x:v>RS Umum Daerah dr. Soehadi Prijonegoro</x:v>
      </x:c>
      <x:c r="C767" s="7" t="str">
        <x:v>B</x:v>
      </x:c>
      <x:c r="D767" s="7" t="str">
        <x:v>SRAGEN</x:v>
      </x:c>
      <x:c r="E767" s="8">
        <x:v>84328</x:v>
      </x:c>
      <x:c r="F767" s="9">
        <x:v>73509318060</x:v>
      </x:c>
      <x:c r="G767" s="9">
        <x:v>85398380970.95999</x:v>
      </x:c>
      <x:c r="H767" s="10" t="n">
        <x:f>G767-F767</x:f>
        <x:v>11889062910.959991</x:v>
      </x:c>
    </x:row>
    <x:row r="768">
      <x:c r="A768" s="7" t="str">
        <x:v>3314023</x:v>
      </x:c>
      <x:c r="B768" s="7" t="str">
        <x:v>RS Umum Mardi Lestari Sragen</x:v>
      </x:c>
      <x:c r="C768" s="7" t="str">
        <x:v>D</x:v>
      </x:c>
      <x:c r="D768" s="7" t="str">
        <x:v>SRAGEN</x:v>
      </x:c>
      <x:c r="E768" s="8">
        <x:v>9561</x:v>
      </x:c>
      <x:c r="F768" s="9">
        <x:v>7941718700</x:v>
      </x:c>
      <x:c r="G768" s="9">
        <x:v>11713337665.019999</x:v>
      </x:c>
      <x:c r="H768" s="10" t="n">
        <x:f>G768-F768</x:f>
        <x:v>3771618965.0199986</x:v>
      </x:c>
    </x:row>
    <x:row r="769">
      <x:c r="A769" s="7" t="str">
        <x:v>3314045</x:v>
      </x:c>
      <x:c r="B769" s="7" t="str">
        <x:v>RS Umum Sarila Husada</x:v>
      </x:c>
      <x:c r="C769" s="7" t="str">
        <x:v>C</x:v>
      </x:c>
      <x:c r="D769" s="7" t="str">
        <x:v>SRAGEN</x:v>
      </x:c>
      <x:c r="E769" s="8">
        <x:v>47740</x:v>
      </x:c>
      <x:c r="F769" s="9">
        <x:v>36035352400</x:v>
      </x:c>
      <x:c r="G769" s="9">
        <x:v>42936166827.75001</x:v>
      </x:c>
      <x:c r="H769" s="10" t="n">
        <x:f>G769-F769</x:f>
        <x:v>6900814427.750008</x:v>
      </x:c>
    </x:row>
    <x:row r="770">
      <x:c r="A770" s="7" t="str">
        <x:v>3314056</x:v>
      </x:c>
      <x:c r="B770" s="7" t="str">
        <x:v>RS Umum Islam Amal Sehat Sragen</x:v>
      </x:c>
      <x:c r="C770" s="7" t="str">
        <x:v>C</x:v>
      </x:c>
      <x:c r="D770" s="7" t="str">
        <x:v>SRAGEN</x:v>
      </x:c>
      <x:c r="E770" s="8">
        <x:v>43541</x:v>
      </x:c>
      <x:c r="F770" s="9">
        <x:v>26778410700</x:v>
      </x:c>
      <x:c r="G770" s="9">
        <x:v>33361515320.870018</x:v>
      </x:c>
      <x:c r="H770" s="10" t="n">
        <x:f>G770-F770</x:f>
        <x:v>6583104620.870018</x:v>
      </x:c>
    </x:row>
    <x:row r="771">
      <x:c r="A771" s="7" t="str">
        <x:v>3314067</x:v>
      </x:c>
      <x:c r="B771" s="7" t="str">
        <x:v>RS Umum Assalam</x:v>
      </x:c>
      <x:c r="C771" s="7" t="str">
        <x:v>D</x:v>
      </x:c>
      <x:c r="D771" s="7" t="str">
        <x:v>SRAGEN</x:v>
      </x:c>
      <x:c r="E771" s="8">
        <x:v>28630</x:v>
      </x:c>
      <x:c r="F771" s="9">
        <x:v>14311064600</x:v>
      </x:c>
      <x:c r="G771" s="9">
        <x:v>18699938224.13</x:v>
      </x:c>
      <x:c r="H771" s="10" t="n">
        <x:f>G771-F771</x:f>
        <x:v>4388873624.130001</x:v>
      </x:c>
    </x:row>
    <x:row r="772">
      <x:c r="A772" s="7" t="str">
        <x:v>3314089</x:v>
      </x:c>
      <x:c r="B772" s="7" t="str">
        <x:v>RS Umum Daerah dr. Soeratno Gemolong</x:v>
      </x:c>
      <x:c r="C772" s="7" t="str">
        <x:v>C</x:v>
      </x:c>
      <x:c r="D772" s="7" t="str">
        <x:v>SRAGEN</x:v>
      </x:c>
      <x:c r="E772" s="8">
        <x:v>50446</x:v>
      </x:c>
      <x:c r="F772" s="9">
        <x:v>32991645905</x:v>
      </x:c>
      <x:c r="G772" s="9">
        <x:v>43897804504.46003</x:v>
      </x:c>
      <x:c r="H772" s="10" t="n">
        <x:f>G772-F772</x:f>
        <x:v>10906158599.46003</x:v>
      </x:c>
    </x:row>
    <x:row r="773">
      <x:c r="A773" s="7" t="str">
        <x:v>3314090</x:v>
      </x:c>
      <x:c r="B773" s="7" t="str">
        <x:v>RS Umum PKU Muhammadiyah Sragen</x:v>
      </x:c>
      <x:c r="C773" s="7" t="str">
        <x:v>D</x:v>
      </x:c>
      <x:c r="D773" s="7" t="str">
        <x:v>SRAGEN</x:v>
      </x:c>
      <x:c r="E773" s="8">
        <x:v>25619</x:v>
      </x:c>
      <x:c r="F773" s="9">
        <x:v>18680648600</x:v>
      </x:c>
      <x:c r="G773" s="9">
        <x:v>25722062758.67</x:v>
      </x:c>
      <x:c r="H773" s="10" t="n">
        <x:f>G773-F773</x:f>
        <x:v>7041414158.669998</x:v>
      </x:c>
    </x:row>
    <x:row r="774">
      <x:c r="A774" s="7" t="str">
        <x:v>3314092</x:v>
      </x:c>
      <x:c r="B774" s="7" t="str">
        <x:v>RS Umum Islam Yakssi Gemolong</x:v>
      </x:c>
      <x:c r="C774" s="7" t="str">
        <x:v>D</x:v>
      </x:c>
      <x:c r="D774" s="7" t="str">
        <x:v>SRAGEN</x:v>
      </x:c>
      <x:c r="E774" s="8">
        <x:v>20400</x:v>
      </x:c>
      <x:c r="F774" s="9">
        <x:v>12144829200</x:v>
      </x:c>
      <x:c r="G774" s="9">
        <x:v>16910583665.190002</x:v>
      </x:c>
      <x:c r="H774" s="10" t="n">
        <x:f>G774-F774</x:f>
        <x:v>4765754465.190002</x:v>
      </x:c>
    </x:row>
    <x:row r="775">
      <x:c r="A775" s="7" t="str">
        <x:v>3314096</x:v>
      </x:c>
      <x:c r="B775" s="7" t="str">
        <x:v>RS Umum Rizky Amalia</x:v>
      </x:c>
      <x:c r="C775" s="7" t="str">
        <x:v>D</x:v>
      </x:c>
      <x:c r="D775" s="7" t="str">
        <x:v>SRAGEN</x:v>
      </x:c>
      <x:c r="E775" s="8">
        <x:v>25093</x:v>
      </x:c>
      <x:c r="F775" s="9">
        <x:v>11780758000</x:v>
      </x:c>
      <x:c r="G775" s="9">
        <x:v>15252603390.360003</x:v>
      </x:c>
      <x:c r="H775" s="10" t="n">
        <x:f>G775-F775</x:f>
        <x:v>3471845390.3600025</x:v>
      </x:c>
    </x:row>
    <x:row r="776">
      <x:c r="A776" s="7" t="str">
        <x:v>3314097</x:v>
      </x:c>
      <x:c r="B776" s="7" t="str">
        <x:v>RS Umum Saras Ibnu Sina Sukowati</x:v>
      </x:c>
      <x:c r="C776" s="7" t="str">
        <x:v>D</x:v>
      </x:c>
      <x:c r="D776" s="7" t="str">
        <x:v>SRAGEN</x:v>
      </x:c>
      <x:c r="E776" s="8">
        <x:v>25600</x:v>
      </x:c>
      <x:c r="F776" s="9">
        <x:v>16947212600</x:v>
      </x:c>
      <x:c r="G776" s="9">
        <x:v>23267500753.1</x:v>
      </x:c>
      <x:c r="H776" s="10" t="n">
        <x:f>G776-F776</x:f>
        <x:v>6320288153.099998</x:v>
      </x:c>
    </x:row>
    <x:row r="777">
      <x:c r="A777" s="7" t="str">
        <x:v>3314108</x:v>
      </x:c>
      <x:c r="B777" s="7" t="str">
        <x:v>RS Umum Daerah Sukowati Tangen</x:v>
      </x:c>
      <x:c r="C777" s="7" t="str">
        <x:v>D</x:v>
      </x:c>
      <x:c r="D777" s="7" t="str">
        <x:v>SRAGEN</x:v>
      </x:c>
      <x:c r="E777" s="8">
        <x:v>3714</x:v>
      </x:c>
      <x:c r="F777" s="9">
        <x:v>4196335100</x:v>
      </x:c>
      <x:c r="G777" s="9">
        <x:v>6293474577.140003</x:v>
      </x:c>
      <x:c r="H777" s="10" t="n">
        <x:f>G777-F777</x:f>
        <x:v>2097139477.1400032</x:v>
      </x:c>
    </x:row>
    <x:row r="778">
      <x:c r="A778" s="7" t="str">
        <x:v>3315013</x:v>
      </x:c>
      <x:c r="B778" s="7" t="str">
        <x:v>RS Umum Daerah Dr. R.Soedjati Soemodiardjo</x:v>
      </x:c>
      <x:c r="C778" s="7" t="str">
        <x:v>B</x:v>
      </x:c>
      <x:c r="D778" s="7" t="str">
        <x:v>GROBOGAN</x:v>
      </x:c>
      <x:c r="E778" s="8">
        <x:v>57522</x:v>
      </x:c>
      <x:c r="F778" s="9">
        <x:v>70549498560</x:v>
      </x:c>
      <x:c r="G778" s="9">
        <x:v>78646446687.54004</x:v>
      </x:c>
      <x:c r="H778" s="10" t="n">
        <x:f>G778-F778</x:f>
        <x:v>8096948127.540039</x:v>
      </x:c>
    </x:row>
    <x:row r="779">
      <x:c r="A779" s="7" t="str">
        <x:v>3315024</x:v>
      </x:c>
      <x:c r="B779" s="7" t="str">
        <x:v>RS Umum Panti Rahayu</x:v>
      </x:c>
      <x:c r="C779" s="7" t="str">
        <x:v>C</x:v>
      </x:c>
      <x:c r="D779" s="7" t="str">
        <x:v>GROBOGAN</x:v>
      </x:c>
      <x:c r="E779" s="8">
        <x:v>70585</x:v>
      </x:c>
      <x:c r="F779" s="9">
        <x:v>65732091300</x:v>
      </x:c>
      <x:c r="G779" s="9">
        <x:v>75410668866.52</x:v>
      </x:c>
      <x:c r="H779" s="10" t="n">
        <x:f>G779-F779</x:f>
        <x:v>9678577566.520004</x:v>
      </x:c>
    </x:row>
    <x:row r="780">
      <x:c r="A780" s="7" t="str">
        <x:v>3315035</x:v>
      </x:c>
      <x:c r="B780" s="7" t="str">
        <x:v>RS Permata Bunda</x:v>
      </x:c>
      <x:c r="C780" s="7" t="str">
        <x:v>C</x:v>
      </x:c>
      <x:c r="D780" s="7" t="str">
        <x:v>GROBOGAN</x:v>
      </x:c>
      <x:c r="E780" s="8">
        <x:v>37906</x:v>
      </x:c>
      <x:c r="F780" s="9">
        <x:v>44446040800</x:v>
      </x:c>
      <x:c r="G780" s="9">
        <x:v>52976373542.49999</x:v>
      </x:c>
      <x:c r="H780" s="10" t="n">
        <x:f>G780-F780</x:f>
        <x:v>8530332742.499992</x:v>
      </x:c>
    </x:row>
    <x:row r="781">
      <x:c r="A781" s="7" t="str">
        <x:v>3315046</x:v>
      </x:c>
      <x:c r="B781" s="7" t="str">
        <x:v>RS Umum PKU Muhammadiyah Gubug</x:v>
      </x:c>
      <x:c r="C781" s="7" t="str">
        <x:v>D</x:v>
      </x:c>
      <x:c r="D781" s="7" t="str">
        <x:v>GROBOGAN</x:v>
      </x:c>
      <x:c r="E781" s="8">
        <x:v>45604</x:v>
      </x:c>
      <x:c r="F781" s="9">
        <x:v>32742196500</x:v>
      </x:c>
      <x:c r="G781" s="9">
        <x:v>41973485335.210045</x:v>
      </x:c>
      <x:c r="H781" s="10" t="n">
        <x:f>G781-F781</x:f>
        <x:v>9231288835.210045</x:v>
      </x:c>
    </x:row>
    <x:row r="782">
      <x:c r="A782" s="7" t="str">
        <x:v>3315057</x:v>
      </x:c>
      <x:c r="B782" s="7" t="str">
        <x:v>RS Umum Habibullah</x:v>
      </x:c>
      <x:c r="C782" s="7" t="str">
        <x:v>D</x:v>
      </x:c>
      <x:c r="D782" s="7" t="str">
        <x:v>GROBOGAN</x:v>
      </x:c>
      <x:c r="E782" s="8">
        <x:v>9948</x:v>
      </x:c>
      <x:c r="F782" s="9">
        <x:v>9639567800</x:v>
      </x:c>
      <x:c r="G782" s="9">
        <x:v>12926090178.529997</x:v>
      </x:c>
      <x:c r="H782" s="10" t="n">
        <x:f>G782-F782</x:f>
        <x:v>3286522378.529997</x:v>
      </x:c>
    </x:row>
    <x:row r="783">
      <x:c r="A783" s="7" t="str">
        <x:v>3315059</x:v>
      </x:c>
      <x:c r="B783" s="7" t="str">
        <x:v>RS Umum Islam Purwodadi</x:v>
      </x:c>
      <x:c r="C783" s="7" t="str">
        <x:v>D</x:v>
      </x:c>
      <x:c r="D783" s="7" t="str">
        <x:v>GROBOGAN</x:v>
      </x:c>
      <x:c r="E783" s="8">
        <x:v>14979</x:v>
      </x:c>
      <x:c r="F783" s="9">
        <x:v>9730167500</x:v>
      </x:c>
      <x:c r="G783" s="9">
        <x:v>13424883229.949997</x:v>
      </x:c>
      <x:c r="H783" s="10" t="n">
        <x:f>G783-F783</x:f>
        <x:v>3694715729.949997</x:v>
      </x:c>
    </x:row>
    <x:row r="784">
      <x:c r="A784" s="7" t="str">
        <x:v>3315060</x:v>
      </x:c>
      <x:c r="B784" s="7" t="str">
        <x:v>RS Umum Daerah Ki Ageng Selo</x:v>
      </x:c>
      <x:c r="C784" s="7" t="str">
        <x:v>D</x:v>
      </x:c>
      <x:c r="D784" s="7" t="str">
        <x:v>GROBOGAN</x:v>
      </x:c>
      <x:c r="E784" s="8">
        <x:v>11339</x:v>
      </x:c>
      <x:c r="F784" s="9">
        <x:v>12349441700</x:v>
      </x:c>
      <x:c r="G784" s="9">
        <x:v>17643787067.11999</x:v>
      </x:c>
      <x:c r="H784" s="10" t="n">
        <x:f>G784-F784</x:f>
        <x:v>5294345367.119991</x:v>
      </x:c>
    </x:row>
    <x:row r="785">
      <x:c r="A785" s="7" t="str">
        <x:v>3315061</x:v>
      </x:c>
      <x:c r="B785" s="7" t="str">
        <x:v>RS Umum Daerah Ki Ageng Getas Pendowo Gubug</x:v>
      </x:c>
      <x:c r="C785" s="7" t="str">
        <x:v>D</x:v>
      </x:c>
      <x:c r="D785" s="7" t="str">
        <x:v>GROBOGAN</x:v>
      </x:c>
      <x:c r="E785" s="8">
        <x:v>6407</x:v>
      </x:c>
      <x:c r="F785" s="9">
        <x:v>8070220700</x:v>
      </x:c>
      <x:c r="G785" s="9">
        <x:v>11315066535.259998</x:v>
      </x:c>
      <x:c r="H785" s="10" t="n">
        <x:f>G785-F785</x:f>
        <x:v>3244845835.2599983</x:v>
      </x:c>
    </x:row>
    <x:row r="786">
      <x:c r="A786" s="7" t="str">
        <x:v>3315072</x:v>
      </x:c>
      <x:c r="B786" s="7" t="str">
        <x:v>RS Ortopedi Siaga Utama</x:v>
      </x:c>
      <x:c r="C786" s="7" t="str">
        <x:v>C</x:v>
      </x:c>
      <x:c r="D786" s="7" t="str">
        <x:v>GROBOGAN</x:v>
      </x:c>
      <x:c r="E786" s="8">
        <x:v>4905</x:v>
      </x:c>
      <x:c r="F786" s="9">
        <x:v>16786257100</x:v>
      </x:c>
      <x:c r="G786" s="9">
        <x:v>25245193713.099995</x:v>
      </x:c>
      <x:c r="H786" s="10" t="n">
        <x:f>G786-F786</x:f>
        <x:v>8458936613.099995</x:v>
      </x:c>
    </x:row>
    <x:row r="787">
      <x:c r="A787" s="7" t="str">
        <x:v>3315075</x:v>
      </x:c>
      <x:c r="B787" s="7" t="str">
        <x:v>RS Umum Trimedika Ketapang</x:v>
      </x:c>
      <x:c r="C787" s="7" t="str">
        <x:v>D</x:v>
      </x:c>
      <x:c r="D787" s="7" t="str">
        <x:v>GROBOGAN</x:v>
      </x:c>
      <x:c r="E787" s="8">
        <x:v>4577</x:v>
      </x:c>
      <x:c r="F787" s="9">
        <x:v>11500674500</x:v>
      </x:c>
      <x:c r="G787" s="9">
        <x:v>14110447962.29</x:v>
      </x:c>
      <x:c r="H787" s="10" t="n">
        <x:f>G787-F787</x:f>
        <x:v>2609773462.290001</x:v>
      </x:c>
    </x:row>
    <x:row r="788">
      <x:c r="A788" s="7" t="str">
        <x:v>3316014</x:v>
      </x:c>
      <x:c r="B788" s="7" t="str">
        <x:v>RS Umum Daerah Dr. R. Soetijono Blora</x:v>
      </x:c>
      <x:c r="C788" s="7" t="str">
        <x:v>C</x:v>
      </x:c>
      <x:c r="D788" s="7" t="str">
        <x:v>BLORA</x:v>
      </x:c>
      <x:c r="E788" s="8">
        <x:v>87350</x:v>
      </x:c>
      <x:c r="F788" s="9">
        <x:v>68004389800</x:v>
      </x:c>
      <x:c r="G788" s="9">
        <x:v>91653280159.00003</x:v>
      </x:c>
      <x:c r="H788" s="10" t="n">
        <x:f>G788-F788</x:f>
        <x:v>23648890359.00003</x:v>
      </x:c>
    </x:row>
    <x:row r="789">
      <x:c r="A789" s="7" t="str">
        <x:v>3316025</x:v>
      </x:c>
      <x:c r="B789" s="7" t="str">
        <x:v>RS Umum Daerah Dr. R. Soeprapto Cepu</x:v>
      </x:c>
      <x:c r="C789" s="7" t="str">
        <x:v>C</x:v>
      </x:c>
      <x:c r="D789" s="7" t="str">
        <x:v>BLORA</x:v>
      </x:c>
      <x:c r="E789" s="8">
        <x:v>61326</x:v>
      </x:c>
      <x:c r="F789" s="9">
        <x:v>45008528610</x:v>
      </x:c>
      <x:c r="G789" s="9">
        <x:v>57805597761.83997</x:v>
      </x:c>
      <x:c r="H789" s="10" t="n">
        <x:f>G789-F789</x:f>
        <x:v>12797069151.839973</x:v>
      </x:c>
    </x:row>
    <x:row r="790">
      <x:c r="A790" s="7" t="str">
        <x:v>3316040</x:v>
      </x:c>
      <x:c r="B790" s="7" t="str">
        <x:v>RS Umum Permata Blora</x:v>
      </x:c>
      <x:c r="C790" s="7" t="str">
        <x:v>D</x:v>
      </x:c>
      <x:c r="D790" s="7" t="str">
        <x:v>BLORA</x:v>
      </x:c>
      <x:c r="E790" s="8">
        <x:v>30848</x:v>
      </x:c>
      <x:c r="F790" s="9">
        <x:v>21725446700</x:v>
      </x:c>
      <x:c r="G790" s="9">
        <x:v>28137003120.940006</x:v>
      </x:c>
      <x:c r="H790" s="10" t="n">
        <x:f>G790-F790</x:f>
        <x:v>6411556420.940006</x:v>
      </x:c>
    </x:row>
    <x:row r="791">
      <x:c r="A791" s="7" t="str">
        <x:v>3316051</x:v>
      </x:c>
      <x:c r="B791" s="7" t="str">
        <x:v>RS Umum PKU Muhammadiyah Cepu</x:v>
      </x:c>
      <x:c r="C791" s="7" t="str">
        <x:v>C</x:v>
      </x:c>
      <x:c r="D791" s="7" t="str">
        <x:v>BLORA</x:v>
      </x:c>
      <x:c r="E791" s="8">
        <x:v>57056</x:v>
      </x:c>
      <x:c r="F791" s="9">
        <x:v>39229556800</x:v>
      </x:c>
      <x:c r="G791" s="9">
        <x:v>47778736543.229996</x:v>
      </x:c>
      <x:c r="H791" s="10" t="n">
        <x:f>G791-F791</x:f>
        <x:v>8549179743.229996</x:v>
      </x:c>
    </x:row>
    <x:row r="792">
      <x:c r="A792" s="7" t="str">
        <x:v>3316062</x:v>
      </x:c>
      <x:c r="B792" s="7" t="str">
        <x:v>RS Umum Bantuan Blora</x:v>
      </x:c>
      <x:c r="C792" s="7" t="str">
        <x:v>D</x:v>
      </x:c>
      <x:c r="D792" s="7" t="str">
        <x:v>BLORA</x:v>
      </x:c>
      <x:c r="E792" s="8">
        <x:v>1362</x:v>
      </x:c>
      <x:c r="F792" s="9">
        <x:v>1397521000</x:v>
      </x:c>
      <x:c r="G792" s="9">
        <x:v>1933496669.3200002</x:v>
      </x:c>
      <x:c r="H792" s="10" t="n">
        <x:f>G792-F792</x:f>
        <x:v>535975669.3200002</x:v>
      </x:c>
    </x:row>
    <x:row r="793">
      <x:c r="A793" s="7" t="str">
        <x:v>3316063</x:v>
      </x:c>
      <x:c r="B793" s="7" t="str">
        <x:v>RS Umum PKU Muhammadiyah Blora</x:v>
      </x:c>
      <x:c r="C793" s="7" t="str">
        <x:v>D</x:v>
      </x:c>
      <x:c r="D793" s="7" t="str">
        <x:v>BLORA</x:v>
      </x:c>
      <x:c r="E793" s="8">
        <x:v>21751</x:v>
      </x:c>
      <x:c r="F793" s="9">
        <x:v>17881956700</x:v>
      </x:c>
      <x:c r="G793" s="9">
        <x:v>24055768749.51</x:v>
      </x:c>
      <x:c r="H793" s="10" t="n">
        <x:f>G793-F793</x:f>
        <x:v>6173812049.509998</x:v>
      </x:c>
    </x:row>
    <x:row r="794">
      <x:c r="A794" s="7" t="str">
        <x:v>3316074</x:v>
      </x:c>
      <x:c r="B794" s="7" t="str">
        <x:v>RS Ibu dan Anak NU Cakra Medika</x:v>
      </x:c>
      <x:c r="C794" s="7" t="str">
        <x:v>C</x:v>
      </x:c>
      <x:c r="D794" s="7" t="str">
        <x:v>BLORA</x:v>
      </x:c>
      <x:c r="E794" s="8">
        <x:v>11757</x:v>
      </x:c>
      <x:c r="F794" s="9">
        <x:v>9303024600</x:v>
      </x:c>
      <x:c r="G794" s="9">
        <x:v>11892851769.430002</x:v>
      </x:c>
      <x:c r="H794" s="10" t="n">
        <x:f>G794-F794</x:f>
        <x:v>2589827169.430002</x:v>
      </x:c>
    </x:row>
    <x:row r="795">
      <x:c r="A795" s="7" t="str">
        <x:v>3316075</x:v>
      </x:c>
      <x:c r="B795" s="7" t="str">
        <x:v>RS Umum Daerah Samin Surosentiko Randublatung</x:v>
      </x:c>
      <x:c r="C795" s="7" t="str">
        <x:v>D</x:v>
      </x:c>
      <x:c r="D795" s="7" t="str">
        <x:v>BLORA</x:v>
      </x:c>
      <x:c r="E795" s="8">
        <x:v>7466</x:v>
      </x:c>
      <x:c r="F795" s="9">
        <x:v>7316111800</x:v>
      </x:c>
      <x:c r="G795" s="9">
        <x:v>10161934551.559996</x:v>
      </x:c>
      <x:c r="H795" s="10" t="n">
        <x:f>G795-F795</x:f>
        <x:v>2845822751.5599957</x:v>
      </x:c>
    </x:row>
    <x:row r="796">
      <x:c r="A796" s="7" t="str">
        <x:v>3316077</x:v>
      </x:c>
      <x:c r="B796" s="7" t="str">
        <x:v>RS Bhayangkara Blora</x:v>
      </x:c>
      <x:c r="C796" s="7" t="str">
        <x:v>D</x:v>
      </x:c>
      <x:c r="D796" s="7" t="str">
        <x:v>BLORA</x:v>
      </x:c>
      <x:c r="E796" s="8">
        <x:v>751</x:v>
      </x:c>
      <x:c r="F796" s="9">
        <x:v>756609000</x:v>
      </x:c>
      <x:c r="G796" s="9">
        <x:v>1010741847.2900001</x:v>
      </x:c>
      <x:c r="H796" s="10" t="n">
        <x:f>G796-F796</x:f>
        <x:v>254132847.29000008</x:v>
      </x:c>
    </x:row>
    <x:row r="797">
      <x:c r="A797" s="7" t="str">
        <x:v>3317015</x:v>
      </x:c>
      <x:c r="B797" s="7" t="str">
        <x:v>RS Umum Daerah dr. R. Soetrasno Rembang</x:v>
      </x:c>
      <x:c r="C797" s="7" t="str">
        <x:v>C</x:v>
      </x:c>
      <x:c r="D797" s="7" t="str">
        <x:v>REMBANG</x:v>
      </x:c>
      <x:c r="E797" s="8">
        <x:v>149612</x:v>
      </x:c>
      <x:c r="F797" s="9">
        <x:v>111330822175</x:v>
      </x:c>
      <x:c r="G797" s="9">
        <x:v>137661533868.44998</x:v>
      </x:c>
      <x:c r="H797" s="10" t="n">
        <x:f>G797-F797</x:f>
        <x:v>26330711693.44998</x:v>
      </x:c>
    </x:row>
    <x:row r="798">
      <x:c r="A798" s="7" t="str">
        <x:v>3317026</x:v>
      </x:c>
      <x:c r="B798" s="7" t="str">
        <x:v>RS Umum Islam Arafah</x:v>
      </x:c>
      <x:c r="C798" s="7" t="str">
        <x:v>D</x:v>
      </x:c>
      <x:c r="D798" s="7" t="str">
        <x:v>REMBANG</x:v>
      </x:c>
      <x:c r="E798" s="8">
        <x:v>13831</x:v>
      </x:c>
      <x:c r="F798" s="9">
        <x:v>10721592150</x:v>
      </x:c>
      <x:c r="G798" s="9">
        <x:v>14561318970.000008</x:v>
      </x:c>
      <x:c r="H798" s="10" t="n">
        <x:f>G798-F798</x:f>
        <x:v>3839726820.0000076</x:v>
      </x:c>
    </x:row>
    <x:row r="799">
      <x:c r="A799" s="7" t="str">
        <x:v>3317027</x:v>
      </x:c>
      <x:c r="B799" s="7" t="str">
        <x:v>RS Bhina Bhakti Husada</x:v>
      </x:c>
      <x:c r="C799" s="7" t="str">
        <x:v>C</x:v>
      </x:c>
      <x:c r="D799" s="7" t="str">
        <x:v>REMBANG</x:v>
      </x:c>
      <x:c r="E799" s="8">
        <x:v>57619</x:v>
      </x:c>
      <x:c r="F799" s="9">
        <x:v>51536692250</x:v>
      </x:c>
      <x:c r="G799" s="9">
        <x:v>62348895523.88997</x:v>
      </x:c>
      <x:c r="H799" s="10" t="n">
        <x:f>G799-F799</x:f>
        <x:v>10812203273.889969</x:v>
      </x:c>
    </x:row>
    <x:row r="800">
      <x:c r="A800" s="7" t="str">
        <x:v>3317038</x:v>
      </x:c>
      <x:c r="B800" s="7" t="str">
        <x:v>RS PKU Muhammadiyah Pamotan</x:v>
      </x:c>
      <x:c r="C800" s="7" t="str">
        <x:v>C</x:v>
      </x:c>
      <x:c r="D800" s="7" t="str">
        <x:v>REMBANG</x:v>
      </x:c>
      <x:c r="E800" s="8">
        <x:v>11476</x:v>
      </x:c>
      <x:c r="F800" s="9">
        <x:v>11697101600</x:v>
      </x:c>
      <x:c r="G800" s="9">
        <x:v>14890447343.949993</x:v>
      </x:c>
      <x:c r="H800" s="10" t="n">
        <x:f>G800-F800</x:f>
        <x:v>3193345743.949993</x:v>
      </x:c>
    </x:row>
    <x:row r="801">
      <x:c r="A801" s="7" t="str">
        <x:v>3318016</x:v>
      </x:c>
      <x:c r="B801" s="7" t="str">
        <x:v>RS Umum Daerah RAA Soewondo</x:v>
      </x:c>
      <x:c r="C801" s="7" t="str">
        <x:v>B</x:v>
      </x:c>
      <x:c r="D801" s="7" t="str">
        <x:v>PATI</x:v>
      </x:c>
      <x:c r="E801" s="8">
        <x:v>133681</x:v>
      </x:c>
      <x:c r="F801" s="9">
        <x:v>109651273700</x:v>
      </x:c>
      <x:c r="G801" s="9">
        <x:v>124702844033.57002</x:v>
      </x:c>
      <x:c r="H801" s="10" t="n">
        <x:f>G801-F801</x:f>
        <x:v>15051570333.570023</x:v>
      </x:c>
    </x:row>
    <x:row r="802">
      <x:c r="A802" s="7" t="str">
        <x:v>3318041</x:v>
      </x:c>
      <x:c r="B802" s="7" t="str">
        <x:v>RS 3318041</x:v>
      </x:c>
      <x:c r="C802" s="7" t="str">
        <x:v>D</x:v>
      </x:c>
      <x:c r="D802" s="7" t="str">
        <x:v>PATI</x:v>
      </x:c>
      <x:c r="E802" s="8">
        <x:v>2786</x:v>
      </x:c>
      <x:c r="F802" s="9">
        <x:v>618378500</x:v>
      </x:c>
      <x:c r="G802" s="9">
        <x:v>771480814.6500001</x:v>
      </x:c>
      <x:c r="H802" s="10" t="n">
        <x:f>G802-F802</x:f>
        <x:v>153102314.6500001</x:v>
      </x:c>
    </x:row>
    <x:row r="803">
      <x:c r="A803" s="7" t="str">
        <x:v>3318064</x:v>
      </x:c>
      <x:c r="B803" s="7" t="str">
        <x:v>RS Umum Islam Pati</x:v>
      </x:c>
      <x:c r="C803" s="7" t="str">
        <x:v>C</x:v>
      </x:c>
      <x:c r="D803" s="7" t="str">
        <x:v>PATI</x:v>
      </x:c>
      <x:c r="E803" s="8">
        <x:v>39787</x:v>
      </x:c>
      <x:c r="F803" s="9">
        <x:v>25792856400</x:v>
      </x:c>
      <x:c r="G803" s="9">
        <x:v>32692180591.47</x:v>
      </x:c>
      <x:c r="H803" s="10" t="n">
        <x:f>G803-F803</x:f>
        <x:v>6899324191.470001</x:v>
      </x:c>
    </x:row>
    <x:row r="804">
      <x:c r="A804" s="7" t="str">
        <x:v>3318075</x:v>
      </x:c>
      <x:c r="B804" s="7" t="str">
        <x:v>RS Umum Mitra Bangsa Pati</x:v>
      </x:c>
      <x:c r="C804" s="7" t="str">
        <x:v>C</x:v>
      </x:c>
      <x:c r="D804" s="7" t="str">
        <x:v>PATI</x:v>
      </x:c>
      <x:c r="E804" s="8">
        <x:v>69983</x:v>
      </x:c>
      <x:c r="F804" s="9">
        <x:v>42091737350</x:v>
      </x:c>
      <x:c r="G804" s="9">
        <x:v>50299592023.30001</x:v>
      </x:c>
      <x:c r="H804" s="10" t="n">
        <x:f>G804-F804</x:f>
        <x:v>8207854673.300011</x:v>
      </x:c>
    </x:row>
    <x:row r="805">
      <x:c r="A805" s="7" t="str">
        <x:v>3318086</x:v>
      </x:c>
      <x:c r="B805" s="7" t="str">
        <x:v>RS Umum Daerah Kayen Pati</x:v>
      </x:c>
      <x:c r="C805" s="7" t="str">
        <x:v>C</x:v>
      </x:c>
      <x:c r="D805" s="7" t="str">
        <x:v>PATI</x:v>
      </x:c>
      <x:c r="E805" s="8">
        <x:v>38394</x:v>
      </x:c>
      <x:c r="F805" s="9">
        <x:v>19742708500</x:v>
      </x:c>
      <x:c r="G805" s="9">
        <x:v>26011644144.45999</x:v>
      </x:c>
      <x:c r="H805" s="10" t="n">
        <x:f>G805-F805</x:f>
        <x:v>6268935644.459991</x:v>
      </x:c>
    </x:row>
    <x:row r="806">
      <x:c r="A806" s="7" t="str">
        <x:v>3318108</x:v>
      </x:c>
      <x:c r="B806" s="7" t="str">
        <x:v>RS Umum Keluarga Sehat</x:v>
      </x:c>
      <x:c r="C806" s="7" t="str">
        <x:v>C</x:v>
      </x:c>
      <x:c r="D806" s="7" t="str">
        <x:v>PATI</x:v>
      </x:c>
      <x:c r="E806" s="8">
        <x:v>144577</x:v>
      </x:c>
      <x:c r="F806" s="9">
        <x:v>92769415700</x:v>
      </x:c>
      <x:c r="G806" s="9">
        <x:v>110841594472.06003</x:v>
      </x:c>
      <x:c r="H806" s="10" t="n">
        <x:f>G806-F806</x:f>
        <x:v>18072178772.060028</x:v>
      </x:c>
    </x:row>
    <x:row r="807">
      <x:c r="A807" s="7" t="str">
        <x:v>3318109</x:v>
      </x:c>
      <x:c r="B807" s="7" t="str">
        <x:v>RS Umum  Budi Agung Pati</x:v>
      </x:c>
      <x:c r="C807" s="7" t="str">
        <x:v>D</x:v>
      </x:c>
      <x:c r="D807" s="7" t="str">
        <x:v>PATI</x:v>
      </x:c>
      <x:c r="E807" s="8">
        <x:v>44024</x:v>
      </x:c>
      <x:c r="F807" s="9">
        <x:v>25248691100</x:v>
      </x:c>
      <x:c r="G807" s="9">
        <x:v>34162219912.83</x:v>
      </x:c>
      <x:c r="H807" s="10" t="n">
        <x:f>G807-F807</x:f>
        <x:v>8913528812.830002</x:v>
      </x:c>
    </x:row>
    <x:row r="808">
      <x:c r="A808" s="7" t="str">
        <x:v>3318110</x:v>
      </x:c>
      <x:c r="B808" s="7" t="str">
        <x:v>RS Umum Fastabiq Sehat PKU Muhammadiyah Pati</x:v>
      </x:c>
      <x:c r="C808" s="7" t="str">
        <x:v>C</x:v>
      </x:c>
      <x:c r="D808" s="7" t="str">
        <x:v>PATI</x:v>
      </x:c>
      <x:c r="E808" s="8">
        <x:v>50318</x:v>
      </x:c>
      <x:c r="F808" s="9">
        <x:v>43650094850</x:v>
      </x:c>
      <x:c r="G808" s="9">
        <x:v>51442063478.94999</x:v>
      </x:c>
      <x:c r="H808" s="10" t="n">
        <x:f>G808-F808</x:f>
        <x:v>7791968628.949989</x:v>
      </x:c>
    </x:row>
    <x:row r="809">
      <x:c r="A809" s="7" t="str">
        <x:v>3318111</x:v>
      </x:c>
      <x:c r="B809" s="7" t="str">
        <x:v>RS Umum Sebening Kasih</x:v>
      </x:c>
      <x:c r="C809" s="7" t="str">
        <x:v>C</x:v>
      </x:c>
      <x:c r="D809" s="7" t="str">
        <x:v>PATI</x:v>
      </x:c>
      <x:c r="E809" s="8">
        <x:v>59221</x:v>
      </x:c>
      <x:c r="F809" s="9">
        <x:v>46116935800</x:v>
      </x:c>
      <x:c r="G809" s="9">
        <x:v>58278372165.190025</x:v>
      </x:c>
      <x:c r="H809" s="10" t="n">
        <x:f>G809-F809</x:f>
        <x:v>12161436365.190025</x:v>
      </x:c>
    </x:row>
    <x:row r="810">
      <x:c r="A810" s="7" t="str">
        <x:v>3318113</x:v>
      </x:c>
      <x:c r="B810" s="7" t="str">
        <x:v>RS Umum As-Suyuthiyyah</x:v>
      </x:c>
      <x:c r="C810" s="7" t="str">
        <x:v>D</x:v>
      </x:c>
      <x:c r="D810" s="7" t="str">
        <x:v>PATI</x:v>
      </x:c>
      <x:c r="E810" s="8">
        <x:v>9185</x:v>
      </x:c>
      <x:c r="F810" s="9">
        <x:v>9484545000</x:v>
      </x:c>
      <x:c r="G810" s="9">
        <x:v>12325732902.200005</x:v>
      </x:c>
      <x:c r="H810" s="10" t="n">
        <x:f>G810-F810</x:f>
        <x:v>2841187902.2000046</x:v>
      </x:c>
    </x:row>
    <x:row r="811">
      <x:c r="A811" s="7" t="str">
        <x:v>3318114</x:v>
      </x:c>
      <x:c r="B811" s="7" t="str">
        <x:v>RS Keluarga Sehat Tayu</x:v>
      </x:c>
      <x:c r="C811" s="7" t="str">
        <x:v>C</x:v>
      </x:c>
      <x:c r="D811" s="7" t="str">
        <x:v>PATI</x:v>
      </x:c>
      <x:c r="E811" s="8">
        <x:v>65623</x:v>
      </x:c>
      <x:c r="F811" s="9">
        <x:v>43193475200</x:v>
      </x:c>
      <x:c r="G811" s="9">
        <x:v>53030637904.17002</x:v>
      </x:c>
      <x:c r="H811" s="10" t="n">
        <x:f>G811-F811</x:f>
        <x:v>9837162704.170021</x:v>
      </x:c>
    </x:row>
    <x:row r="812">
      <x:c r="A812" s="7" t="str">
        <x:v>3319010</x:v>
      </x:c>
      <x:c r="B812" s="7" t="str">
        <x:v>RS Umum Daerah dr. Loekmono Hadi</x:v>
      </x:c>
      <x:c r="C812" s="7" t="str">
        <x:v>B</x:v>
      </x:c>
      <x:c r="D812" s="7" t="str">
        <x:v>KUDUS</x:v>
      </x:c>
      <x:c r="E812" s="8">
        <x:v>141422</x:v>
      </x:c>
      <x:c r="F812" s="9">
        <x:v>193504728200</x:v>
      </x:c>
      <x:c r="G812" s="9">
        <x:v>193700009364.61</x:v>
      </x:c>
      <x:c r="H812" s="10" t="n">
        <x:f>G812-F812</x:f>
        <x:v>195281164.60998535</x:v>
      </x:c>
    </x:row>
    <x:row r="813">
      <x:c r="A813" s="7" t="str">
        <x:v>3319021</x:v>
      </x:c>
      <x:c r="B813" s="7" t="str">
        <x:v>RS Aisyiyah Kudus</x:v>
      </x:c>
      <x:c r="C813" s="7" t="str">
        <x:v>C</x:v>
      </x:c>
      <x:c r="D813" s="7" t="str">
        <x:v>KUDUS</x:v>
      </x:c>
      <x:c r="E813" s="8">
        <x:v>69569</x:v>
      </x:c>
      <x:c r="F813" s="9">
        <x:v>49046306200</x:v>
      </x:c>
      <x:c r="G813" s="9">
        <x:v>57851954282.26001</x:v>
      </x:c>
      <x:c r="H813" s="10" t="n">
        <x:f>G813-F813</x:f>
        <x:v>8805648082.26001</x:v>
      </x:c>
    </x:row>
    <x:row r="814">
      <x:c r="A814" s="7" t="str">
        <x:v>3319022</x:v>
      </x:c>
      <x:c r="B814" s="7" t="str">
        <x:v>RS Umum Kumala Siwimijen Kudus</x:v>
      </x:c>
      <x:c r="C814" s="7" t="str">
        <x:v>C</x:v>
      </x:c>
      <x:c r="D814" s="7" t="str">
        <x:v>KUDUS</x:v>
      </x:c>
      <x:c r="E814" s="8">
        <x:v>48039</x:v>
      </x:c>
      <x:c r="F814" s="9">
        <x:v>32350568250</x:v>
      </x:c>
      <x:c r="G814" s="9">
        <x:v>37053771430.459984</x:v>
      </x:c>
      <x:c r="H814" s="10" t="n">
        <x:f>G814-F814</x:f>
        <x:v>4703203180.459984</x:v>
      </x:c>
    </x:row>
    <x:row r="815">
      <x:c r="A815" s="7" t="str">
        <x:v>3319023</x:v>
      </x:c>
      <x:c r="B815" s="7" t="str">
        <x:v>RS Ibu dan Anak Harapan Bunda</x:v>
      </x:c>
      <x:c r="C815" s="7" t="str">
        <x:v>C</x:v>
      </x:c>
      <x:c r="D815" s="7" t="str">
        <x:v>KUDUS</x:v>
      </x:c>
      <x:c r="E815" s="8">
        <x:v>1542</x:v>
      </x:c>
      <x:c r="F815" s="9">
        <x:v>4399414300</x:v>
      </x:c>
      <x:c r="G815" s="9">
        <x:v>4918658884.230002</x:v>
      </x:c>
      <x:c r="H815" s="10" t="n">
        <x:f>G815-F815</x:f>
        <x:v>519244584.2300024</x:v>
      </x:c>
    </x:row>
    <x:row r="816">
      <x:c r="A816" s="7" t="str">
        <x:v>3319032</x:v>
      </x:c>
      <x:c r="B816" s="7" t="str">
        <x:v>RS Umum Mardi Rahayu</x:v>
      </x:c>
      <x:c r="C816" s="7" t="str">
        <x:v>B</x:v>
      </x:c>
      <x:c r="D816" s="7" t="str">
        <x:v>KUDUS</x:v>
      </x:c>
      <x:c r="E816" s="8">
        <x:v>236109</x:v>
      </x:c>
      <x:c r="F816" s="9">
        <x:v>223604593920</x:v>
      </x:c>
      <x:c r="G816" s="9">
        <x:v>221830421338.59003</x:v>
      </x:c>
      <x:c r="H816" s="10" t="n">
        <x:f>G816-F816</x:f>
        <x:v>-1774172581.4099731</x:v>
      </x:c>
    </x:row>
    <x:row r="817">
      <x:c r="A817" s="7" t="str">
        <x:v>3319043</x:v>
      </x:c>
      <x:c r="B817" s="7" t="str">
        <x:v>RS Umum  Nurussyifa</x:v>
      </x:c>
      <x:c r="C817" s="7" t="str">
        <x:v>D</x:v>
      </x:c>
      <x:c r="D817" s="7" t="str">
        <x:v>KUDUS</x:v>
      </x:c>
      <x:c r="E817" s="8">
        <x:v>35224</x:v>
      </x:c>
      <x:c r="F817" s="9">
        <x:v>25307051900</x:v>
      </x:c>
      <x:c r="G817" s="9">
        <x:v>31897783270.680008</x:v>
      </x:c>
      <x:c r="H817" s="10" t="n">
        <x:f>G817-F817</x:f>
        <x:v>6590731370.680008</x:v>
      </x:c>
    </x:row>
    <x:row r="818">
      <x:c r="A818" s="7" t="str">
        <x:v>3319080</x:v>
      </x:c>
      <x:c r="B818" s="7" t="str">
        <x:v>RS Umum  Islam Sunan Kudus</x:v>
      </x:c>
      <x:c r="C818" s="7" t="str">
        <x:v>C</x:v>
      </x:c>
      <x:c r="D818" s="7" t="str">
        <x:v>KUDUS</x:v>
      </x:c>
      <x:c r="E818" s="8">
        <x:v>152289</x:v>
      </x:c>
      <x:c r="F818" s="9">
        <x:v>95522560350</x:v>
      </x:c>
      <x:c r="G818" s="9">
        <x:v>108611049075.77</x:v>
      </x:c>
      <x:c r="H818" s="10" t="n">
        <x:f>G818-F818</x:f>
        <x:v>13088488725.770004</x:v>
      </x:c>
    </x:row>
    <x:row r="819">
      <x:c r="A819" s="7" t="str">
        <x:v>3319102</x:v>
      </x:c>
      <x:c r="B819" s="7" t="str">
        <x:v>Rumkitban 04.08.04 Kartika Husada Kudus</x:v>
      </x:c>
      <x:c r="C819" s="7" t="str">
        <x:v>D</x:v>
      </x:c>
      <x:c r="D819" s="7" t="str">
        <x:v>KUDUS</x:v>
      </x:c>
      <x:c r="E819" s="8">
        <x:v>4389</x:v>
      </x:c>
      <x:c r="F819" s="9">
        <x:v>2710817600</x:v>
      </x:c>
      <x:c r="G819" s="9">
        <x:v>3649970669.3000007</x:v>
      </x:c>
      <x:c r="H819" s="10" t="n">
        <x:f>G819-F819</x:f>
        <x:v>939153069.3000007</x:v>
      </x:c>
    </x:row>
    <x:row r="820">
      <x:c r="A820" s="7" t="str">
        <x:v>3319113</x:v>
      </x:c>
      <x:c r="B820" s="7" t="str">
        <x:v>RS Sarkies 'Aisyiyah Kudus</x:v>
      </x:c>
      <x:c r="C820" s="7" t="str">
        <x:v>C</x:v>
      </x:c>
      <x:c r="D820" s="7" t="str">
        <x:v>KUDUS</x:v>
      </x:c>
      <x:c r="E820" s="8">
        <x:v>47169</x:v>
      </x:c>
      <x:c r="F820" s="9">
        <x:v>46984742800</x:v>
      </x:c>
      <x:c r="G820" s="9">
        <x:v>51415702078.77998</x:v>
      </x:c>
      <x:c r="H820" s="10" t="n">
        <x:f>G820-F820</x:f>
        <x:v>4430959278.7799835</x:v>
      </x:c>
    </x:row>
    <x:row r="821">
      <x:c r="A821" s="7" t="str">
        <x:v>3320010</x:v>
      </x:c>
      <x:c r="B821" s="7" t="str">
        <x:v>RS Umum Daerah R. A. Kartini</x:v>
      </x:c>
      <x:c r="C821" s="7" t="str">
        <x:v>B</x:v>
      </x:c>
      <x:c r="D821" s="7" t="str">
        <x:v>JEPARA</x:v>
      </x:c>
      <x:c r="E821" s="8">
        <x:v>158722</x:v>
      </x:c>
      <x:c r="F821" s="9">
        <x:v>137770532290</x:v>
      </x:c>
      <x:c r="G821" s="9">
        <x:v>146711432997.53003</x:v>
      </x:c>
      <x:c r="H821" s="10" t="n">
        <x:f>G821-F821</x:f>
        <x:v>8940900707.53003</x:v>
      </x:c>
    </x:row>
    <x:row r="822">
      <x:c r="A822" s="7" t="str">
        <x:v>3320021</x:v>
      </x:c>
      <x:c r="B822" s="7" t="str">
        <x:v>RS Umum Daerah dr. Rehatta Provinsi Jawa Tengah</x:v>
      </x:c>
      <x:c r="C822" s="7" t="str">
        <x:v>C</x:v>
      </x:c>
      <x:c r="D822" s="7" t="str">
        <x:v>JEPARA</x:v>
      </x:c>
      <x:c r="E822" s="8">
        <x:v>54784</x:v>
      </x:c>
      <x:c r="F822" s="9">
        <x:v>39378598810</x:v>
      </x:c>
      <x:c r="G822" s="9">
        <x:v>51049080037.70001</x:v>
      </x:c>
      <x:c r="H822" s="10" t="n">
        <x:f>G822-F822</x:f>
        <x:v>11670481227.700012</x:v>
      </x:c>
    </x:row>
    <x:row r="823">
      <x:c r="A823" s="7" t="str">
        <x:v>3320032</x:v>
      </x:c>
      <x:c r="B823" s="7" t="str">
        <x:v>RS Umum Sultan Hadlirin Jepara</x:v>
      </x:c>
      <x:c r="C823" s="7" t="str">
        <x:v>C</x:v>
      </x:c>
      <x:c r="D823" s="7" t="str">
        <x:v>JEPARA</x:v>
      </x:c>
      <x:c r="E823" s="8">
        <x:v>49291</x:v>
      </x:c>
      <x:c r="F823" s="9">
        <x:v>35421298800</x:v>
      </x:c>
      <x:c r="G823" s="9">
        <x:v>41284343136.51001</x:v>
      </x:c>
      <x:c r="H823" s="10" t="n">
        <x:f>G823-F823</x:f>
        <x:v>5863044336.51001</x:v>
      </x:c>
    </x:row>
    <x:row r="824">
      <x:c r="A824" s="7" t="str">
        <x:v>3320043</x:v>
      </x:c>
      <x:c r="B824" s="7" t="str">
        <x:v>RS Graha Husada Jepara</x:v>
      </x:c>
      <x:c r="C824" s="7" t="str">
        <x:v>D</x:v>
      </x:c>
      <x:c r="D824" s="7" t="str">
        <x:v>JEPARA</x:v>
      </x:c>
      <x:c r="E824" s="8">
        <x:v>22611</x:v>
      </x:c>
      <x:c r="F824" s="9">
        <x:v>18191120300</x:v>
      </x:c>
      <x:c r="G824" s="9">
        <x:v>23493413677.750004</x:v>
      </x:c>
      <x:c r="H824" s="10" t="n">
        <x:f>G824-F824</x:f>
        <x:v>5302293377.750004</x:v>
      </x:c>
    </x:row>
    <x:row r="825">
      <x:c r="A825" s="7" t="str">
        <x:v>3320046</x:v>
      </x:c>
      <x:c r="B825" s="7" t="str">
        <x:v>RS PKU Aisyiyah Jepara</x:v>
      </x:c>
      <x:c r="C825" s="7" t="str">
        <x:v>D</x:v>
      </x:c>
      <x:c r="D825" s="7" t="str">
        <x:v>JEPARA</x:v>
      </x:c>
      <x:c r="E825" s="8">
        <x:v>12221</x:v>
      </x:c>
      <x:c r="F825" s="9">
        <x:v>15009354200</x:v>
      </x:c>
      <x:c r="G825" s="9">
        <x:v>19525976898.64001</x:v>
      </x:c>
      <x:c r="H825" s="10" t="n">
        <x:f>G825-F825</x:f>
        <x:v>4516622698.640011</x:v>
      </x:c>
    </x:row>
    <x:row r="826">
      <x:c r="A826" s="7" t="str">
        <x:v>3320089</x:v>
      </x:c>
      <x:c r="B826" s="7" t="str">
        <x:v>RS Umum PKU Muhammadiyah Mayong</x:v>
      </x:c>
      <x:c r="C826" s="7" t="str">
        <x:v>C</x:v>
      </x:c>
      <x:c r="D826" s="7" t="str">
        <x:v>JEPARA</x:v>
      </x:c>
      <x:c r="E826" s="8">
        <x:v>77929</x:v>
      </x:c>
      <x:c r="F826" s="9">
        <x:v>49449626800</x:v>
      </x:c>
      <x:c r="G826" s="9">
        <x:v>56794336818.279976</x:v>
      </x:c>
      <x:c r="H826" s="10" t="n">
        <x:f>G826-F826</x:f>
        <x:v>7344710018.279976</x:v>
      </x:c>
    </x:row>
    <x:row r="827">
      <x:c r="A827" s="7" t="str">
        <x:v>3321011</x:v>
      </x:c>
      <x:c r="B827" s="7" t="str">
        <x:v>RS Umum Daerah Sunan Kalijaga</x:v>
      </x:c>
      <x:c r="C827" s="7" t="str">
        <x:v>C</x:v>
      </x:c>
      <x:c r="D827" s="7" t="str">
        <x:v>DEMAK</x:v>
      </x:c>
      <x:c r="E827" s="8">
        <x:v>107037</x:v>
      </x:c>
      <x:c r="F827" s="9">
        <x:v>76673941755</x:v>
      </x:c>
      <x:c r="G827" s="9">
        <x:v>101639369492.26001</x:v>
      </x:c>
      <x:c r="H827" s="10" t="n">
        <x:f>G827-F827</x:f>
        <x:v>24965427737.26001</x:v>
      </x:c>
    </x:row>
    <x:row r="828">
      <x:c r="A828" s="7" t="str">
        <x:v>3321033</x:v>
      </x:c>
      <x:c r="B828" s="7" t="str">
        <x:v>RS Umum Islam NU Demak</x:v>
      </x:c>
      <x:c r="C828" s="7" t="str">
        <x:v>C</x:v>
      </x:c>
      <x:c r="D828" s="7" t="str">
        <x:v>DEMAK</x:v>
      </x:c>
      <x:c r="E828" s="8">
        <x:v>38532</x:v>
      </x:c>
      <x:c r="F828" s="9">
        <x:v>38189564600</x:v>
      </x:c>
      <x:c r="G828" s="9">
        <x:v>46799029409.909966</x:v>
      </x:c>
      <x:c r="H828" s="10" t="n">
        <x:f>G828-F828</x:f>
        <x:v>8609464809.909966</x:v>
      </x:c>
    </x:row>
    <x:row r="829">
      <x:c r="A829" s="7" t="str">
        <x:v>3321034</x:v>
      </x:c>
      <x:c r="B829" s="7" t="str">
        <x:v>RS Umum Pelita Anugerah</x:v>
      </x:c>
      <x:c r="C829" s="7" t="str">
        <x:v>C</x:v>
      </x:c>
      <x:c r="D829" s="7" t="str">
        <x:v>DEMAK</x:v>
      </x:c>
      <x:c r="E829" s="8">
        <x:v>49987</x:v>
      </x:c>
      <x:c r="F829" s="9">
        <x:v>39287829600</x:v>
      </x:c>
      <x:c r="G829" s="9">
        <x:v>47638791585.48996</x:v>
      </x:c>
      <x:c r="H829" s="10" t="n">
        <x:f>G829-F829</x:f>
        <x:v>8350961985.48996</x:v>
      </x:c>
    </x:row>
    <x:row r="830">
      <x:c r="A830" s="7" t="str">
        <x:v>3321035</x:v>
      </x:c>
      <x:c r="B830" s="7" t="str">
        <x:v>RS Umum Daerah Sultan Fatah Karangawen Demak</x:v>
      </x:c>
      <x:c r="C830" s="7" t="str">
        <x:v>C</x:v>
      </x:c>
      <x:c r="D830" s="7" t="str">
        <x:v>DEMAK</x:v>
      </x:c>
      <x:c r="E830" s="8">
        <x:v>42737</x:v>
      </x:c>
      <x:c r="F830" s="9">
        <x:v>42674114500</x:v>
      </x:c>
      <x:c r="G830" s="9">
        <x:v>55001865288.34</x:v>
      </x:c>
      <x:c r="H830" s="10" t="n">
        <x:f>G830-F830</x:f>
        <x:v>12327750788.339996</x:v>
      </x:c>
    </x:row>
    <x:row r="831">
      <x:c r="A831" s="7" t="str">
        <x:v>3321036</x:v>
      </x:c>
      <x:c r="B831" s="7" t="str">
        <x:v>RS Hj. Fatimah Sulhan PKU Muhammadiyah Demak</x:v>
      </x:c>
      <x:c r="C831" s="7" t="str">
        <x:v>D</x:v>
      </x:c>
      <x:c r="D831" s="7" t="str">
        <x:v>DEMAK</x:v>
      </x:c>
      <x:c r="E831" s="8">
        <x:v>5476</x:v>
      </x:c>
      <x:c r="F831" s="9">
        <x:v>6136310300</x:v>
      </x:c>
      <x:c r="G831" s="9">
        <x:v>8173598063.820003</x:v>
      </x:c>
      <x:c r="H831" s="10" t="n">
        <x:f>G831-F831</x:f>
        <x:v>2037287763.8200026</x:v>
      </x:c>
    </x:row>
    <x:row r="832">
      <x:c r="A832" s="7" t="str">
        <x:v>3321047</x:v>
      </x:c>
      <x:c r="B832" s="7" t="str">
        <x:v>Charlie Hospital Demak</x:v>
      </x:c>
      <x:c r="C832" s="7" t="str">
        <x:v>C</x:v>
      </x:c>
      <x:c r="D832" s="7" t="str">
        <x:v>DEMAK</x:v>
      </x:c>
      <x:c r="E832" s="8">
        <x:v>10283</x:v>
      </x:c>
      <x:c r="F832" s="9">
        <x:v>9655550000</x:v>
      </x:c>
      <x:c r="G832" s="9">
        <x:v>12076776807.17</x:v>
      </x:c>
      <x:c r="H832" s="10" t="n">
        <x:f>G832-F832</x:f>
        <x:v>2421226807.17</x:v>
      </x:c>
    </x:row>
    <x:row r="833">
      <x:c r="A833" s="7" t="str">
        <x:v>3322012</x:v>
      </x:c>
      <x:c r="B833" s="7" t="str">
        <x:v>RS Umum Daerah dr. Gunawan Mangunkusumo</x:v>
      </x:c>
      <x:c r="C833" s="7" t="str">
        <x:v>C</x:v>
      </x:c>
      <x:c r="D833" s="7" t="str">
        <x:v>SEMARANG</x:v>
      </x:c>
      <x:c r="E833" s="8">
        <x:v>101270</x:v>
      </x:c>
      <x:c r="F833" s="9">
        <x:v>66135680705</x:v>
      </x:c>
      <x:c r="G833" s="9">
        <x:v>87127043064.25002</x:v>
      </x:c>
      <x:c r="H833" s="10" t="n">
        <x:f>G833-F833</x:f>
        <x:v>20991362359.250015</x:v>
      </x:c>
    </x:row>
    <x:row r="834">
      <x:c r="A834" s="7" t="str">
        <x:v>3322023</x:v>
      </x:c>
      <x:c r="B834" s="7" t="str">
        <x:v>RS Umum Daerah dr. Gondo Suwarno</x:v>
      </x:c>
      <x:c r="C834" s="7" t="str">
        <x:v>C</x:v>
      </x:c>
      <x:c r="D834" s="7" t="str">
        <x:v>SEMARANG</x:v>
      </x:c>
      <x:c r="E834" s="8">
        <x:v>63171</x:v>
      </x:c>
      <x:c r="F834" s="9">
        <x:v>40842144310</x:v>
      </x:c>
      <x:c r="G834" s="9">
        <x:v>52250908317.869995</x:v>
      </x:c>
      <x:c r="H834" s="10" t="n">
        <x:f>G834-F834</x:f>
        <x:v>11408764007.869995</x:v>
      </x:c>
    </x:row>
    <x:row r="835">
      <x:c r="A835" s="7" t="str">
        <x:v>3322034</x:v>
      </x:c>
      <x:c r="B835" s="7" t="str">
        <x:v>RS Umum Ken Saras</x:v>
      </x:c>
      <x:c r="C835" s="7" t="str">
        <x:v>C</x:v>
      </x:c>
      <x:c r="D835" s="7" t="str">
        <x:v>SEMARANG</x:v>
      </x:c>
      <x:c r="E835" s="8">
        <x:v>111711</x:v>
      </x:c>
      <x:c r="F835" s="9">
        <x:v>85825588250</x:v>
      </x:c>
      <x:c r="G835" s="9">
        <x:v>101352971477.29004</x:v>
      </x:c>
      <x:c r="H835" s="10" t="n">
        <x:f>G835-F835</x:f>
        <x:v>15527383227.29004</x:v>
      </x:c>
    </x:row>
    <x:row r="836">
      <x:c r="A836" s="7" t="str">
        <x:v>3322037</x:v>
      </x:c>
      <x:c r="B836" s="7" t="str">
        <x:v>RS 3322037</x:v>
      </x:c>
      <x:c r="C836" s="7" t="str">
        <x:v>D</x:v>
      </x:c>
      <x:c r="D836" s="7" t="str">
        <x:v>SEMARANG</x:v>
      </x:c>
      <x:c r="E836" s="8">
        <x:v>5861</x:v>
      </x:c>
      <x:c r="F836" s="9">
        <x:v>2173525500</x:v>
      </x:c>
      <x:c r="G836" s="9">
        <x:v>2896120723.7799997</x:v>
      </x:c>
      <x:c r="H836" s="10" t="n">
        <x:f>G836-F836</x:f>
        <x:v>722595223.7799997</x:v>
      </x:c>
    </x:row>
    <x:row r="837">
      <x:c r="A837" s="7" t="str">
        <x:v>3322071</x:v>
      </x:c>
      <x:c r="B837" s="7" t="str">
        <x:v>RS Umum Bina Kasih</x:v>
      </x:c>
      <x:c r="C837" s="7" t="str">
        <x:v>D</x:v>
      </x:c>
      <x:c r="D837" s="7" t="str">
        <x:v>SEMARANG</x:v>
      </x:c>
      <x:c r="E837" s="8">
        <x:v>5658</x:v>
      </x:c>
      <x:c r="F837" s="9">
        <x:v>8012042500</x:v>
      </x:c>
      <x:c r="G837" s="9">
        <x:v>10481113504.859995</x:v>
      </x:c>
      <x:c r="H837" s="10" t="n">
        <x:f>G837-F837</x:f>
        <x:v>2469071004.859995</x:v>
      </x:c>
    </x:row>
    <x:row r="838">
      <x:c r="A838" s="7" t="str">
        <x:v>3322072</x:v>
      </x:c>
      <x:c r="B838" s="7" t="str">
        <x:v>RS Ibu dan Anak Plamongan Indah</x:v>
      </x:c>
      <x:c r="C838" s="7" t="str">
        <x:v>C</x:v>
      </x:c>
      <x:c r="D838" s="7" t="str">
        <x:v>KOTA SEMARANG</x:v>
      </x:c>
      <x:c r="E838" s="8">
        <x:v>2628</x:v>
      </x:c>
      <x:c r="F838" s="9">
        <x:v>4917339700</x:v>
      </x:c>
      <x:c r="G838" s="9">
        <x:v>5777402206.160002</x:v>
      </x:c>
      <x:c r="H838" s="10" t="n">
        <x:f>G838-F838</x:f>
        <x:v>860062506.1600018</x:v>
      </x:c>
    </x:row>
    <x:row r="839">
      <x:c r="A839" s="7" t="str">
        <x:v>3322073</x:v>
      </x:c>
      <x:c r="B839" s="7" t="str">
        <x:v>RS Umum Kusuma Ungaran</x:v>
      </x:c>
      <x:c r="C839" s="7" t="str">
        <x:v>D</x:v>
      </x:c>
      <x:c r="D839" s="7" t="str">
        <x:v>SEMARANG</x:v>
      </x:c>
      <x:c r="E839" s="8">
        <x:v>15262</x:v>
      </x:c>
      <x:c r="F839" s="9">
        <x:v>9363681900</x:v>
      </x:c>
      <x:c r="G839" s="9">
        <x:v>11058194816.04</x:v>
      </x:c>
      <x:c r="H839" s="10" t="n">
        <x:f>G839-F839</x:f>
        <x:v>1694512916.040001</x:v>
      </x:c>
    </x:row>
    <x:row r="840">
      <x:c r="A840" s="7" t="str">
        <x:v>3322084</x:v>
      </x:c>
      <x:c r="B840" s="7" t="str">
        <x:v>At-Tin Hospital</x:v>
      </x:c>
      <x:c r="C840" s="7" t="str">
        <x:v>C</x:v>
      </x:c>
      <x:c r="D840" s="7" t="str">
        <x:v>SEMARANG</x:v>
      </x:c>
      <x:c r="E840" s="8">
        <x:v>24496</x:v>
      </x:c>
      <x:c r="F840" s="9">
        <x:v>19760956800</x:v>
      </x:c>
      <x:c r="G840" s="9">
        <x:v>23032626324.519985</x:v>
      </x:c>
      <x:c r="H840" s="10" t="n">
        <x:f>G840-F840</x:f>
        <x:v>3271669524.519985</x:v>
      </x:c>
    </x:row>
    <x:row r="841">
      <x:c r="A841" s="7" t="str">
        <x:v>3323013</x:v>
      </x:c>
      <x:c r="B841" s="7" t="str">
        <x:v>RS Umum Daerah Kabupaten Temanggung</x:v>
      </x:c>
      <x:c r="C841" s="7" t="str">
        <x:v>B</x:v>
      </x:c>
      <x:c r="D841" s="7" t="str">
        <x:v>TEMANGGUNG</x:v>
      </x:c>
      <x:c r="E841" s="8">
        <x:v>110673</x:v>
      </x:c>
      <x:c r="F841" s="9">
        <x:v>102756840490</x:v>
      </x:c>
      <x:c r="G841" s="9">
        <x:v>115295890294.09996</x:v>
      </x:c>
      <x:c r="H841" s="10" t="n">
        <x:f>G841-F841</x:f>
        <x:v>12539049804.09996</x:v>
      </x:c>
    </x:row>
    <x:row r="842">
      <x:c r="A842" s="7" t="str">
        <x:v>3323024</x:v>
      </x:c>
      <x:c r="B842" s="7" t="str">
        <x:v>RS Umum Ngesti Waluyo</x:v>
      </x:c>
      <x:c r="C842" s="7" t="str">
        <x:v>C</x:v>
      </x:c>
      <x:c r="D842" s="7" t="str">
        <x:v>TEMANGGUNG</x:v>
      </x:c>
      <x:c r="E842" s="8">
        <x:v>60371</x:v>
      </x:c>
      <x:c r="F842" s="9">
        <x:v>52808809550</x:v>
      </x:c>
      <x:c r="G842" s="9">
        <x:v>64154437754.03002</x:v>
      </x:c>
      <x:c r="H842" s="10" t="n">
        <x:f>G842-F842</x:f>
        <x:v>11345628204.030022</x:v>
      </x:c>
    </x:row>
    <x:row r="843">
      <x:c r="A843" s="7" t="str">
        <x:v>3323046</x:v>
      </x:c>
      <x:c r="B843" s="7" t="str">
        <x:v>RS Umum Gunung Sawo Kab. Temanggung</x:v>
      </x:c>
      <x:c r="C843" s="7" t="str">
        <x:v>D</x:v>
      </x:c>
      <x:c r="D843" s="7" t="str">
        <x:v>TEMANGGUNG</x:v>
      </x:c>
      <x:c r="E843" s="8">
        <x:v>2593</x:v>
      </x:c>
      <x:c r="F843" s="9">
        <x:v>4018334300</x:v>
      </x:c>
      <x:c r="G843" s="9">
        <x:v>5280500417.730002</x:v>
      </x:c>
      <x:c r="H843" s="10" t="n">
        <x:f>G843-F843</x:f>
        <x:v>1262166117.7300024</x:v>
      </x:c>
    </x:row>
    <x:row r="844">
      <x:c r="A844" s="7" t="str">
        <x:v>3323050</x:v>
      </x:c>
      <x:c r="B844" s="7" t="str">
        <x:v>RS PKU Muhammadiyah Temanggung</x:v>
      </x:c>
      <x:c r="C844" s="7" t="str">
        <x:v>C</x:v>
      </x:c>
      <x:c r="D844" s="7" t="str">
        <x:v>TEMANGGUNG</x:v>
      </x:c>
      <x:c r="E844" s="8">
        <x:v>57369</x:v>
      </x:c>
      <x:c r="F844" s="9">
        <x:v>55596020850</x:v>
      </x:c>
      <x:c r="G844" s="9">
        <x:v>63292879509.68997</x:v>
      </x:c>
      <x:c r="H844" s="10" t="n">
        <x:f>G844-F844</x:f>
        <x:v>7696858659.689972</x:v>
      </x:c>
    </x:row>
    <x:row r="845">
      <x:c r="A845" s="7" t="str">
        <x:v>3324014</x:v>
      </x:c>
      <x:c r="B845" s="7" t="str">
        <x:v>RS Umum Daerah  Dr. H. Soewondo Kendal</x:v>
      </x:c>
      <x:c r="C845" s="7" t="str">
        <x:v>B</x:v>
      </x:c>
      <x:c r="D845" s="7" t="str">
        <x:v>KENDAL</x:v>
      </x:c>
      <x:c r="E845" s="8">
        <x:v>102288</x:v>
      </x:c>
      <x:c r="F845" s="9">
        <x:v>82490431800</x:v>
      </x:c>
      <x:c r="G845" s="9">
        <x:v>88743340985.71</x:v>
      </x:c>
      <x:c r="H845" s="10" t="n">
        <x:f>G845-F845</x:f>
        <x:v>6252909185.710007</x:v>
      </x:c>
    </x:row>
    <x:row r="846">
      <x:c r="A846" s="7" t="str">
        <x:v>3324036</x:v>
      </x:c>
      <x:c r="B846" s="7" t="str">
        <x:v>RS Umum Islam Kendal</x:v>
      </x:c>
      <x:c r="C846" s="7" t="str">
        <x:v>C</x:v>
      </x:c>
      <x:c r="D846" s="7" t="str">
        <x:v>KENDAL</x:v>
      </x:c>
      <x:c r="E846" s="8">
        <x:v>130835</x:v>
      </x:c>
      <x:c r="F846" s="9">
        <x:v>101780624100</x:v>
      </x:c>
      <x:c r="G846" s="9">
        <x:v>120497786596.74998</x:v>
      </x:c>
      <x:c r="H846" s="10" t="n">
        <x:f>G846-F846</x:f>
        <x:v>18717162496.749985</x:v>
      </x:c>
    </x:row>
    <x:row r="847">
      <x:c r="A847" s="7" t="str">
        <x:v>3324037</x:v>
      </x:c>
      <x:c r="B847" s="7" t="str">
        <x:v>RS Umum Muhammadiyah Darul Istiqomah Kendal</x:v>
      </x:c>
      <x:c r="C847" s="7" t="str">
        <x:v>D</x:v>
      </x:c>
      <x:c r="D847" s="7" t="str">
        <x:v>KENDAL</x:v>
      </x:c>
      <x:c r="E847" s="8">
        <x:v>41028</x:v>
      </x:c>
      <x:c r="F847" s="9">
        <x:v>29836450000</x:v>
      </x:c>
      <x:c r="G847" s="9">
        <x:v>37238735588.83001</x:v>
      </x:c>
      <x:c r="H847" s="10" t="n">
        <x:f>G847-F847</x:f>
        <x:v>7402285588.830009</x:v>
      </x:c>
    </x:row>
    <x:row r="848">
      <x:c r="A848" s="7" t="str">
        <x:v>3324040</x:v>
      </x:c>
      <x:c r="B848" s="7" t="str">
        <x:v>RS Umum Charlie Hospital</x:v>
      </x:c>
      <x:c r="C848" s="7" t="str">
        <x:v>C</x:v>
      </x:c>
      <x:c r="D848" s="7" t="str">
        <x:v>KENDAL</x:v>
      </x:c>
      <x:c r="E848" s="8">
        <x:v>38091</x:v>
      </x:c>
      <x:c r="F848" s="9">
        <x:v>24876741200</x:v>
      </x:c>
      <x:c r="G848" s="9">
        <x:v>29595061398.9</x:v>
      </x:c>
      <x:c r="H848" s="10" t="n">
        <x:f>G848-F848</x:f>
        <x:v>4718320198.900002</x:v>
      </x:c>
    </x:row>
    <x:row r="849">
      <x:c r="A849" s="7" t="str">
        <x:v>3324052</x:v>
      </x:c>
      <x:c r="B849" s="7" t="str">
        <x:v>RS PKU Aisyiyah Kendal</x:v>
      </x:c>
      <x:c r="C849" s="7" t="str">
        <x:v>D</x:v>
      </x:c>
      <x:c r="D849" s="7" t="str">
        <x:v>KENDAL</x:v>
      </x:c>
      <x:c r="E849" s="8">
        <x:v>10562</x:v>
      </x:c>
      <x:c r="F849" s="9">
        <x:v>7668327000</x:v>
      </x:c>
      <x:c r="G849" s="9">
        <x:v>9277627396.73</x:v>
      </x:c>
      <x:c r="H849" s="10" t="n">
        <x:f>G849-F849</x:f>
        <x:v>1609300396.7299995</x:v>
      </x:c>
    </x:row>
    <x:row r="850">
      <x:c r="A850" s="7" t="str">
        <x:v>3324053</x:v>
      </x:c>
      <x:c r="B850" s="7" t="str">
        <x:v>RS PKU Muhammadiyah Boja</x:v>
      </x:c>
      <x:c r="C850" s="7" t="str">
        <x:v>D</x:v>
      </x:c>
      <x:c r="D850" s="7" t="str">
        <x:v>KENDAL</x:v>
      </x:c>
      <x:c r="E850" s="8">
        <x:v>8196</x:v>
      </x:c>
      <x:c r="F850" s="9">
        <x:v>8918382800</x:v>
      </x:c>
      <x:c r="G850" s="9">
        <x:v>11798401432.65</x:v>
      </x:c>
      <x:c r="H850" s="10" t="n">
        <x:f>G850-F850</x:f>
        <x:v>2880018632.6499996</x:v>
      </x:c>
    </x:row>
    <x:row r="851">
      <x:c r="A851" s="7" t="str">
        <x:v>3325015</x:v>
      </x:c>
      <x:c r="B851" s="7" t="str">
        <x:v>RS Umum Daerah Batang</x:v>
      </x:c>
      <x:c r="C851" s="7" t="str">
        <x:v>C</x:v>
      </x:c>
      <x:c r="D851" s="7" t="str">
        <x:v>BATANG</x:v>
      </x:c>
      <x:c r="E851" s="8">
        <x:v>50460</x:v>
      </x:c>
      <x:c r="F851" s="9">
        <x:v>42442495310</x:v>
      </x:c>
      <x:c r="G851" s="9">
        <x:v>53091011581.13</x:v>
      </x:c>
      <x:c r="H851" s="10" t="n">
        <x:f>G851-F851</x:f>
        <x:v>10648516271.129997</x:v>
      </x:c>
    </x:row>
    <x:row r="852">
      <x:c r="A852" s="7" t="str">
        <x:v>3325037</x:v>
      </x:c>
      <x:c r="B852" s="7" t="str">
        <x:v>RS Umum Qim</x:v>
      </x:c>
      <x:c r="C852" s="7" t="str">
        <x:v>C</x:v>
      </x:c>
      <x:c r="D852" s="7" t="str">
        <x:v>BATANG</x:v>
      </x:c>
      <x:c r="E852" s="8">
        <x:v>115360</x:v>
      </x:c>
      <x:c r="F852" s="9">
        <x:v>90215290750</x:v>
      </x:c>
      <x:c r="G852" s="9">
        <x:v>104608291837.17996</x:v>
      </x:c>
      <x:c r="H852" s="10" t="n">
        <x:f>G852-F852</x:f>
        <x:v>14393001087.179962</x:v>
      </x:c>
    </x:row>
    <x:row r="853">
      <x:c r="A853" s="7" t="str">
        <x:v>3325039</x:v>
      </x:c>
      <x:c r="B853" s="7" t="str">
        <x:v>RS Umum Daerah Limpung</x:v>
      </x:c>
      <x:c r="C853" s="7" t="str">
        <x:v>C</x:v>
      </x:c>
      <x:c r="D853" s="7" t="str">
        <x:v>BATANG</x:v>
      </x:c>
      <x:c r="E853" s="8">
        <x:v>17284</x:v>
      </x:c>
      <x:c r="F853" s="9">
        <x:v>13425934100</x:v>
      </x:c>
      <x:c r="G853" s="9">
        <x:v>17802864025</x:v>
      </x:c>
      <x:c r="H853" s="10" t="n">
        <x:f>G853-F853</x:f>
        <x:v>4376929925</x:v>
      </x:c>
    </x:row>
    <x:row r="854">
      <x:c r="A854" s="7" t="str">
        <x:v>3326011</x:v>
      </x:c>
      <x:c r="B854" s="7" t="str">
        <x:v>RS Umum Daerah Kraton Kab. Pekalongan</x:v>
      </x:c>
      <x:c r="C854" s="7" t="str">
        <x:v>B</x:v>
      </x:c>
      <x:c r="D854" s="7" t="str">
        <x:v>PEKALONGAN</x:v>
      </x:c>
      <x:c r="E854" s="8">
        <x:v>101741</x:v>
      </x:c>
      <x:c r="F854" s="9">
        <x:v>83656672695</x:v>
      </x:c>
      <x:c r="G854" s="9">
        <x:v>96864983092.52002</x:v>
      </x:c>
      <x:c r="H854" s="10" t="n">
        <x:f>G854-F854</x:f>
        <x:v>13208310397.52002</x:v>
      </x:c>
    </x:row>
    <x:row r="855">
      <x:c r="A855" s="7" t="str">
        <x:v>3326016</x:v>
      </x:c>
      <x:c r="B855" s="7" t="str">
        <x:v>RS Islam PKU Muhammadiyah Pekajangan</x:v>
      </x:c>
      <x:c r="C855" s="7" t="str">
        <x:v>C</x:v>
      </x:c>
      <x:c r="D855" s="7" t="str">
        <x:v>PEKALONGAN</x:v>
      </x:c>
      <x:c r="E855" s="8">
        <x:v>93439</x:v>
      </x:c>
      <x:c r="F855" s="9">
        <x:v>68991707900</x:v>
      </x:c>
      <x:c r="G855" s="9">
        <x:v>80681863313.10997</x:v>
      </x:c>
      <x:c r="H855" s="10" t="n">
        <x:f>G855-F855</x:f>
        <x:v>11690155413.10997</x:v>
      </x:c>
    </x:row>
    <x:row r="856">
      <x:c r="A856" s="7" t="str">
        <x:v>3326038</x:v>
      </x:c>
      <x:c r="B856" s="7" t="str">
        <x:v>RS Umum Daerah Kajen Kab. Pekalongan</x:v>
      </x:c>
      <x:c r="C856" s="7" t="str">
        <x:v>C</x:v>
      </x:c>
      <x:c r="D856" s="7" t="str">
        <x:v>PEKALONGAN</x:v>
      </x:c>
      <x:c r="E856" s="8">
        <x:v>136689</x:v>
      </x:c>
      <x:c r="F856" s="9">
        <x:v>89410673930</x:v>
      </x:c>
      <x:c r="G856" s="9">
        <x:v>111125328630.79002</x:v>
      </x:c>
      <x:c r="H856" s="10" t="n">
        <x:f>G856-F856</x:f>
        <x:v>21714654700.790024</x:v>
      </x:c>
    </x:row>
    <x:row r="857">
      <x:c r="A857" s="7" t="str">
        <x:v>3326049</x:v>
      </x:c>
      <x:c r="B857" s="7" t="str">
        <x:v>RS Umum Daerah Bendan Kota Pekalongan</x:v>
      </x:c>
      <x:c r="C857" s="7" t="str">
        <x:v>C</x:v>
      </x:c>
      <x:c r="D857" s="7" t="str">
        <x:v>PEKALONGAN</x:v>
      </x:c>
      <x:c r="E857" s="8">
        <x:v>88101</x:v>
      </x:c>
      <x:c r="F857" s="9">
        <x:v>64358851510</x:v>
      </x:c>
      <x:c r="G857" s="9">
        <x:v>84671246500.79001</x:v>
      </x:c>
      <x:c r="H857" s="10" t="n">
        <x:f>G857-F857</x:f>
        <x:v>20312394990.79001</x:v>
      </x:c>
    </x:row>
    <x:row r="858">
      <x:c r="A858" s="7" t="str">
        <x:v>3326051</x:v>
      </x:c>
      <x:c r="B858" s="7" t="str">
        <x:v>RS Ibu dan Anak Aisyiyah Pekajangan Pekalongan</x:v>
      </x:c>
      <x:c r="C858" s="7" t="str">
        <x:v>C</x:v>
      </x:c>
      <x:c r="D858" s="7" t="str">
        <x:v>PEKALONGAN</x:v>
      </x:c>
      <x:c r="E858" s="8">
        <x:v>7477</x:v>
      </x:c>
      <x:c r="F858" s="9">
        <x:v>12582419300</x:v>
      </x:c>
      <x:c r="G858" s="9">
        <x:v>13657205421.410002</x:v>
      </x:c>
      <x:c r="H858" s="10" t="n">
        <x:f>G858-F858</x:f>
        <x:v>1074786121.4100018</x:v>
      </x:c>
    </x:row>
    <x:row r="859">
      <x:c r="A859" s="7" t="str">
        <x:v>3326062</x:v>
      </x:c>
      <x:c r="B859" s="7" t="str">
        <x:v>RS Umum Daerah Kesesi Pekalongan</x:v>
      </x:c>
      <x:c r="C859" s="7" t="str">
        <x:v>D</x:v>
      </x:c>
      <x:c r="D859" s="7" t="str">
        <x:v>PEKALONGAN</x:v>
      </x:c>
      <x:c r="E859" s="8">
        <x:v>5263</x:v>
      </x:c>
      <x:c r="F859" s="9">
        <x:v>5710931500</x:v>
      </x:c>
      <x:c r="G859" s="9">
        <x:v>8439976242.549998</x:v>
      </x:c>
      <x:c r="H859" s="10" t="n">
        <x:f>G859-F859</x:f>
        <x:v>2729044742.5499983</x:v>
      </x:c>
    </x:row>
    <x:row r="860">
      <x:c r="A860" s="7" t="str">
        <x:v>3327010</x:v>
      </x:c>
      <x:c r="B860" s="7" t="str">
        <x:v>RS Umum Daerah Dr. M. Ashari Pemalang</x:v>
      </x:c>
      <x:c r="C860" s="7" t="str">
        <x:v>C</x:v>
      </x:c>
      <x:c r="D860" s="7" t="str">
        <x:v>PEMALANG</x:v>
      </x:c>
      <x:c r="E860" s="8">
        <x:v>114077</x:v>
      </x:c>
      <x:c r="F860" s="9">
        <x:v>74420375710</x:v>
      </x:c>
      <x:c r="G860" s="9">
        <x:v>93283504901.94002</x:v>
      </x:c>
      <x:c r="H860" s="10" t="n">
        <x:f>G860-F860</x:f>
        <x:v>18863129191.940018</x:v>
      </x:c>
    </x:row>
    <x:row r="861">
      <x:c r="A861" s="7" t="str">
        <x:v>3327021</x:v>
      </x:c>
      <x:c r="B861" s="7" t="str">
        <x:v>RS Umum Santa Maria Pemalang</x:v>
      </x:c>
      <x:c r="C861" s="7" t="str">
        <x:v>C</x:v>
      </x:c>
      <x:c r="D861" s="7" t="str">
        <x:v>PEMALANG</x:v>
      </x:c>
      <x:c r="E861" s="8">
        <x:v>44960</x:v>
      </x:c>
      <x:c r="F861" s="9">
        <x:v>37129680400</x:v>
      </x:c>
      <x:c r="G861" s="9">
        <x:v>43195250266.63999</x:v>
      </x:c>
      <x:c r="H861" s="10" t="n">
        <x:f>G861-F861</x:f>
        <x:v>6065569866.639992</x:v>
      </x:c>
    </x:row>
    <x:row r="862">
      <x:c r="A862" s="7" t="str">
        <x:v>3327032</x:v>
      </x:c>
      <x:c r="B862" s="7" t="str">
        <x:v>RS Muhammadiyah Rodliyah Achid</x:v>
      </x:c>
      <x:c r="C862" s="7" t="str">
        <x:v>D</x:v>
      </x:c>
      <x:c r="D862" s="7" t="str">
        <x:v>PEMALANG</x:v>
      </x:c>
      <x:c r="E862" s="8">
        <x:v>24785</x:v>
      </x:c>
      <x:c r="F862" s="9">
        <x:v>23505751900</x:v>
      </x:c>
      <x:c r="G862" s="9">
        <x:v>28884440355.230007</x:v>
      </x:c>
      <x:c r="H862" s="10" t="n">
        <x:f>G862-F862</x:f>
        <x:v>5378688455.230007</x:v>
      </x:c>
    </x:row>
    <x:row r="863">
      <x:c r="A863" s="7" t="str">
        <x:v>3327043</x:v>
      </x:c>
      <x:c r="B863" s="7" t="str">
        <x:v>RS Umum Islam Al-Ikhlas</x:v>
      </x:c>
      <x:c r="C863" s="7" t="str">
        <x:v>C</x:v>
      </x:c>
      <x:c r="D863" s="7" t="str">
        <x:v>PEMALANG</x:v>
      </x:c>
      <x:c r="E863" s="8">
        <x:v>42880</x:v>
      </x:c>
      <x:c r="F863" s="9">
        <x:v>36085056400</x:v>
      </x:c>
      <x:c r="G863" s="9">
        <x:v>42478751197.57</x:v>
      </x:c>
      <x:c r="H863" s="10" t="n">
        <x:f>G863-F863</x:f>
        <x:v>6393694797.57</x:v>
      </x:c>
    </x:row>
    <x:row r="864">
      <x:c r="A864" s="7" t="str">
        <x:v>3327044</x:v>
      </x:c>
      <x:c r="B864" s="7" t="str">
        <x:v>RS Umum Siaga Medika Pemalang</x:v>
      </x:c>
      <x:c r="C864" s="7" t="str">
        <x:v>C</x:v>
      </x:c>
      <x:c r="D864" s="7" t="str">
        <x:v>PEMALANG</x:v>
      </x:c>
      <x:c r="E864" s="8">
        <x:v>96147</x:v>
      </x:c>
      <x:c r="F864" s="9">
        <x:v>78654334000</x:v>
      </x:c>
      <x:c r="G864" s="9">
        <x:v>93519620852.83998</x:v>
      </x:c>
      <x:c r="H864" s="10" t="n">
        <x:f>G864-F864</x:f>
        <x:v>14865286852.839981</x:v>
      </x:c>
    </x:row>
    <x:row r="865">
      <x:c r="A865" s="7" t="str">
        <x:v>3327045</x:v>
      </x:c>
      <x:c r="B865" s="7" t="str">
        <x:v>RS Umum Prima Medika</x:v>
      </x:c>
      <x:c r="C865" s="7" t="str">
        <x:v>C</x:v>
      </x:c>
      <x:c r="D865" s="7" t="str">
        <x:v>PEMALANG</x:v>
      </x:c>
      <x:c r="E865" s="8">
        <x:v>62641</x:v>
      </x:c>
      <x:c r="F865" s="9">
        <x:v>53142425800</x:v>
      </x:c>
      <x:c r="G865" s="9">
        <x:v>60254616047.740005</x:v>
      </x:c>
      <x:c r="H865" s="10" t="n">
        <x:f>G865-F865</x:f>
        <x:v>7112190247.7400055</x:v>
      </x:c>
    </x:row>
    <x:row r="866">
      <x:c r="A866" s="7" t="str">
        <x:v>3327047</x:v>
      </x:c>
      <x:c r="B866" s="7" t="str">
        <x:v>RS Umum Muhammadiyah Mardhatillah</x:v>
      </x:c>
      <x:c r="C866" s="7" t="str">
        <x:v>D</x:v>
      </x:c>
      <x:c r="D866" s="7" t="str">
        <x:v>PEMALANG</x:v>
      </x:c>
      <x:c r="E866" s="8">
        <x:v>48328</x:v>
      </x:c>
      <x:c r="F866" s="9">
        <x:v>34016818500</x:v>
      </x:c>
      <x:c r="G866" s="9">
        <x:v>42437947469.53002</x:v>
      </x:c>
      <x:c r="H866" s="10" t="n">
        <x:f>G866-F866</x:f>
        <x:v>8421128969.530022</x:v>
      </x:c>
    </x:row>
    <x:row r="867">
      <x:c r="A867" s="7" t="str">
        <x:v>3327048</x:v>
      </x:c>
      <x:c r="B867" s="7" t="str">
        <x:v>RS Harapan Sehat Pemalang</x:v>
      </x:c>
      <x:c r="C867" s="7" t="str">
        <x:v>D</x:v>
      </x:c>
      <x:c r="D867" s="7" t="str">
        <x:v>PEMALANG</x:v>
      </x:c>
      <x:c r="E867" s="8">
        <x:v>10872</x:v>
      </x:c>
      <x:c r="F867" s="9">
        <x:v>8766011200</x:v>
      </x:c>
      <x:c r="G867" s="9">
        <x:v>11362650752.899998</x:v>
      </x:c>
      <x:c r="H867" s="10" t="n">
        <x:f>G867-F867</x:f>
        <x:v>2596639552.8999977</x:v>
      </x:c>
    </x:row>
    <x:row r="868">
      <x:c r="A868" s="7" t="str">
        <x:v>3327049</x:v>
      </x:c>
      <x:c r="B868" s="7" t="str">
        <x:v>RS Umum Comal Baru</x:v>
      </x:c>
      <x:c r="C868" s="7" t="str">
        <x:v>D</x:v>
      </x:c>
      <x:c r="D868" s="7" t="str">
        <x:v>PEMALANG</x:v>
      </x:c>
      <x:c r="E868" s="8">
        <x:v>16544</x:v>
      </x:c>
      <x:c r="F868" s="9">
        <x:v>16443416600</x:v>
      </x:c>
      <x:c r="G868" s="9">
        <x:v>22448498392.580006</x:v>
      </x:c>
      <x:c r="H868" s="10" t="n">
        <x:f>G868-F868</x:f>
        <x:v>6005081792.580006</x:v>
      </x:c>
    </x:row>
    <x:row r="869">
      <x:c r="A869" s="7" t="str">
        <x:v>3328011</x:v>
      </x:c>
      <x:c r="B869" s="7" t="str">
        <x:v>RS Umum Daerah dr. Soeselo Slawi Kabupaten Tegal</x:v>
      </x:c>
      <x:c r="C869" s="7" t="str">
        <x:v>B</x:v>
      </x:c>
      <x:c r="D869" s="7" t="str">
        <x:v>TEGAL</x:v>
      </x:c>
      <x:c r="E869" s="8">
        <x:v>121763</x:v>
      </x:c>
      <x:c r="F869" s="9">
        <x:v>120161575835</x:v>
      </x:c>
      <x:c r="G869" s="9">
        <x:v>138558801295.85</x:v>
      </x:c>
      <x:c r="H869" s="10" t="n">
        <x:f>G869-F869</x:f>
        <x:v>18397225460.850006</x:v>
      </x:c>
    </x:row>
    <x:row r="870">
      <x:c r="A870" s="7" t="str">
        <x:v>3328035</x:v>
      </x:c>
      <x:c r="B870" s="7" t="str">
        <x:v>RS Umum Daerah Suradadi</x:v>
      </x:c>
      <x:c r="C870" s="7" t="str">
        <x:v>C</x:v>
      </x:c>
      <x:c r="D870" s="7" t="str">
        <x:v>TEGAL</x:v>
      </x:c>
      <x:c r="E870" s="8">
        <x:v>30871</x:v>
      </x:c>
      <x:c r="F870" s="9">
        <x:v>24452872100</x:v>
      </x:c>
      <x:c r="G870" s="9">
        <x:v>33182335217.780003</x:v>
      </x:c>
      <x:c r="H870" s="10" t="n">
        <x:f>G870-F870</x:f>
        <x:v>8729463117.780003</x:v>
      </x:c>
    </x:row>
    <x:row r="871">
      <x:c r="A871" s="7" t="str">
        <x:v>3328055</x:v>
      </x:c>
      <x:c r="B871" s="7" t="str">
        <x:v>RSI PKU Muhammadiyah Tegal</x:v>
      </x:c>
      <x:c r="C871" s="7" t="str">
        <x:v>C</x:v>
      </x:c>
      <x:c r="D871" s="7" t="str">
        <x:v>TEGAL</x:v>
      </x:c>
      <x:c r="E871" s="8">
        <x:v>136696</x:v>
      </x:c>
      <x:c r="F871" s="9">
        <x:v>95886815200</x:v>
      </x:c>
      <x:c r="G871" s="9">
        <x:v>116817372693.70003</x:v>
      </x:c>
      <x:c r="H871" s="10" t="n">
        <x:f>G871-F871</x:f>
        <x:v>20930557493.700027</x:v>
      </x:c>
    </x:row>
    <x:row r="872">
      <x:c r="A872" s="7" t="str">
        <x:v>3328078</x:v>
      </x:c>
      <x:c r="B872" s="7" t="str">
        <x:v>RS Umum Adella</x:v>
      </x:c>
      <x:c r="C872" s="7" t="str">
        <x:v>D</x:v>
      </x:c>
      <x:c r="D872" s="7" t="str">
        <x:v>TEGAL</x:v>
      </x:c>
      <x:c r="E872" s="8">
        <x:v>8998</x:v>
      </x:c>
      <x:c r="F872" s="9">
        <x:v>6458699500</x:v>
      </x:c>
      <x:c r="G872" s="9">
        <x:v>8264946531.24</x:v>
      </x:c>
      <x:c r="H872" s="10" t="n">
        <x:f>G872-F872</x:f>
        <x:v>1806247031.2399998</x:v>
      </x:c>
    </x:row>
    <x:row r="873">
      <x:c r="A873" s="7" t="str">
        <x:v>3328079</x:v>
      </x:c>
      <x:c r="B873" s="7" t="str">
        <x:v>RS Ibu dan Anak Pala Raya</x:v>
      </x:c>
      <x:c r="C873" s="7" t="str">
        <x:v>C</x:v>
      </x:c>
      <x:c r="D873" s="7" t="str">
        <x:v>TEGAL</x:v>
      </x:c>
      <x:c r="E873" s="8">
        <x:v>2893</x:v>
      </x:c>
      <x:c r="F873" s="9">
        <x:v>4983438500</x:v>
      </x:c>
      <x:c r="G873" s="9">
        <x:v>6055653970.629999</x:v>
      </x:c>
      <x:c r="H873" s="10" t="n">
        <x:f>G873-F873</x:f>
        <x:v>1072215470.6299992</x:v>
      </x:c>
    </x:row>
    <x:row r="874">
      <x:c r="A874" s="7" t="str">
        <x:v>3328081</x:v>
      </x:c>
      <x:c r="B874" s="7" t="str">
        <x:v>RS Harapan Sehat Slawi</x:v>
      </x:c>
      <x:c r="C874" s="7" t="str">
        <x:v>D</x:v>
      </x:c>
      <x:c r="D874" s="7" t="str">
        <x:v>TEGAL</x:v>
      </x:c>
      <x:c r="E874" s="8">
        <x:v>18854</x:v>
      </x:c>
      <x:c r="F874" s="9">
        <x:v>11527292500</x:v>
      </x:c>
      <x:c r="G874" s="9">
        <x:v>14864921151.070004</x:v>
      </x:c>
      <x:c r="H874" s="10" t="n">
        <x:f>G874-F874</x:f>
        <x:v>3337628651.0700035</x:v>
      </x:c>
    </x:row>
    <x:row r="875">
      <x:c r="A875" s="7" t="str">
        <x:v>3328082</x:v>
      </x:c>
      <x:c r="B875" s="7" t="str">
        <x:v>RS Hawari Essa</x:v>
      </x:c>
      <x:c r="C875" s="7" t="str">
        <x:v>D</x:v>
      </x:c>
      <x:c r="D875" s="7" t="str">
        <x:v>TEGAL</x:v>
      </x:c>
      <x:c r="E875" s="8">
        <x:v>7442</x:v>
      </x:c>
      <x:c r="F875" s="9">
        <x:v>8694294100</x:v>
      </x:c>
      <x:c r="G875" s="9">
        <x:v>10863024178.140001</x:v>
      </x:c>
      <x:c r="H875" s="10" t="n">
        <x:f>G875-F875</x:f>
        <x:v>2168730078.1400013</x:v>
      </x:c>
    </x:row>
    <x:row r="876">
      <x:c r="A876" s="7" t="str">
        <x:v>3328094</x:v>
      </x:c>
      <x:c r="B876" s="7" t="str">
        <x:v>RS Mitra Siaga Tarub</x:v>
      </x:c>
      <x:c r="C876" s="7" t="str">
        <x:v>C</x:v>
      </x:c>
      <x:c r="D876" s="7" t="str">
        <x:v>TEGAL</x:v>
      </x:c>
      <x:c r="E876" s="8">
        <x:v>50801</x:v>
      </x:c>
      <x:c r="F876" s="9">
        <x:v>39302904100</x:v>
      </x:c>
      <x:c r="G876" s="9">
        <x:v>46450817479.88</x:v>
      </x:c>
      <x:c r="H876" s="10" t="n">
        <x:f>G876-F876</x:f>
        <x:v>7147913379.879997</x:v>
      </x:c>
    </x:row>
    <x:row r="877">
      <x:c r="A877" s="7" t="str">
        <x:v>3329012</x:v>
      </x:c>
      <x:c r="B877" s="7" t="str">
        <x:v>RS Umum Daerah Brebes</x:v>
      </x:c>
      <x:c r="C877" s="7" t="str">
        <x:v>B</x:v>
      </x:c>
      <x:c r="D877" s="7" t="str">
        <x:v>BREBES</x:v>
      </x:c>
      <x:c r="E877" s="8">
        <x:v>144856</x:v>
      </x:c>
      <x:c r="F877" s="9">
        <x:v>169656348200</x:v>
      </x:c>
      <x:c r="G877" s="9">
        <x:v>184801328135.74</x:v>
      </x:c>
      <x:c r="H877" s="10" t="n">
        <x:f>G877-F877</x:f>
        <x:v>15144979935.73999</x:v>
      </x:c>
    </x:row>
    <x:row r="878">
      <x:c r="A878" s="7" t="str">
        <x:v>3329045</x:v>
      </x:c>
      <x:c r="B878" s="7" t="str">
        <x:v>RS Umum Siti Asiyah</x:v>
      </x:c>
      <x:c r="C878" s="7" t="str">
        <x:v>D</x:v>
      </x:c>
      <x:c r="D878" s="7" t="str">
        <x:v>BREBES</x:v>
      </x:c>
      <x:c r="E878" s="8">
        <x:v>12453</x:v>
      </x:c>
      <x:c r="F878" s="9">
        <x:v>8669716600</x:v>
      </x:c>
      <x:c r="G878" s="9">
        <x:v>12417897226.559998</x:v>
      </x:c>
      <x:c r="H878" s="10" t="n">
        <x:f>G878-F878</x:f>
        <x:v>3748180626.5599976</x:v>
      </x:c>
    </x:row>
    <x:row r="879">
      <x:c r="A879" s="7" t="str">
        <x:v>3329056</x:v>
      </x:c>
      <x:c r="B879" s="7" t="str">
        <x:v>RS Umum Muhammadiyah Siti Aminah</x:v>
      </x:c>
      <x:c r="C879" s="7" t="str">
        <x:v>C</x:v>
      </x:c>
      <x:c r="D879" s="7" t="str">
        <x:v>BREBES</x:v>
      </x:c>
      <x:c r="E879" s="8">
        <x:v>87303</x:v>
      </x:c>
      <x:c r="F879" s="9">
        <x:v>60727196900</x:v>
      </x:c>
      <x:c r="G879" s="9">
        <x:v>74351372829.86</x:v>
      </x:c>
      <x:c r="H879" s="10" t="n">
        <x:f>G879-F879</x:f>
        <x:v>13624175929.86</x:v>
      </x:c>
    </x:row>
    <x:row r="880">
      <x:c r="A880" s="7" t="str">
        <x:v>3329067</x:v>
      </x:c>
      <x:c r="B880" s="7" t="str">
        <x:v>RS Umum Dedy Jaya</x:v>
      </x:c>
      <x:c r="C880" s="7" t="str">
        <x:v>D</x:v>
      </x:c>
      <x:c r="D880" s="7" t="str">
        <x:v>BREBES</x:v>
      </x:c>
      <x:c r="E880" s="8">
        <x:v>25994</x:v>
      </x:c>
      <x:c r="F880" s="9">
        <x:v>16213239000</x:v>
      </x:c>
      <x:c r="G880" s="9">
        <x:v>22286256003.939995</x:v>
      </x:c>
      <x:c r="H880" s="10" t="n">
        <x:f>G880-F880</x:f>
        <x:v>6073017003.939995</x:v>
      </x:c>
    </x:row>
    <x:row r="881">
      <x:c r="A881" s="7" t="str">
        <x:v>3329078</x:v>
      </x:c>
      <x:c r="B881" s="7" t="str">
        <x:v>RS Umum Bhakti Asih Brebes</x:v>
      </x:c>
      <x:c r="C881" s="7" t="str">
        <x:v>C</x:v>
      </x:c>
      <x:c r="D881" s="7" t="str">
        <x:v>BREBES</x:v>
      </x:c>
      <x:c r="E881" s="8">
        <x:v>568</x:v>
      </x:c>
      <x:c r="F881" s="9">
        <x:v>1132267000</x:v>
      </x:c>
      <x:c r="G881" s="9">
        <x:v>1357009978.2199996</x:v>
      </x:c>
      <x:c r="H881" s="10" t="n">
        <x:f>G881-F881</x:f>
        <x:v>224742978.21999955</x:v>
      </x:c>
    </x:row>
    <x:row r="882">
      <x:c r="A882" s="7" t="str">
        <x:v>3329101</x:v>
      </x:c>
      <x:c r="B882" s="7" t="str">
        <x:v>RS Umum Dera As-Syifa</x:v>
      </x:c>
      <x:c r="C882" s="7" t="str">
        <x:v>D</x:v>
      </x:c>
      <x:c r="D882" s="7" t="str">
        <x:v>BREBES</x:v>
      </x:c>
      <x:c r="E882" s="8">
        <x:v>43114</x:v>
      </x:c>
      <x:c r="F882" s="9">
        <x:v>30762099700</x:v>
      </x:c>
      <x:c r="G882" s="9">
        <x:v>42021855903.799995</x:v>
      </x:c>
      <x:c r="H882" s="10" t="n">
        <x:f>G882-F882</x:f>
        <x:v>11259756203.799995</x:v>
      </x:c>
    </x:row>
    <x:row r="883">
      <x:c r="A883" s="7" t="str">
        <x:v>3329102</x:v>
      </x:c>
      <x:c r="B883" s="7" t="str">
        <x:v>RS Umum Daerah Bumiayu</x:v>
      </x:c>
      <x:c r="C883" s="7" t="str">
        <x:v>C</x:v>
      </x:c>
      <x:c r="D883" s="7" t="str">
        <x:v>BREBES</x:v>
      </x:c>
      <x:c r="E883" s="8">
        <x:v>29605</x:v>
      </x:c>
      <x:c r="F883" s="9">
        <x:v>19151993100</x:v>
      </x:c>
      <x:c r="G883" s="9">
        <x:v>24824195651.150017</x:v>
      </x:c>
      <x:c r="H883" s="10" t="n">
        <x:f>G883-F883</x:f>
        <x:v>5672202551.150017</x:v>
      </x:c>
    </x:row>
    <x:row r="884">
      <x:c r="A884" s="7" t="str">
        <x:v>3329103</x:v>
      </x:c>
      <x:c r="B884" s="7" t="str">
        <x:v>RS Umum Islami Mutiara Bunda</x:v>
      </x:c>
      <x:c r="C884" s="7" t="str">
        <x:v>C</x:v>
      </x:c>
      <x:c r="D884" s="7" t="str">
        <x:v>BREBES</x:v>
      </x:c>
      <x:c r="E884" s="8">
        <x:v>59929</x:v>
      </x:c>
      <x:c r="F884" s="9">
        <x:v>65610978400</x:v>
      </x:c>
      <x:c r="G884" s="9">
        <x:v>78517246600.76001</x:v>
      </x:c>
      <x:c r="H884" s="10" t="n">
        <x:f>G884-F884</x:f>
        <x:v>12906268200.76001</x:v>
      </x:c>
    </x:row>
    <x:row r="885">
      <x:c r="A885" s="7" t="str">
        <x:v>3329105</x:v>
      </x:c>
      <x:c r="B885" s="7" t="str">
        <x:v>RS Ibu dan Anak Permata Insani</x:v>
      </x:c>
      <x:c r="C885" s="7" t="str">
        <x:v>C</x:v>
      </x:c>
      <x:c r="D885" s="7" t="str">
        <x:v>BREBES</x:v>
      </x:c>
      <x:c r="E885" s="8">
        <x:v>10608</x:v>
      </x:c>
      <x:c r="F885" s="9">
        <x:v>12542430200</x:v>
      </x:c>
      <x:c r="G885" s="9">
        <x:v>14790874883.339996</x:v>
      </x:c>
      <x:c r="H885" s="10" t="n">
        <x:f>G885-F885</x:f>
        <x:v>2248444683.3399963</x:v>
      </x:c>
    </x:row>
    <x:row r="886">
      <x:c r="A886" s="7" t="str">
        <x:v>3329108</x:v>
      </x:c>
      <x:c r="B886" s="7" t="str">
        <x:v>RS Umum Allam Medica Bumiayu</x:v>
      </x:c>
      <x:c r="C886" s="7" t="str">
        <x:v>C</x:v>
      </x:c>
      <x:c r="D886" s="7" t="str">
        <x:v>BREBES</x:v>
      </x:c>
      <x:c r="E886" s="8">
        <x:v>56664</x:v>
      </x:c>
      <x:c r="F886" s="9">
        <x:v>37421009250</x:v>
      </x:c>
      <x:c r="G886" s="9">
        <x:v>45858056671.85001</x:v>
      </x:c>
      <x:c r="H886" s="10" t="n">
        <x:f>G886-F886</x:f>
        <x:v>8437047421.850014</x:v>
      </x:c>
    </x:row>
    <x:row r="887">
      <x:c r="A887" s="7" t="str">
        <x:v>3329109</x:v>
      </x:c>
      <x:c r="B887" s="7" t="str">
        <x:v>RS Umum Amanah Mahmudah</x:v>
      </x:c>
      <x:c r="C887" s="7" t="str">
        <x:v>D</x:v>
      </x:c>
      <x:c r="D887" s="7" t="str">
        <x:v>BREBES</x:v>
      </x:c>
      <x:c r="E887" s="8">
        <x:v>12086</x:v>
      </x:c>
      <x:c r="F887" s="9">
        <x:v>12764751400</x:v>
      </x:c>
      <x:c r="G887" s="9">
        <x:v>18757250116.229992</x:v>
      </x:c>
      <x:c r="H887" s="10" t="n">
        <x:f>G887-F887</x:f>
        <x:v>5992498716.229992</x:v>
      </x:c>
    </x:row>
    <x:row r="888">
      <x:c r="A888" s="7" t="str">
        <x:v>3329112</x:v>
      </x:c>
      <x:c r="B888" s="7" t="str">
        <x:v>RS Harapan Sehat Jatibarang</x:v>
      </x:c>
      <x:c r="C888" s="7" t="str">
        <x:v>D</x:v>
      </x:c>
      <x:c r="D888" s="7" t="str">
        <x:v>BREBES</x:v>
      </x:c>
      <x:c r="E888" s="8">
        <x:v>28753</x:v>
      </x:c>
      <x:c r="F888" s="9">
        <x:v>15007619100</x:v>
      </x:c>
      <x:c r="G888" s="9">
        <x:v>20580533901.329998</x:v>
      </x:c>
      <x:c r="H888" s="10" t="n">
        <x:f>G888-F888</x:f>
        <x:v>5572914801.329998</x:v>
      </x:c>
    </x:row>
    <x:row r="889">
      <x:c r="A889" s="7" t="str">
        <x:v>3329113</x:v>
      </x:c>
      <x:c r="B889" s="7" t="str">
        <x:v>RS Harapan Sehat Bumiayu</x:v>
      </x:c>
      <x:c r="C889" s="7" t="str">
        <x:v>D</x:v>
      </x:c>
      <x:c r="D889" s="7" t="str">
        <x:v>BREBES</x:v>
      </x:c>
      <x:c r="E889" s="8">
        <x:v>3463</x:v>
      </x:c>
      <x:c r="F889" s="9">
        <x:v>3707123800</x:v>
      </x:c>
      <x:c r="G889" s="9">
        <x:v>5473750781.659994</x:v>
      </x:c>
      <x:c r="H889" s="10" t="n">
        <x:f>G889-F889</x:f>
        <x:v>1766626981.6599941</x:v>
      </x:c>
    </x:row>
    <x:row r="890">
      <x:c r="A890" s="7" t="str">
        <x:v>3329125</x:v>
      </x:c>
      <x:c r="B890" s="7" t="str">
        <x:v>RS Umum Daerah Ir. Soekarno Kab. Brebes</x:v>
      </x:c>
      <x:c r="C890" s="7" t="str">
        <x:v>D</x:v>
      </x:c>
      <x:c r="D890" s="7" t="str">
        <x:v>BREBES</x:v>
      </x:c>
      <x:c r="E890" s="8">
        <x:v>18342</x:v>
      </x:c>
      <x:c r="F890" s="9">
        <x:v>18042652700</x:v>
      </x:c>
      <x:c r="G890" s="9">
        <x:v>25985608591.08999</x:v>
      </x:c>
      <x:c r="H890" s="10" t="n">
        <x:f>G890-F890</x:f>
        <x:v>7942955891.089989</x:v>
      </x:c>
    </x:row>
    <x:row r="891">
      <x:c r="A891" s="7" t="str">
        <x:v>3329126</x:v>
      </x:c>
      <x:c r="B891" s="7" t="str">
        <x:v>RS Ibu dan Anak Nuzula</x:v>
      </x:c>
      <x:c r="C891" s="7" t="str">
        <x:v>C</x:v>
      </x:c>
      <x:c r="D891" s="7" t="str">
        <x:v>BREBES</x:v>
      </x:c>
      <x:c r="E891" s="8">
        <x:v>3601</x:v>
      </x:c>
      <x:c r="F891" s="9">
        <x:v>3772818300</x:v>
      </x:c>
      <x:c r="G891" s="9">
        <x:v>4847074498.830001</x:v>
      </x:c>
      <x:c r="H891" s="10" t="n">
        <x:f>G891-F891</x:f>
        <x:v>1074256198.8300009</x:v>
      </x:c>
    </x:row>
    <x:row r="892">
      <x:c r="A892" s="7" t="str">
        <x:v>3371014</x:v>
      </x:c>
      <x:c r="B892" s="7" t="str">
        <x:v>RS Umum Daerah Tidar</x:v>
      </x:c>
      <x:c r="C892" s="7" t="str">
        <x:v>B</x:v>
      </x:c>
      <x:c r="D892" s="7" t="str">
        <x:v>KOTA MAGELANG</x:v>
      </x:c>
      <x:c r="E892" s="8">
        <x:v>175652</x:v>
      </x:c>
      <x:c r="F892" s="9">
        <x:v>177113303430</x:v>
      </x:c>
      <x:c r="G892" s="9">
        <x:v>191918272621.05997</x:v>
      </x:c>
      <x:c r="H892" s="10" t="n">
        <x:f>G892-F892</x:f>
        <x:v>14804969191.059967</x:v>
      </x:c>
    </x:row>
    <x:row r="893">
      <x:c r="A893" s="7" t="str">
        <x:v>3371025</x:v>
      </x:c>
      <x:c r="B893" s="7" t="str">
        <x:v>RS Umum Tk. II Dr. Soedjono</x:v>
      </x:c>
      <x:c r="C893" s="7" t="str">
        <x:v>B</x:v>
      </x:c>
      <x:c r="D893" s="7" t="str">
        <x:v>KOTA MAGELANG</x:v>
      </x:c>
      <x:c r="E893" s="8">
        <x:v>91345</x:v>
      </x:c>
      <x:c r="F893" s="9">
        <x:v>80295644690</x:v>
      </x:c>
      <x:c r="G893" s="9">
        <x:v>89230571208.48999</x:v>
      </x:c>
      <x:c r="H893" s="10" t="n">
        <x:f>G893-F893</x:f>
        <x:v>8934926518.48999</x:v>
      </x:c>
    </x:row>
    <x:row r="894">
      <x:c r="A894" s="7" t="str">
        <x:v>3371039</x:v>
      </x:c>
      <x:c r="B894" s="7" t="str">
        <x:v>RS 3371039</x:v>
      </x:c>
      <x:c r="C894" s="7" t="str">
        <x:v>D</x:v>
      </x:c>
      <x:c r="D894" s="7" t="str">
        <x:v>KOTA MAGELANG</x:v>
      </x:c>
      <x:c r="E894" s="8">
        <x:v>2478</x:v>
      </x:c>
      <x:c r="F894" s="9">
        <x:v>567844800</x:v>
      </x:c>
      <x:c r="G894" s="9">
        <x:v>708815235.9899998</x:v>
      </x:c>
      <x:c r="H894" s="10" t="n">
        <x:f>G894-F894</x:f>
        <x:v>140970435.98999977</x:v>
      </x:c>
    </x:row>
    <x:row r="895">
      <x:c r="A895" s="7" t="str">
        <x:v>3371040</x:v>
      </x:c>
      <x:c r="B895" s="7" t="str">
        <x:v>RS Jiwa Prof. Dr. Soerojo</x:v>
      </x:c>
      <x:c r="C895" s="7" t="str">
        <x:v>A</x:v>
      </x:c>
      <x:c r="D895" s="7" t="str">
        <x:v>KOTA MAGELANG</x:v>
      </x:c>
      <x:c r="E895" s="8">
        <x:v>96271</x:v>
      </x:c>
      <x:c r="F895" s="9">
        <x:v>78791773790</x:v>
      </x:c>
      <x:c r="G895" s="9">
        <x:v>83772389722.22002</x:v>
      </x:c>
      <x:c r="H895" s="10" t="n">
        <x:f>G895-F895</x:f>
        <x:v>4980615932.2200165</x:v>
      </x:c>
    </x:row>
    <x:row r="896">
      <x:c r="A896" s="7" t="str">
        <x:v>3371084</x:v>
      </x:c>
      <x:c r="B896" s="7" t="str">
        <x:v>RS Umum Lestari Raharja</x:v>
      </x:c>
      <x:c r="C896" s="7" t="str">
        <x:v>D</x:v>
      </x:c>
      <x:c r="D896" s="7" t="str">
        <x:v>KOTA MAGELANG</x:v>
      </x:c>
      <x:c r="E896" s="8">
        <x:v>25492</x:v>
      </x:c>
      <x:c r="F896" s="9">
        <x:v>14619086800</x:v>
      </x:c>
      <x:c r="G896" s="9">
        <x:v>18130116390.15001</x:v>
      </x:c>
      <x:c r="H896" s="10" t="n">
        <x:f>G896-F896</x:f>
        <x:v>3511029590.150009</x:v>
      </x:c>
    </x:row>
    <x:row r="897">
      <x:c r="A897" s="7" t="str">
        <x:v>3371131</x:v>
      </x:c>
      <x:c r="B897" s="7" t="str">
        <x:v>RS Umum Harapan</x:v>
      </x:c>
      <x:c r="C897" s="7" t="str">
        <x:v>C</x:v>
      </x:c>
      <x:c r="D897" s="7" t="str">
        <x:v>KOTA MAGELANG</x:v>
      </x:c>
      <x:c r="E897" s="8">
        <x:v>62045</x:v>
      </x:c>
      <x:c r="F897" s="9">
        <x:v>37010245500</x:v>
      </x:c>
      <x:c r="G897" s="9">
        <x:v>43674868404.37999</x:v>
      </x:c>
      <x:c r="H897" s="10" t="n">
        <x:f>G897-F897</x:f>
        <x:v>6664622904.37999</x:v>
      </x:c>
    </x:row>
    <x:row r="898">
      <x:c r="A898" s="7" t="str">
        <x:v>3371142</x:v>
      </x:c>
      <x:c r="B898" s="7" t="str">
        <x:v>RS Umum Islam Magelang</x:v>
      </x:c>
      <x:c r="C898" s="7" t="str">
        <x:v>D</x:v>
      </x:c>
      <x:c r="D898" s="7" t="str">
        <x:v>KOTA MAGELANG</x:v>
      </x:c>
      <x:c r="E898" s="8">
        <x:v>14573</x:v>
      </x:c>
      <x:c r="F898" s="9">
        <x:v>11165585900</x:v>
      </x:c>
      <x:c r="G898" s="9">
        <x:v>14405674817.970005</x:v>
      </x:c>
      <x:c r="H898" s="10" t="n">
        <x:f>G898-F898</x:f>
        <x:v>3240088917.970005</x:v>
      </x:c>
    </x:row>
    <x:row r="899">
      <x:c r="A899" s="7" t="str">
        <x:v>3371144</x:v>
      </x:c>
      <x:c r="B899" s="7" t="str">
        <x:v>RS Umum Daerah Budi Rahayu</x:v>
      </x:c>
      <x:c r="C899" s="7" t="str">
        <x:v>D</x:v>
      </x:c>
      <x:c r="D899" s="7" t="str">
        <x:v>KOTA MAGELANG</x:v>
      </x:c>
      <x:c r="E899" s="8">
        <x:v>4803</x:v>
      </x:c>
      <x:c r="F899" s="9">
        <x:v>3157163200</x:v>
      </x:c>
      <x:c r="G899" s="9">
        <x:v>4251230912.79</x:v>
      </x:c>
      <x:c r="H899" s="10" t="n">
        <x:f>G899-F899</x:f>
        <x:v>1094067712.79</x:v>
      </x:c>
    </x:row>
    <x:row r="900">
      <x:c r="A900" s="7" t="str">
        <x:v>3372015</x:v>
      </x:c>
      <x:c r="B900" s="7" t="str">
        <x:v>RS Umum Daerah Dr. Moewardi Surakarta</x:v>
      </x:c>
      <x:c r="C900" s="7" t="str">
        <x:v>A</x:v>
      </x:c>
      <x:c r="D900" s="7" t="str">
        <x:v>KOTA SURAKARTA</x:v>
      </x:c>
      <x:c r="E900" s="8">
        <x:v>325682</x:v>
      </x:c>
      <x:c r="F900" s="9">
        <x:v>750949388000</x:v>
      </x:c>
      <x:c r="G900" s="9">
        <x:v>646963008771.0801</x:v>
      </x:c>
      <x:c r="H900" s="10" t="n">
        <x:f>G900-F900</x:f>
        <x:v>-103986379228.91992</x:v>
      </x:c>
    </x:row>
    <x:row r="901">
      <x:c r="A901" s="7" t="str">
        <x:v>3372026</x:v>
      </x:c>
      <x:c r="B901" s="7" t="str">
        <x:v>RS Umum Dr. Oen</x:v>
      </x:c>
      <x:c r="C901" s="7" t="str">
        <x:v>B</x:v>
      </x:c>
      <x:c r="D901" s="7" t="str">
        <x:v>KOTA SURAKARTA</x:v>
      </x:c>
      <x:c r="E901" s="8">
        <x:v>71392</x:v>
      </x:c>
      <x:c r="F901" s="9">
        <x:v>85232642760</x:v>
      </x:c>
      <x:c r="G901" s="9">
        <x:v>92548643414.19002</x:v>
      </x:c>
      <x:c r="H901" s="10" t="n">
        <x:f>G901-F901</x:f>
        <x:v>7316000654.190018</x:v>
      </x:c>
    </x:row>
    <x:row r="902">
      <x:c r="A902" s="7" t="str">
        <x:v>3372030</x:v>
      </x:c>
      <x:c r="B902" s="7" t="str">
        <x:v>RS Umum Tk III Slamet Riyadi Surakarta</x:v>
      </x:c>
      <x:c r="C902" s="7" t="str">
        <x:v>C</x:v>
      </x:c>
      <x:c r="D902" s="7" t="str">
        <x:v>KOTA SURAKARTA</x:v>
      </x:c>
      <x:c r="E902" s="8">
        <x:v>29454</x:v>
      </x:c>
      <x:c r="F902" s="9">
        <x:v>17216296710</x:v>
      </x:c>
      <x:c r="G902" s="9">
        <x:v>21462283412.77</x:v>
      </x:c>
      <x:c r="H902" s="10" t="n">
        <x:f>G902-F902</x:f>
        <x:v>4245986702.7700005</x:v>
      </x:c>
    </x:row>
    <x:row r="903">
      <x:c r="A903" s="7" t="str">
        <x:v>3372041</x:v>
      </x:c>
      <x:c r="B903" s="7" t="str">
        <x:v>RS Umum Brayat Minulya</x:v>
      </x:c>
      <x:c r="C903" s="7" t="str">
        <x:v>C</x:v>
      </x:c>
      <x:c r="D903" s="7" t="str">
        <x:v>KOTA SURAKARTA</x:v>
      </x:c>
      <x:c r="E903" s="8">
        <x:v>51007</x:v>
      </x:c>
      <x:c r="F903" s="9">
        <x:v>23036330400</x:v>
      </x:c>
      <x:c r="G903" s="9">
        <x:v>27044852367.65001</x:v>
      </x:c>
      <x:c r="H903" s="10" t="n">
        <x:f>G903-F903</x:f>
        <x:v>4008521967.650009</x:v>
      </x:c>
    </x:row>
    <x:row r="904">
      <x:c r="A904" s="7" t="str">
        <x:v>3372051</x:v>
      </x:c>
      <x:c r="B904" s="7" t="str">
        <x:v>RS 3372051</x:v>
      </x:c>
      <x:c r="C904" s="7" t="str">
        <x:v>C</x:v>
      </x:c>
      <x:c r="D904" s="7" t="str">
        <x:v>KOTA SURAKARTA</x:v>
      </x:c>
      <x:c r="E904" s="8">
        <x:v>40240</x:v>
      </x:c>
      <x:c r="F904" s="9">
        <x:v>26244862000</x:v>
      </x:c>
      <x:c r="G904" s="9">
        <x:v>36360360534.810005</x:v>
      </x:c>
      <x:c r="H904" s="10" t="n">
        <x:f>G904-F904</x:f>
        <x:v>10115498534.810005</x:v>
      </x:c>
    </x:row>
    <x:row r="905">
      <x:c r="A905" s="7" t="str">
        <x:v>3372052</x:v>
      </x:c>
      <x:c r="B905" s="7" t="str">
        <x:v>RS Jiwa Daerah Dr. Arif Zainudin Provinsi Jawa Tengah</x:v>
      </x:c>
      <x:c r="C905" s="7" t="str">
        <x:v>A</x:v>
      </x:c>
      <x:c r="D905" s="7" t="str">
        <x:v>KOTA SURAKARTA</x:v>
      </x:c>
      <x:c r="E905" s="8">
        <x:v>22763</x:v>
      </x:c>
      <x:c r="F905" s="9">
        <x:v>21191173200</x:v>
      </x:c>
      <x:c r="G905" s="9">
        <x:v>21938351714.520004</x:v>
      </x:c>
      <x:c r="H905" s="10" t="n">
        <x:f>G905-F905</x:f>
        <x:v>747178514.5200043</x:v>
      </x:c>
    </x:row>
    <x:row r="906">
      <x:c r="A906" s="7" t="str">
        <x:v>3372063</x:v>
      </x:c>
      <x:c r="B906" s="7" t="str">
        <x:v>RS Orthopedi Prof. Dr. R. Soeharso</x:v>
      </x:c>
      <x:c r="C906" s="7" t="str">
        <x:v>A</x:v>
      </x:c>
      <x:c r="D906" s="7" t="str">
        <x:v>KOTA SURAKARTA</x:v>
      </x:c>
      <x:c r="E906" s="8">
        <x:v>77901</x:v>
      </x:c>
      <x:c r="F906" s="9">
        <x:v>221190078800</x:v>
      </x:c>
      <x:c r="G906" s="9">
        <x:v>199842516962.30005</x:v>
      </x:c>
      <x:c r="H906" s="10" t="n">
        <x:f>G906-F906</x:f>
        <x:v>-21347561837.69995</x:v>
      </x:c>
    </x:row>
    <x:row r="907">
      <x:c r="A907" s="7" t="str">
        <x:v>3372074</x:v>
      </x:c>
      <x:c r="B907" s="7" t="str">
        <x:v>RS Umum Panti Waluyo</x:v>
      </x:c>
      <x:c r="C907" s="7" t="str">
        <x:v>C</x:v>
      </x:c>
      <x:c r="D907" s="7" t="str">
        <x:v>KOTA SURAKARTA</x:v>
      </x:c>
      <x:c r="E907" s="8">
        <x:v>46523</x:v>
      </x:c>
      <x:c r="F907" s="9">
        <x:v>27030651300</x:v>
      </x:c>
      <x:c r="G907" s="9">
        <x:v>30330259250.030006</x:v>
      </x:c>
      <x:c r="H907" s="10" t="n">
        <x:f>G907-F907</x:f>
        <x:v>3299607950.0300064</x:v>
      </x:c>
    </x:row>
    <x:row r="908">
      <x:c r="A908" s="7" t="str">
        <x:v>3372096</x:v>
      </x:c>
      <x:c r="B908" s="7" t="str">
        <x:v>RS PKU Muhammadiyah Surakarta</x:v>
      </x:c>
      <x:c r="C908" s="7" t="str">
        <x:v>B</x:v>
      </x:c>
      <x:c r="D908" s="7" t="str">
        <x:v>KOTA SURAKARTA</x:v>
      </x:c>
      <x:c r="E908" s="8">
        <x:v>111347</x:v>
      </x:c>
      <x:c r="F908" s="9">
        <x:v>124424762460</x:v>
      </x:c>
      <x:c r="G908" s="9">
        <x:v>129276116546.91995</x:v>
      </x:c>
      <x:c r="H908" s="10" t="n">
        <x:f>G908-F908</x:f>
        <x:v>4851354086.919952</x:v>
      </x:c>
    </x:row>
    <x:row r="909">
      <x:c r="A909" s="7" t="str">
        <x:v>3372132</x:v>
      </x:c>
      <x:c r="B909" s="7" t="str">
        <x:v>RS Umum Islam Kustati</x:v>
      </x:c>
      <x:c r="C909" s="7" t="str">
        <x:v>C</x:v>
      </x:c>
      <x:c r="D909" s="7" t="str">
        <x:v>KOTA SURAKARTA</x:v>
      </x:c>
      <x:c r="E909" s="8">
        <x:v>71515</x:v>
      </x:c>
      <x:c r="F909" s="9">
        <x:v>62513996200</x:v>
      </x:c>
      <x:c r="G909" s="9">
        <x:v>78118452616.08</x:v>
      </x:c>
      <x:c r="H909" s="10" t="n">
        <x:f>G909-F909</x:f>
        <x:v>15604456416.080002</x:v>
      </x:c>
    </x:row>
    <x:row r="910">
      <x:c r="A910" s="7" t="str">
        <x:v>3372165</x:v>
      </x:c>
      <x:c r="B910" s="7" t="str">
        <x:v>RS Umum Kasih Ibu</x:v>
      </x:c>
      <x:c r="C910" s="7" t="str">
        <x:v>B</x:v>
      </x:c>
      <x:c r="D910" s="7" t="str">
        <x:v>KOTA SURAKARTA</x:v>
      </x:c>
      <x:c r="E910" s="8">
        <x:v>91410</x:v>
      </x:c>
      <x:c r="F910" s="9">
        <x:v>89663274420</x:v>
      </x:c>
      <x:c r="G910" s="9">
        <x:v>89857374459.13005</x:v>
      </x:c>
      <x:c r="H910" s="10" t="n">
        <x:f>G910-F910</x:f>
        <x:v>194100039.13005066</x:v>
      </x:c>
    </x:row>
    <x:row r="911">
      <x:c r="A911" s="7" t="str">
        <x:v>3372191</x:v>
      </x:c>
      <x:c r="B911" s="7" t="str">
        <x:v>RS Umum Triharsi</x:v>
      </x:c>
      <x:c r="C911" s="7" t="str">
        <x:v>C</x:v>
      </x:c>
      <x:c r="D911" s="7" t="str">
        <x:v>KOTA SURAKARTA</x:v>
      </x:c>
      <x:c r="E911" s="8">
        <x:v>61432</x:v>
      </x:c>
      <x:c r="F911" s="9">
        <x:v>24197401400</x:v>
      </x:c>
      <x:c r="G911" s="9">
        <x:v>29035003939.150017</x:v>
      </x:c>
      <x:c r="H911" s="10" t="n">
        <x:f>G911-F911</x:f>
        <x:v>4837602539.150017</x:v>
      </x:c>
    </x:row>
    <x:row r="912">
      <x:c r="A912" s="7" t="str">
        <x:v>3372234</x:v>
      </x:c>
      <x:c r="B912" s="7" t="str">
        <x:v>RS Umum Daerah Ibu Fatmawati Soekarno</x:v>
      </x:c>
      <x:c r="C912" s="7" t="str">
        <x:v>C</x:v>
      </x:c>
      <x:c r="D912" s="7" t="str">
        <x:v>KOTA SURAKARTA</x:v>
      </x:c>
      <x:c r="E912" s="8">
        <x:v>58841</x:v>
      </x:c>
      <x:c r="F912" s="9">
        <x:v>41950991760</x:v>
      </x:c>
      <x:c r="G912" s="9">
        <x:v>53419229498.07001</x:v>
      </x:c>
      <x:c r="H912" s="10" t="n">
        <x:f>G912-F912</x:f>
        <x:v>11468237738.070007</x:v>
      </x:c>
    </x:row>
    <x:row r="913">
      <x:c r="A913" s="7" t="str">
        <x:v>3372235</x:v>
      </x:c>
      <x:c r="B913" s="7" t="str">
        <x:v>RS Khusus Mata Solo</x:v>
      </x:c>
      <x:c r="C913" s="7" t="str">
        <x:v>C</x:v>
      </x:c>
      <x:c r="D913" s="7" t="str">
        <x:v>KOTA SURAKARTA</x:v>
      </x:c>
      <x:c r="E913" s="8">
        <x:v>24751</x:v>
      </x:c>
      <x:c r="F913" s="9">
        <x:v>23521848800</x:v>
      </x:c>
      <x:c r="G913" s="9">
        <x:v>25575205905.99</x:v>
      </x:c>
      <x:c r="H913" s="10" t="n">
        <x:f>G913-F913</x:f>
        <x:v>2053357105.9900017</x:v>
      </x:c>
    </x:row>
    <x:row r="914">
      <x:c r="A914" s="7" t="str">
        <x:v>3372236</x:v>
      </x:c>
      <x:c r="B914" s="7" t="str">
        <x:v>RS Umum Hermina Solo</x:v>
      </x:c>
      <x:c r="C914" s="7" t="str">
        <x:v>C</x:v>
      </x:c>
      <x:c r="D914" s="7" t="str">
        <x:v>KOTA SURAKARTA</x:v>
      </x:c>
      <x:c r="E914" s="8">
        <x:v>69160</x:v>
      </x:c>
      <x:c r="F914" s="9">
        <x:v>58831179100</x:v>
      </x:c>
      <x:c r="G914" s="9">
        <x:v>69402921231.90005</x:v>
      </x:c>
      <x:c r="H914" s="10" t="n">
        <x:f>G914-F914</x:f>
        <x:v>10571742131.900055</x:v>
      </x:c>
    </x:row>
    <x:row r="915">
      <x:c r="A915" s="7" t="str">
        <x:v>3372238</x:v>
      </x:c>
      <x:c r="B915" s="7" t="str">
        <x:v>RS PKU Muhammadiyah Sampangan Surakarta</x:v>
      </x:c>
      <x:c r="C915" s="7" t="str">
        <x:v>D</x:v>
      </x:c>
      <x:c r="D915" s="7" t="str">
        <x:v>KOTA SURAKARTA</x:v>
      </x:c>
      <x:c r="E915" s="8">
        <x:v>21639</x:v>
      </x:c>
      <x:c r="F915" s="9">
        <x:v>14275806600</x:v>
      </x:c>
      <x:c r="G915" s="9">
        <x:v>19148638183.609985</x:v>
      </x:c>
      <x:c r="H915" s="10" t="n">
        <x:f>G915-F915</x:f>
        <x:v>4872831583.609985</x:v>
      </x:c>
    </x:row>
    <x:row r="916">
      <x:c r="A916" s="7" t="str">
        <x:v>3372240</x:v>
      </x:c>
      <x:c r="B916" s="7" t="str">
        <x:v>RS Umum Daerah Bung Karno Kota Surakarta</x:v>
      </x:c>
      <x:c r="C916" s="7" t="str">
        <x:v>C</x:v>
      </x:c>
      <x:c r="D916" s="7" t="str">
        <x:v>KOTA SURAKARTA</x:v>
      </x:c>
      <x:c r="E916" s="8">
        <x:v>38171</x:v>
      </x:c>
      <x:c r="F916" s="9">
        <x:v>28359509125</x:v>
      </x:c>
      <x:c r="G916" s="9">
        <x:v>35128278621.61001</x:v>
      </x:c>
      <x:c r="H916" s="10" t="n">
        <x:f>G916-F916</x:f>
        <x:v>6768769496.610008</x:v>
      </x:c>
    </x:row>
    <x:row r="917">
      <x:c r="A917" s="7" t="str">
        <x:v>3372253</x:v>
      </x:c>
      <x:c r="B917" s="7" t="str">
        <x:v>RS Bhayangkara Surakarta</x:v>
      </x:c>
      <x:c r="C917" s="7" t="str">
        <x:v>D</x:v>
      </x:c>
      <x:c r="D917" s="7" t="str">
        <x:v>KOTA SURAKARTA</x:v>
      </x:c>
      <x:c r="E917" s="8">
        <x:v>1202</x:v>
      </x:c>
      <x:c r="F917" s="9">
        <x:v>674772600</x:v>
      </x:c>
      <x:c r="G917" s="9">
        <x:v>937524203.6300001</x:v>
      </x:c>
      <x:c r="H917" s="10" t="n">
        <x:f>G917-F917</x:f>
        <x:v>262751603.6300001</x:v>
      </x:c>
    </x:row>
    <x:row r="918">
      <x:c r="A918" s="7" t="str">
        <x:v>3373016</x:v>
      </x:c>
      <x:c r="B918" s="7" t="str">
        <x:v>RS Umum Daerah Kota Salatiga</x:v>
      </x:c>
      <x:c r="C918" s="7" t="str">
        <x:v>B</x:v>
      </x:c>
      <x:c r="D918" s="7" t="str">
        <x:v>KOTA SALATIGA</x:v>
      </x:c>
      <x:c r="E918" s="8">
        <x:v>105147</x:v>
      </x:c>
      <x:c r="F918" s="9">
        <x:v>79608461000</x:v>
      </x:c>
      <x:c r="G918" s="9">
        <x:v>84671398637.81</x:v>
      </x:c>
      <x:c r="H918" s="10" t="n">
        <x:f>G918-F918</x:f>
        <x:v>5062937637.809998</x:v>
      </x:c>
    </x:row>
    <x:row r="919">
      <x:c r="A919" s="7" t="str">
        <x:v>3373020</x:v>
      </x:c>
      <x:c r="B919" s="7" t="str">
        <x:v>RS Umum Tk. IV 04.07.03 dr. Asmir</x:v>
      </x:c>
      <x:c r="C919" s="7" t="str">
        <x:v>C</x:v>
      </x:c>
      <x:c r="D919" s="7" t="str">
        <x:v>KOTA SALATIGA</x:v>
      </x:c>
      <x:c r="E919" s="8">
        <x:v>29484</x:v>
      </x:c>
      <x:c r="F919" s="9">
        <x:v>19121936200</x:v>
      </x:c>
      <x:c r="G919" s="9">
        <x:v>24983250307.780003</x:v>
      </x:c>
      <x:c r="H919" s="10" t="n">
        <x:f>G919-F919</x:f>
        <x:v>5861314107.780003</x:v>
      </x:c>
    </x:row>
    <x:row r="920">
      <x:c r="A920" s="7" t="str">
        <x:v>3373042</x:v>
      </x:c>
      <x:c r="B920" s="7" t="str">
        <x:v>RS Paru Dr. Ario Wirawan</x:v>
      </x:c>
      <x:c r="C920" s="7" t="str">
        <x:v>A</x:v>
      </x:c>
      <x:c r="D920" s="7" t="str">
        <x:v>KOTA SALATIGA</x:v>
      </x:c>
      <x:c r="E920" s="8">
        <x:v>57931</x:v>
      </x:c>
      <x:c r="F920" s="9">
        <x:v>75701720000</x:v>
      </x:c>
      <x:c r="G920" s="9">
        <x:v>73241274035.12</x:v>
      </x:c>
      <x:c r="H920" s="10" t="n">
        <x:f>G920-F920</x:f>
        <x:v>-2460445964.880005</x:v>
      </x:c>
    </x:row>
    <x:row r="921">
      <x:c r="A921" s="7" t="str">
        <x:v>3373090</x:v>
      </x:c>
      <x:c r="B921" s="7" t="str">
        <x:v>RS Umum Puri Asih</x:v>
      </x:c>
      <x:c r="C921" s="7" t="str">
        <x:v>C</x:v>
      </x:c>
      <x:c r="D921" s="7" t="str">
        <x:v>KOTA SALATIGA</x:v>
      </x:c>
      <x:c r="E921" s="8">
        <x:v>74661</x:v>
      </x:c>
      <x:c r="F921" s="9">
        <x:v>43969891400</x:v>
      </x:c>
      <x:c r="G921" s="9">
        <x:v>53338039031.83</x:v>
      </x:c>
      <x:c r="H921" s="10" t="n">
        <x:f>G921-F921</x:f>
        <x:v>9368147631.830002</x:v>
      </x:c>
    </x:row>
    <x:row r="922">
      <x:c r="A922" s="7" t="str">
        <x:v>3373103</x:v>
      </x:c>
      <x:c r="B922" s="7" t="str">
        <x:v>RS Islam Tunas Harapan</x:v>
      </x:c>
      <x:c r="C922" s="7" t="str">
        <x:v>D</x:v>
      </x:c>
      <x:c r="D922" s="7" t="str">
        <x:v>KOTA SALATIGA</x:v>
      </x:c>
      <x:c r="E922" s="8">
        <x:v>6456</x:v>
      </x:c>
      <x:c r="F922" s="9">
        <x:v>5062915900</x:v>
      </x:c>
      <x:c r="G922" s="9">
        <x:v>6446140262.690002</x:v>
      </x:c>
      <x:c r="H922" s="10" t="n">
        <x:f>G922-F922</x:f>
        <x:v>1383224362.6900024</x:v>
      </x:c>
    </x:row>
    <x:row r="923">
      <x:c r="A923" s="7" t="str">
        <x:v>3374010</x:v>
      </x:c>
      <x:c r="B923" s="7" t="str">
        <x:v>RS Umum Pusat Dr. Kariadi</x:v>
      </x:c>
      <x:c r="C923" s="7" t="str">
        <x:v>A</x:v>
      </x:c>
      <x:c r="D923" s="7" t="str">
        <x:v>KOTA SEMARANG</x:v>
      </x:c>
      <x:c r="E923" s="8">
        <x:v>336665</x:v>
      </x:c>
      <x:c r="F923" s="9">
        <x:v>800829371400</x:v>
      </x:c>
      <x:c r="G923" s="9">
        <x:v>668425460976.6802</x:v>
      </x:c>
      <x:c r="H923" s="10" t="n">
        <x:f>G923-F923</x:f>
        <x:v>-132403910423.31982</x:v>
      </x:c>
    </x:row>
    <x:row r="924">
      <x:c r="A924" s="7" t="str">
        <x:v>3374021</x:v>
      </x:c>
      <x:c r="B924" s="7" t="str">
        <x:v>RS Umum St. Elisabeth Semarang</x:v>
      </x:c>
      <x:c r="C924" s="7" t="str">
        <x:v>B</x:v>
      </x:c>
      <x:c r="D924" s="7" t="str">
        <x:v>KOTA SEMARANG</x:v>
      </x:c>
      <x:c r="E924" s="8">
        <x:v>86053</x:v>
      </x:c>
      <x:c r="F924" s="9">
        <x:v>90752963400</x:v>
      </x:c>
      <x:c r="G924" s="9">
        <x:v>85373234185.43004</x:v>
      </x:c>
      <x:c r="H924" s="10" t="n">
        <x:f>G924-F924</x:f>
        <x:v>-5379729214.569962</x:v>
      </x:c>
    </x:row>
    <x:row r="925">
      <x:c r="A925" s="7" t="str">
        <x:v>3374032</x:v>
      </x:c>
      <x:c r="B925" s="7" t="str">
        <x:v>RS Umum William Booth</x:v>
      </x:c>
      <x:c r="C925" s="7" t="str">
        <x:v>C</x:v>
      </x:c>
      <x:c r="D925" s="7" t="str">
        <x:v>KOTA SEMARANG</x:v>
      </x:c>
      <x:c r="E925" s="8">
        <x:v>52018</x:v>
      </x:c>
      <x:c r="F925" s="9">
        <x:v>23467619300</x:v>
      </x:c>
      <x:c r="G925" s="9">
        <x:v>27429668618.54</x:v>
      </x:c>
      <x:c r="H925" s="10" t="n">
        <x:f>G925-F925</x:f>
        <x:v>3962049318.540001</x:v>
      </x:c>
    </x:row>
    <x:row r="926">
      <x:c r="A926" s="7" t="str">
        <x:v>3374035</x:v>
      </x:c>
      <x:c r="B926" s="7" t="str">
        <x:v>RS 3374035</x:v>
      </x:c>
      <x:c r="C926" s="7" t="str">
        <x:v>D</x:v>
      </x:c>
      <x:c r="D926" s="7" t="str">
        <x:v>KOTA SEMARANG</x:v>
      </x:c>
      <x:c r="E926" s="8">
        <x:v>1165</x:v>
      </x:c>
      <x:c r="F926" s="9">
        <x:v>726577700</x:v>
      </x:c>
      <x:c r="G926" s="9">
        <x:v>851405039.7300001</x:v>
      </x:c>
      <x:c r="H926" s="10" t="n">
        <x:f>G926-F926</x:f>
        <x:v>124827339.73000014</x:v>
      </x:c>
    </x:row>
    <x:row r="927">
      <x:c r="A927" s="7" t="str">
        <x:v>3374043</x:v>
      </x:c>
      <x:c r="B927" s="7" t="str">
        <x:v>RS Umum Telogorejo Semarang</x:v>
      </x:c>
      <x:c r="C927" s="7" t="str">
        <x:v>B</x:v>
      </x:c>
      <x:c r="D927" s="7" t="str">
        <x:v>KOTA SEMARANG</x:v>
      </x:c>
      <x:c r="E927" s="8">
        <x:v>48697</x:v>
      </x:c>
      <x:c r="F927" s="9">
        <x:v>60553223300</x:v>
      </x:c>
      <x:c r="G927" s="9">
        <x:v>65076852190.21999</x:v>
      </x:c>
      <x:c r="H927" s="10" t="n">
        <x:f>G927-F927</x:f>
        <x:v>4523628890.219994</x:v>
      </x:c>
    </x:row>
    <x:row r="928">
      <x:c r="A928" s="7" t="str">
        <x:v>3374054</x:v>
      </x:c>
      <x:c r="B928" s="7" t="str">
        <x:v>RS Umum Permata Medika</x:v>
      </x:c>
      <x:c r="C928" s="7" t="str">
        <x:v>C</x:v>
      </x:c>
      <x:c r="D928" s="7" t="str">
        <x:v>KOTA SEMARANG</x:v>
      </x:c>
      <x:c r="E928" s="8">
        <x:v>63528</x:v>
      </x:c>
      <x:c r="F928" s="9">
        <x:v>34689936400</x:v>
      </x:c>
      <x:c r="G928" s="9">
        <x:v>40208570158.96003</x:v>
      </x:c>
      <x:c r="H928" s="10" t="n">
        <x:f>G928-F928</x:f>
        <x:v>5518633758.96003</x:v>
      </x:c>
    </x:row>
    <x:row r="929">
      <x:c r="A929" s="7" t="str">
        <x:v>3374065</x:v>
      </x:c>
      <x:c r="B929" s="7" t="str">
        <x:v>RS Umum Tk.III Bhakti Wira Tamtama Smg</x:v>
      </x:c>
      <x:c r="C929" s="7" t="str">
        <x:v>C</x:v>
      </x:c>
      <x:c r="D929" s="7" t="str">
        <x:v>KOTA SEMARANG</x:v>
      </x:c>
      <x:c r="E929" s="8">
        <x:v>29062</x:v>
      </x:c>
      <x:c r="F929" s="9">
        <x:v>31753324600</x:v>
      </x:c>
      <x:c r="G929" s="9">
        <x:v>38588827800.19</x:v>
      </x:c>
      <x:c r="H929" s="10" t="n">
        <x:f>G929-F929</x:f>
        <x:v>6835503200.190002</x:v>
      </x:c>
    </x:row>
    <x:row r="930">
      <x:c r="A930" s="7" t="str">
        <x:v>3374076</x:v>
      </x:c>
      <x:c r="B930" s="7" t="str">
        <x:v>RS Umum Sultan Agung Semarang</x:v>
      </x:c>
      <x:c r="C930" s="7" t="str">
        <x:v>B</x:v>
      </x:c>
      <x:c r="D930" s="7" t="str">
        <x:v>KOTA SEMARANG</x:v>
      </x:c>
      <x:c r="E930" s="8">
        <x:v>87766</x:v>
      </x:c>
      <x:c r="F930" s="9">
        <x:v>167383438300</x:v>
      </x:c>
      <x:c r="G930" s="9">
        <x:v>176804670624.33997</x:v>
      </x:c>
      <x:c r="H930" s="10" t="n">
        <x:f>G930-F930</x:f>
        <x:v>9421232324.339966</x:v>
      </x:c>
    </x:row>
    <x:row r="931">
      <x:c r="A931" s="7" t="str">
        <x:v>3374080</x:v>
      </x:c>
      <x:c r="B931" s="7" t="str">
        <x:v>RS Roemani Muhammadiyah Semarang</x:v>
      </x:c>
      <x:c r="C931" s="7" t="str">
        <x:v>C</x:v>
      </x:c>
      <x:c r="D931" s="7" t="str">
        <x:v>KOTA SEMARANG</x:v>
      </x:c>
      <x:c r="E931" s="8">
        <x:v>111336</x:v>
      </x:c>
      <x:c r="F931" s="9">
        <x:v>77404842600</x:v>
      </x:c>
      <x:c r="G931" s="9">
        <x:v>86405341468.31998</x:v>
      </x:c>
      <x:c r="H931" s="10" t="n">
        <x:f>G931-F931</x:f>
        <x:v>9000498868.319977</x:v>
      </x:c>
    </x:row>
    <x:row r="932">
      <x:c r="A932" s="7" t="str">
        <x:v>3374091</x:v>
      </x:c>
      <x:c r="B932" s="7" t="str">
        <x:v>RS Umum Bhayangkara Semarang</x:v>
      </x:c>
      <x:c r="C932" s="7" t="str">
        <x:v>C</x:v>
      </x:c>
      <x:c r="D932" s="7" t="str">
        <x:v>KOTA SEMARANG</x:v>
      </x:c>
      <x:c r="E932" s="8">
        <x:v>56867</x:v>
      </x:c>
      <x:c r="F932" s="9">
        <x:v>37473801515</x:v>
      </x:c>
      <x:c r="G932" s="9">
        <x:v>44817004040.06999</x:v>
      </x:c>
      <x:c r="H932" s="10" t="n">
        <x:f>G932-F932</x:f>
        <x:v>7343202525.069992</x:v>
      </x:c>
    </x:row>
    <x:row r="933">
      <x:c r="A933" s="7" t="str">
        <x:v>3374112</x:v>
      </x:c>
      <x:c r="B933" s="7" t="str">
        <x:v>RS Umum Panti Wilasa Citarum</x:v>
      </x:c>
      <x:c r="C933" s="7" t="str">
        <x:v>C</x:v>
      </x:c>
      <x:c r="D933" s="7" t="str">
        <x:v>KOTA SEMARANG</x:v>
      </x:c>
      <x:c r="E933" s="8">
        <x:v>157824</x:v>
      </x:c>
      <x:c r="F933" s="9">
        <x:v>91391978000</x:v>
      </x:c>
      <x:c r="G933" s="9">
        <x:v>105658591998.85994</x:v>
      </x:c>
      <x:c r="H933" s="10" t="n">
        <x:f>G933-F933</x:f>
        <x:v>14266613998.85994</x:v>
      </x:c>
    </x:row>
    <x:row r="934">
      <x:c r="A934" s="7" t="str">
        <x:v>3374123</x:v>
      </x:c>
      <x:c r="B934" s="7" t="str">
        <x:v>RS Jiwa Daerah  Dr. Amino Gondohutomo</x:v>
      </x:c>
      <x:c r="C934" s="7" t="str">
        <x:v>A</x:v>
      </x:c>
      <x:c r="D934" s="7" t="str">
        <x:v>KOTA SEMARANG</x:v>
      </x:c>
      <x:c r="E934" s="8">
        <x:v>16579</x:v>
      </x:c>
      <x:c r="F934" s="9">
        <x:v>29521074300</x:v>
      </x:c>
      <x:c r="G934" s="9">
        <x:v>35778732387.47</x:v>
      </x:c>
      <x:c r="H934" s="10" t="n">
        <x:f>G934-F934</x:f>
        <x:v>6257658087.470001</x:v>
      </x:c>
    </x:row>
    <x:row r="935">
      <x:c r="A935" s="7" t="str">
        <x:v>3374134</x:v>
      </x:c>
      <x:c r="B935" s="7" t="str">
        <x:v>RS Umum Daerah dr. Adhyatma, MPH</x:v>
      </x:c>
      <x:c r="C935" s="7" t="str">
        <x:v>B</x:v>
      </x:c>
      <x:c r="D935" s="7" t="str">
        <x:v>KOTA SEMARANG</x:v>
      </x:c>
      <x:c r="E935" s="8">
        <x:v>64137</x:v>
      </x:c>
      <x:c r="F935" s="9">
        <x:v>82809425800</x:v>
      </x:c>
      <x:c r="G935" s="9">
        <x:v>89674178106.52998</x:v>
      </x:c>
      <x:c r="H935" s="10" t="n">
        <x:f>G935-F935</x:f>
        <x:v>6864752306.5299835</x:v>
      </x:c>
    </x:row>
    <x:row r="936">
      <x:c r="A936" s="7" t="str">
        <x:v>3374145</x:v>
      </x:c>
      <x:c r="B936" s="7" t="str">
        <x:v>RS Umum Hermina Pandanaran</x:v>
      </x:c>
      <x:c r="C936" s="7" t="str">
        <x:v>C</x:v>
      </x:c>
      <x:c r="D936" s="7" t="str">
        <x:v>KOTA SEMARANG</x:v>
      </x:c>
      <x:c r="E936" s="8">
        <x:v>95726</x:v>
      </x:c>
      <x:c r="F936" s="9">
        <x:v>69311954000</x:v>
      </x:c>
      <x:c r="G936" s="9">
        <x:v>83455923075.93999</x:v>
      </x:c>
      <x:c r="H936" s="10" t="n">
        <x:f>G936-F936</x:f>
        <x:v>14143969075.939987</x:v>
      </x:c>
    </x:row>
    <x:row r="937">
      <x:c r="A937" s="7" t="str">
        <x:v>3374203</x:v>
      </x:c>
      <x:c r="B937" s="7" t="str">
        <x:v>RS Umum Bhayangkara Akpol Semarang</x:v>
      </x:c>
      <x:c r="C937" s="7" t="str">
        <x:v>C</x:v>
      </x:c>
      <x:c r="D937" s="7" t="str">
        <x:v>KOTA SEMARANG</x:v>
      </x:c>
      <x:c r="E937" s="8">
        <x:v>952</x:v>
      </x:c>
      <x:c r="F937" s="9">
        <x:v>558836500</x:v>
      </x:c>
      <x:c r="G937" s="9">
        <x:v>747505385.6499999</x:v>
      </x:c>
      <x:c r="H937" s="10" t="n">
        <x:f>G937-F937</x:f>
        <x:v>188668885.64999986</x:v>
      </x:c>
    </x:row>
    <x:row r="938">
      <x:c r="A938" s="7" t="str">
        <x:v>3374240</x:v>
      </x:c>
      <x:c r="B938" s="7" t="str">
        <x:v>RS Panti Wilasa "Dr. Cipto" Semarang</x:v>
      </x:c>
      <x:c r="C938" s="7" t="str">
        <x:v>C</x:v>
      </x:c>
      <x:c r="D938" s="7" t="str">
        <x:v>KOTA SEMARANG</x:v>
      </x:c>
      <x:c r="E938" s="8">
        <x:v>107879</x:v>
      </x:c>
      <x:c r="F938" s="9">
        <x:v>79623818300</x:v>
      </x:c>
      <x:c r="G938" s="9">
        <x:v>90282844942.68999</x:v>
      </x:c>
      <x:c r="H938" s="10" t="n">
        <x:f>G938-F938</x:f>
        <x:v>10659026642.689987</x:v>
      </x:c>
    </x:row>
    <x:row r="939">
      <x:c r="A939" s="7" t="str">
        <x:v>3374331</x:v>
      </x:c>
      <x:c r="B939" s="7" t="str">
        <x:v>RS Umum Banyumanik</x:v>
      </x:c>
      <x:c r="C939" s="7" t="str">
        <x:v>D</x:v>
      </x:c>
      <x:c r="D939" s="7" t="str">
        <x:v>KOTA SEMARANG</x:v>
      </x:c>
      <x:c r="E939" s="8">
        <x:v>17947</x:v>
      </x:c>
      <x:c r="F939" s="9">
        <x:v>8502655600</x:v>
      </x:c>
      <x:c r="G939" s="9">
        <x:v>11378915704.63</x:v>
      </x:c>
      <x:c r="H939" s="10" t="n">
        <x:f>G939-F939</x:f>
        <x:v>2876260104.629999</x:v>
      </x:c>
    </x:row>
    <x:row r="940">
      <x:c r="A940" s="7" t="str">
        <x:v>3374342</x:v>
      </x:c>
      <x:c r="B940" s="7" t="str">
        <x:v>RS Daerah KRMT Wongsonegoro</x:v>
      </x:c>
      <x:c r="C940" s="7" t="str">
        <x:v>B</x:v>
      </x:c>
      <x:c r="D940" s="7" t="str">
        <x:v>KOTA SEMARANG</x:v>
      </x:c>
      <x:c r="E940" s="8">
        <x:v>90404</x:v>
      </x:c>
      <x:c r="F940" s="9">
        <x:v>161485298700</x:v>
      </x:c>
      <x:c r="G940" s="9">
        <x:v>171117202495.25998</x:v>
      </x:c>
      <x:c r="H940" s="10" t="n">
        <x:f>G940-F940</x:f>
        <x:v>9631903795.25998</x:v>
      </x:c>
    </x:row>
    <x:row r="941">
      <x:c r="A941" s="7" t="str">
        <x:v>3374365</x:v>
      </x:c>
      <x:c r="B941" s="7" t="str">
        <x:v>RS Umum Hermina Banyumanik Semarang</x:v>
      </x:c>
      <x:c r="C941" s="7" t="str">
        <x:v>C</x:v>
      </x:c>
      <x:c r="D941" s="7" t="str">
        <x:v>KOTA SEMARANG</x:v>
      </x:c>
      <x:c r="E941" s="8">
        <x:v>47979</x:v>
      </x:c>
      <x:c r="F941" s="9">
        <x:v>42805133600</x:v>
      </x:c>
      <x:c r="G941" s="9">
        <x:v>55010367859.03001</x:v>
      </x:c>
      <x:c r="H941" s="10" t="n">
        <x:f>G941-F941</x:f>
        <x:v>12205234259.030006</x:v>
      </x:c>
    </x:row>
    <x:row r="942">
      <x:c r="A942" s="7" t="str">
        <x:v>3374366</x:v>
      </x:c>
      <x:c r="B942" s="7" t="str">
        <x:v>RS Khusus Bedah Columbia Asia Semarang</x:v>
      </x:c>
      <x:c r="C942" s="7" t="str">
        <x:v>A</x:v>
      </x:c>
      <x:c r="D942" s="7" t="str">
        <x:v>KOTA SEMARANG</x:v>
      </x:c>
      <x:c r="E942" s="8">
        <x:v>9344</x:v>
      </x:c>
      <x:c r="F942" s="9">
        <x:v>18238745400</x:v>
      </x:c>
      <x:c r="G942" s="9">
        <x:v>16240688545.939999</x:v>
      </x:c>
      <x:c r="H942" s="10" t="n">
        <x:f>G942-F942</x:f>
        <x:v>-1998056854.0600014</x:v>
      </x:c>
    </x:row>
    <x:row r="943">
      <x:c r="A943" s="7" t="str">
        <x:v>3374367</x:v>
      </x:c>
      <x:c r="B943" s="7" t="str">
        <x:v>RS Umum Nasional Diponegoro</x:v>
      </x:c>
      <x:c r="C943" s="7" t="str">
        <x:v>C</x:v>
      </x:c>
      <x:c r="D943" s="7" t="str">
        <x:v>KOTA SEMARANG</x:v>
      </x:c>
      <x:c r="E943" s="8">
        <x:v>45822</x:v>
      </x:c>
      <x:c r="F943" s="9">
        <x:v>42839750820</x:v>
      </x:c>
      <x:c r="G943" s="9">
        <x:v>57317685975.07002</x:v>
      </x:c>
      <x:c r="H943" s="10" t="n">
        <x:f>G943-F943</x:f>
        <x:v>14477935155.070023</x:v>
      </x:c>
    </x:row>
    <x:row r="944">
      <x:c r="A944" s="7" t="str">
        <x:v>3374372</x:v>
      </x:c>
      <x:c r="B944" s="7" t="str">
        <x:v>RS Islam Gigi dan Mulut Sultan Agung</x:v>
      </x:c>
      <x:c r="C944" s="7" t="str">
        <x:v>B</x:v>
      </x:c>
      <x:c r="D944" s="7" t="str">
        <x:v>KOTA SEMARANG</x:v>
      </x:c>
      <x:c r="E944" s="8">
        <x:v>2578</x:v>
      </x:c>
      <x:c r="F944" s="9">
        <x:v>1220567000</x:v>
      </x:c>
      <x:c r="G944" s="9">
        <x:v>1252475260.4899998</x:v>
      </x:c>
      <x:c r="H944" s="10" t="n">
        <x:f>G944-F944</x:f>
        <x:v>31908260.48999977</x:v>
      </x:c>
    </x:row>
    <x:row r="945">
      <x:c r="A945" s="7" t="str">
        <x:v>3374373</x:v>
      </x:c>
      <x:c r="B945" s="7" t="str">
        <x:v>RS Gigi dan Mulut Unimus</x:v>
      </x:c>
      <x:c r="C945" s="7" t="str">
        <x:v>C</x:v>
      </x:c>
      <x:c r="D945" s="7" t="str">
        <x:v>KOTA SEMARANG</x:v>
      </x:c>
      <x:c r="E945" s="8">
        <x:v>7665</x:v>
      </x:c>
      <x:c r="F945" s="9">
        <x:v>2764503200</x:v>
      </x:c>
      <x:c r="G945" s="9">
        <x:v>3298372991.2200003</x:v>
      </x:c>
      <x:c r="H945" s="10" t="n">
        <x:f>G945-F945</x:f>
        <x:v>533869791.22000027</x:v>
      </x:c>
    </x:row>
    <x:row r="946">
      <x:c r="A946" s="7" t="str">
        <x:v>3374374</x:v>
      </x:c>
      <x:c r="B946" s="7" t="str">
        <x:v>RS Umum Banyumanik 2</x:v>
      </x:c>
      <x:c r="C946" s="7" t="str">
        <x:v>C</x:v>
      </x:c>
      <x:c r="D946" s="7" t="str">
        <x:v>KOTA SEMARANG</x:v>
      </x:c>
      <x:c r="E946" s="8">
        <x:v>27915</x:v>
      </x:c>
      <x:c r="F946" s="9">
        <x:v>23147160400</x:v>
      </x:c>
      <x:c r="G946" s="9">
        <x:v>26978193296.839993</x:v>
      </x:c>
      <x:c r="H946" s="10" t="n">
        <x:f>G946-F946</x:f>
        <x:v>3831032896.8399925</x:v>
      </x:c>
    </x:row>
    <x:row r="947">
      <x:c r="A947" s="7" t="str">
        <x:v>3374387</x:v>
      </x:c>
      <x:c r="B947" s="7" t="str">
        <x:v>RS Primaya Kota Semarang</x:v>
      </x:c>
      <x:c r="C947" s="7" t="str">
        <x:v>C</x:v>
      </x:c>
      <x:c r="D947" s="7" t="str">
        <x:v>KOTA SEMARANG</x:v>
      </x:c>
      <x:c r="E947" s="8">
        <x:v>58757</x:v>
      </x:c>
      <x:c r="F947" s="9">
        <x:v>41845263400</x:v>
      </x:c>
      <x:c r="G947" s="9">
        <x:v>46864240216.19999</x:v>
      </x:c>
      <x:c r="H947" s="10" t="n">
        <x:f>G947-F947</x:f>
        <x:v>5018976816.199989</x:v>
      </x:c>
    </x:row>
    <x:row r="948">
      <x:c r="A948" s="7" t="str">
        <x:v>3374388</x:v>
      </x:c>
      <x:c r="B948" s="7" t="str">
        <x:v>RS Keluarga Sehat III Semarang</x:v>
      </x:c>
      <x:c r="C948" s="7" t="str">
        <x:v>C</x:v>
      </x:c>
      <x:c r="D948" s="7" t="str">
        <x:v>KOTA SEMARANG</x:v>
      </x:c>
      <x:c r="E948" s="8">
        <x:v>18111</x:v>
      </x:c>
      <x:c r="F948" s="9">
        <x:v>17635559900</x:v>
      </x:c>
      <x:c r="G948" s="9">
        <x:v>21638227697.490005</x:v>
      </x:c>
      <x:c r="H948" s="10" t="n">
        <x:f>G948-F948</x:f>
        <x:v>4002667797.4900055</x:v>
      </x:c>
    </x:row>
    <x:row r="949">
      <x:c r="A949" s="7" t="str">
        <x:v>3374389</x:v>
      </x:c>
      <x:c r="B949" s="7" t="str">
        <x:v>RS Unimus</x:v>
      </x:c>
      <x:c r="C949" s="7" t="str">
        <x:v>C</x:v>
      </x:c>
      <x:c r="D949" s="7" t="str">
        <x:v>KOTA SEMARANG</x:v>
      </x:c>
      <x:c r="E949" s="8">
        <x:v>14086</x:v>
      </x:c>
      <x:c r="F949" s="9">
        <x:v>16449755600</x:v>
      </x:c>
      <x:c r="G949" s="9">
        <x:v>19996270408.76</x:v>
      </x:c>
      <x:c r="H949" s="10" t="n">
        <x:f>G949-F949</x:f>
        <x:v>3546514808.7599983</x:v>
      </x:c>
    </x:row>
    <x:row r="950">
      <x:c r="A950" s="7" t="str">
        <x:v>3374390</x:v>
      </x:c>
      <x:c r="B950" s="7" t="str">
        <x:v>RS Cepoko</x:v>
      </x:c>
      <x:c r="C950" s="7" t="str">
        <x:v>D</x:v>
      </x:c>
      <x:c r="D950" s="7" t="str">
        <x:v>KOTA SEMARANG</x:v>
      </x:c>
      <x:c r="E950" s="8">
        <x:v>9174</x:v>
      </x:c>
      <x:c r="F950" s="9">
        <x:v>6705466000</x:v>
      </x:c>
      <x:c r="G950" s="9">
        <x:v>8450029859.800006</x:v>
      </x:c>
      <x:c r="H950" s="10" t="n">
        <x:f>G950-F950</x:f>
        <x:v>1744563859.800006</x:v>
      </x:c>
    </x:row>
    <x:row r="951">
      <x:c r="A951" s="7" t="str">
        <x:v>3374391</x:v>
      </x:c>
      <x:c r="B951" s="7" t="str">
        <x:v>RS Samsoe Hidajat</x:v>
      </x:c>
      <x:c r="C951" s="7" t="str">
        <x:v>C</x:v>
      </x:c>
      <x:c r="D951" s="7" t="str">
        <x:v>KOTA SEMARANG</x:v>
      </x:c>
      <x:c r="E951" s="8">
        <x:v>5428</x:v>
      </x:c>
      <x:c r="F951" s="9">
        <x:v>7226837300</x:v>
      </x:c>
      <x:c r="G951" s="9">
        <x:v>9725138432.34</x:v>
      </x:c>
      <x:c r="H951" s="10" t="n">
        <x:f>G951-F951</x:f>
        <x:v>2498301132.34</x:v>
      </x:c>
    </x:row>
    <x:row r="952">
      <x:c r="A952" s="7" t="str">
        <x:v>3374392</x:v>
      </x:c>
      <x:c r="B952" s="7" t="str">
        <x:v>RS Umum Daerah Mijen</x:v>
      </x:c>
      <x:c r="C952" s="7" t="str">
        <x:v>D</x:v>
      </x:c>
      <x:c r="D952" s="7" t="str">
        <x:v>KOTA SEMARANG</x:v>
      </x:c>
      <x:c r="E952" s="8">
        <x:v>1421</x:v>
      </x:c>
      <x:c r="F952" s="9">
        <x:v>1633912900</x:v>
      </x:c>
      <x:c r="G952" s="9">
        <x:v>2321793037.46</x:v>
      </x:c>
      <x:c r="H952" s="10" t="n">
        <x:f>G952-F952</x:f>
        <x:v>687880137.46</x:v>
      </x:c>
    </x:row>
    <x:row r="953">
      <x:c r="A953" s="7" t="str">
        <x:v>3374393</x:v>
      </x:c>
      <x:c r="B953" s="7" t="str">
        <x:v>Rumah Sakit Mata Daerah Soepardjo Roestam</x:v>
      </x:c>
      <x:c r="C953" s="7" t="str">
        <x:v>B</x:v>
      </x:c>
      <x:c r="D953" s="7" t="str">
        <x:v>KOTA SEMARANG</x:v>
      </x:c>
      <x:c r="E953" s="8">
        <x:v>2406</x:v>
      </x:c>
      <x:c r="F953" s="9">
        <x:v>3168902100</x:v>
      </x:c>
      <x:c r="G953" s="9">
        <x:v>3345030916.519999</x:v>
      </x:c>
      <x:c r="H953" s="10" t="n">
        <x:f>G953-F953</x:f>
        <x:v>176128816.51999903</x:v>
      </x:c>
    </x:row>
    <x:row r="954">
      <x:c r="A954" s="7" t="str">
        <x:v>3375022</x:v>
      </x:c>
      <x:c r="B954" s="7" t="str">
        <x:v>RS Umum Budi Rahayu</x:v>
      </x:c>
      <x:c r="C954" s="7" t="str">
        <x:v>C</x:v>
      </x:c>
      <x:c r="D954" s="7" t="str">
        <x:v>KOTA PEKALONGAN</x:v>
      </x:c>
      <x:c r="E954" s="8">
        <x:v>89980</x:v>
      </x:c>
      <x:c r="F954" s="9">
        <x:v>49400413000</x:v>
      </x:c>
      <x:c r="G954" s="9">
        <x:v>60464108811.47</x:v>
      </x:c>
      <x:c r="H954" s="10" t="n">
        <x:f>G954-F954</x:f>
        <x:v>11063695811.470001</x:v>
      </x:c>
    </x:row>
    <x:row r="955">
      <x:c r="A955" s="7" t="str">
        <x:v>3375033</x:v>
      </x:c>
      <x:c r="B955" s="7" t="str">
        <x:v>RS Umum Siti Khodijah</x:v>
      </x:c>
      <x:c r="C955" s="7" t="str">
        <x:v>C</x:v>
      </x:c>
      <x:c r="D955" s="7" t="str">
        <x:v>KOTA PEKALONGAN</x:v>
      </x:c>
      <x:c r="E955" s="8">
        <x:v>70659</x:v>
      </x:c>
      <x:c r="F955" s="9">
        <x:v>43157728900</x:v>
      </x:c>
      <x:c r="G955" s="9">
        <x:v>47710418054.86002</x:v>
      </x:c>
      <x:c r="H955" s="10" t="n">
        <x:f>G955-F955</x:f>
        <x:v>4552689154.8600235</x:v>
      </x:c>
    </x:row>
    <x:row r="956">
      <x:c r="A956" s="7" t="str">
        <x:v>3375071</x:v>
      </x:c>
      <x:c r="B956" s="7" t="str">
        <x:v>RS Umum Karomah Holistic</x:v>
      </x:c>
      <x:c r="C956" s="7" t="str">
        <x:v>D</x:v>
      </x:c>
      <x:c r="D956" s="7" t="str">
        <x:v>KOTA PEKALONGAN</x:v>
      </x:c>
      <x:c r="E956" s="8">
        <x:v>4901</x:v>
      </x:c>
      <x:c r="F956" s="9">
        <x:v>4817780400</x:v>
      </x:c>
      <x:c r="G956" s="9">
        <x:v>6631687562.2</x:v>
      </x:c>
      <x:c r="H956" s="10" t="n">
        <x:f>G956-F956</x:f>
        <x:v>1813907162.1999998</x:v>
      </x:c>
    </x:row>
    <x:row r="957">
      <x:c r="A957" s="7" t="str">
        <x:v>3375072</x:v>
      </x:c>
      <x:c r="B957" s="7" t="str">
        <x:v>RS Umum Anugerah Pekalongan</x:v>
      </x:c>
      <x:c r="C957" s="7" t="str">
        <x:v>D</x:v>
      </x:c>
      <x:c r="D957" s="7" t="str">
        <x:v>KOTA PEKALONGAN</x:v>
      </x:c>
      <x:c r="E957" s="8">
        <x:v>12463</x:v>
      </x:c>
      <x:c r="F957" s="9">
        <x:v>10003513300</x:v>
      </x:c>
      <x:c r="G957" s="9">
        <x:v>13035269143.970001</x:v>
      </x:c>
      <x:c r="H957" s="10" t="n">
        <x:f>G957-F957</x:f>
        <x:v>3031755843.970001</x:v>
      </x:c>
    </x:row>
    <x:row r="958">
      <x:c r="A958" s="7" t="str">
        <x:v>3375073</x:v>
      </x:c>
      <x:c r="B958" s="7" t="str">
        <x:v>RS Umum H. A. Zaky Djunaid</x:v>
      </x:c>
      <x:c r="C958" s="7" t="str">
        <x:v>D</x:v>
      </x:c>
      <x:c r="D958" s="7" t="str">
        <x:v>KOTA PEKALONGAN</x:v>
      </x:c>
      <x:c r="E958" s="8">
        <x:v>53572</x:v>
      </x:c>
      <x:c r="F958" s="9">
        <x:v>24127838100</x:v>
      </x:c>
      <x:c r="G958" s="9">
        <x:v>35478512622.76001</x:v>
      </x:c>
      <x:c r="H958" s="10" t="n">
        <x:f>G958-F958</x:f>
        <x:v>11350674522.76001</x:v>
      </x:c>
    </x:row>
    <x:row r="959">
      <x:c r="A959" s="7" t="str">
        <x:v>3375074</x:v>
      </x:c>
      <x:c r="B959" s="7" t="str">
        <x:v>RS Umum  ARO</x:v>
      </x:c>
      <x:c r="C959" s="7" t="str">
        <x:v>D</x:v>
      </x:c>
      <x:c r="D959" s="7" t="str">
        <x:v>KOTA PEKALONGAN</x:v>
      </x:c>
      <x:c r="E959" s="8">
        <x:v>8919</x:v>
      </x:c>
      <x:c r="F959" s="9">
        <x:v>6826692600</x:v>
      </x:c>
      <x:c r="G959" s="9">
        <x:v>9188480593.789999</x:v>
      </x:c>
      <x:c r="H959" s="10" t="n">
        <x:f>G959-F959</x:f>
        <x:v>2361787993.789999</x:v>
      </x:c>
    </x:row>
    <x:row r="960">
      <x:c r="A960" s="7" t="str">
        <x:v>3375075</x:v>
      </x:c>
      <x:c r="B960" s="7" t="str">
        <x:v>RS Umum Hermina Pekalongan</x:v>
      </x:c>
      <x:c r="C960" s="7" t="str">
        <x:v>D</x:v>
      </x:c>
      <x:c r="D960" s="7" t="str">
        <x:v>KOTA PEKALONGAN</x:v>
      </x:c>
      <x:c r="E960" s="8">
        <x:v>33179</x:v>
      </x:c>
      <x:c r="F960" s="9">
        <x:v>21260894000</x:v>
      </x:c>
      <x:c r="G960" s="9">
        <x:v>28140902954.75</x:v>
      </x:c>
      <x:c r="H960" s="10" t="n">
        <x:f>G960-F960</x:f>
        <x:v>6880008954.75</x:v>
      </x:c>
    </x:row>
    <x:row r="961">
      <x:c r="A961" s="7" t="str">
        <x:v>3376012</x:v>
      </x:c>
      <x:c r="B961" s="7" t="str">
        <x:v>RS Umum Daerah Kardinah</x:v>
      </x:c>
      <x:c r="C961" s="7" t="str">
        <x:v>B</x:v>
      </x:c>
      <x:c r="D961" s="7" t="str">
        <x:v>KOTA TEGAL</x:v>
      </x:c>
      <x:c r="E961" s="8">
        <x:v>108690</x:v>
      </x:c>
      <x:c r="F961" s="9">
        <x:v>123182776360</x:v>
      </x:c>
      <x:c r="G961" s="9">
        <x:v>138616312293.66998</x:v>
      </x:c>
      <x:c r="H961" s="10" t="n">
        <x:f>G961-F961</x:f>
        <x:v>15433535933.669983</x:v>
      </x:c>
    </x:row>
    <x:row r="962">
      <x:c r="A962" s="7" t="str">
        <x:v>3376023</x:v>
      </x:c>
      <x:c r="B962" s="7" t="str">
        <x:v>RS Umum  Mitra Siaga</x:v>
      </x:c>
      <x:c r="C962" s="7" t="str">
        <x:v>C</x:v>
      </x:c>
      <x:c r="D962" s="7" t="str">
        <x:v>KOTA TEGAL</x:v>
      </x:c>
      <x:c r="E962" s="8">
        <x:v>118111</x:v>
      </x:c>
      <x:c r="F962" s="9">
        <x:v>70822097750</x:v>
      </x:c>
      <x:c r="G962" s="9">
        <x:v>84627218080.51004</x:v>
      </x:c>
      <x:c r="H962" s="10" t="n">
        <x:f>G962-F962</x:f>
        <x:v>13805120330.51004</x:v>
      </x:c>
    </x:row>
    <x:row r="963">
      <x:c r="A963" s="7" t="str">
        <x:v>3376034</x:v>
      </x:c>
      <x:c r="B963" s="7" t="str">
        <x:v>RS Umum Tk. IV Tegal</x:v>
      </x:c>
      <x:c r="C963" s="7" t="str">
        <x:v>D</x:v>
      </x:c>
      <x:c r="D963" s="7" t="str">
        <x:v>KOTA TEGAL</x:v>
      </x:c>
      <x:c r="E963" s="8">
        <x:v>5104</x:v>
      </x:c>
      <x:c r="F963" s="9">
        <x:v>3337156800</x:v>
      </x:c>
      <x:c r="G963" s="9">
        <x:v>4461567683.110002</x:v>
      </x:c>
      <x:c r="H963" s="10" t="n">
        <x:f>G963-F963</x:f>
        <x:v>1124410883.1100016</x:v>
      </x:c>
    </x:row>
    <x:row r="964">
      <x:c r="A964" s="7" t="str">
        <x:v>3376037</x:v>
      </x:c>
      <x:c r="B964" s="7" t="str">
        <x:v>RS 3376037</x:v>
      </x:c>
      <x:c r="C964" s="7" t="str">
        <x:v>D</x:v>
      </x:c>
      <x:c r="D964" s="7" t="str">
        <x:v>KOTA TEGAL</x:v>
      </x:c>
      <x:c r="E964" s="8">
        <x:v>1760</x:v>
      </x:c>
      <x:c r="F964" s="9">
        <x:v>277051600</x:v>
      </x:c>
      <x:c r="G964" s="9">
        <x:v>408545285.65999997</x:v>
      </x:c>
      <x:c r="H964" s="10" t="n">
        <x:f>G964-F964</x:f>
        <x:v>131493685.65999997</x:v>
      </x:c>
    </x:row>
    <x:row r="965">
      <x:c r="A965" s="7" t="str">
        <x:v>3376082</x:v>
      </x:c>
      <x:c r="B965" s="7" t="str">
        <x:v>RS Umum Islam Harapan Anda</x:v>
      </x:c>
      <x:c r="C965" s="7" t="str">
        <x:v>B</x:v>
      </x:c>
      <x:c r="D965" s="7" t="str">
        <x:v>KOTA TEGAL</x:v>
      </x:c>
      <x:c r="E965" s="8">
        <x:v>125259</x:v>
      </x:c>
      <x:c r="F965" s="9">
        <x:v>137226188200</x:v>
      </x:c>
      <x:c r="G965" s="9">
        <x:v>144507658175.06003</x:v>
      </x:c>
      <x:c r="H965" s="10" t="n">
        <x:f>G965-F965</x:f>
        <x:v>7281469975.060028</x:v>
      </x:c>
    </x:row>
    <x:row r="966">
      <x:c r="A966" s="7" t="str">
        <x:v>3376093</x:v>
      </x:c>
      <x:c r="B966" s="7" t="str">
        <x:v>RS Ibu dan Anak Kasih Ibu Tegal</x:v>
      </x:c>
      <x:c r="C966" s="7" t="str">
        <x:v>C</x:v>
      </x:c>
      <x:c r="D966" s="7" t="str">
        <x:v>KOTA TEGAL</x:v>
      </x:c>
      <x:c r="E966" s="8">
        <x:v>1726</x:v>
      </x:c>
      <x:c r="F966" s="9">
        <x:v>2611178100</x:v>
      </x:c>
      <x:c r="G966" s="9">
        <x:v>3125176935.67</x:v>
      </x:c>
      <x:c r="H966" s="10" t="n">
        <x:f>G966-F966</x:f>
        <x:v>513998835.6700001</x:v>
      </x:c>
    </x:row>
    <x:row r="967">
      <x:c r="A967" s="7" t="str">
        <x:v>3501016</x:v>
      </x:c>
      <x:c r="B967" s="7" t="str">
        <x:v>RS Umum Daerah  dr. Darsono</x:v>
      </x:c>
      <x:c r="C967" s="7" t="str">
        <x:v>C</x:v>
      </x:c>
      <x:c r="D967" s="7" t="str">
        <x:v>PACITAN</x:v>
      </x:c>
      <x:c r="E967" s="8">
        <x:v>85205</x:v>
      </x:c>
      <x:c r="F967" s="9">
        <x:v>58246789020</x:v>
      </x:c>
      <x:c r="G967" s="9">
        <x:v>75927878480.00998</x:v>
      </x:c>
      <x:c r="H967" s="10" t="n">
        <x:f>G967-F967</x:f>
        <x:v>17681089460.00998</x:v>
      </x:c>
    </x:row>
    <x:row r="968">
      <x:c r="A968" s="7" t="str">
        <x:v>3501017</x:v>
      </x:c>
      <x:c r="B968" s="7" t="str">
        <x:v>RSU Agung Mulia</x:v>
      </x:c>
      <x:c r="C968" s="7" t="str">
        <x:v>D</x:v>
      </x:c>
      <x:c r="D968" s="7" t="str">
        <x:v>PACITAN</x:v>
      </x:c>
      <x:c r="E968" s="8">
        <x:v>6012</x:v>
      </x:c>
      <x:c r="F968" s="9">
        <x:v>6137514400</x:v>
      </x:c>
      <x:c r="G968" s="9">
        <x:v>7543849285.129999</x:v>
      </x:c>
      <x:c r="H968" s="10" t="n">
        <x:f>G968-F968</x:f>
        <x:v>1406334885.1299992</x:v>
      </x:c>
    </x:row>
    <x:row r="969">
      <x:c r="A969" s="7" t="str">
        <x:v>3501019</x:v>
      </x:c>
      <x:c r="B969" s="7" t="str">
        <x:v>RS Umum Medical Mandiri Pacitan</x:v>
      </x:c>
      <x:c r="C969" s="7" t="str">
        <x:v>D</x:v>
      </x:c>
      <x:c r="D969" s="7" t="str">
        <x:v>PACITAN</x:v>
      </x:c>
      <x:c r="E969" s="8">
        <x:v>6693</x:v>
      </x:c>
      <x:c r="F969" s="9">
        <x:v>6981796300</x:v>
      </x:c>
      <x:c r="G969" s="9">
        <x:v>9585479503.869995</x:v>
      </x:c>
      <x:c r="H969" s="10" t="n">
        <x:f>G969-F969</x:f>
        <x:v>2603683203.869995</x:v>
      </x:c>
    </x:row>
    <x:row r="970">
      <x:c r="A970" s="7" t="str">
        <x:v>3502010</x:v>
      </x:c>
      <x:c r="B970" s="7" t="str">
        <x:v>RS Umum Daerah Dr. Harjono S. Kabupaten Ponorogo</x:v>
      </x:c>
      <x:c r="C970" s="7" t="str">
        <x:v>B</x:v>
      </x:c>
      <x:c r="D970" s="7" t="str">
        <x:v>PONOROGO</x:v>
      </x:c>
      <x:c r="E970" s="8">
        <x:v>108756</x:v>
      </x:c>
      <x:c r="F970" s="9">
        <x:v>106580836435</x:v>
      </x:c>
      <x:c r="G970" s="9">
        <x:v>121792820068.17006</x:v>
      </x:c>
      <x:c r="H970" s="10" t="n">
        <x:f>G970-F970</x:f>
        <x:v>15211983633.17006</x:v>
      </x:c>
    </x:row>
    <x:row r="971">
      <x:c r="A971" s="7" t="str">
        <x:v>3502112</x:v>
      </x:c>
      <x:c r="B971" s="7" t="str">
        <x:v>RS Umum Aisyiyah Ponorogo</x:v>
      </x:c>
      <x:c r="C971" s="7" t="str">
        <x:v>C</x:v>
      </x:c>
      <x:c r="D971" s="7" t="str">
        <x:v>PONOROGO</x:v>
      </x:c>
      <x:c r="E971" s="8">
        <x:v>102878</x:v>
      </x:c>
      <x:c r="F971" s="9">
        <x:v>76047519000</x:v>
      </x:c>
      <x:c r="G971" s="9">
        <x:v>95657282760.35997</x:v>
      </x:c>
      <x:c r="H971" s="10" t="n">
        <x:f>G971-F971</x:f>
        <x:v>19609763760.35997</x:v>
      </x:c>
    </x:row>
    <x:row r="972">
      <x:c r="A972" s="7" t="str">
        <x:v>3502123</x:v>
      </x:c>
      <x:c r="B972" s="7" t="str">
        <x:v>RS Umum Darmayu Ponorogo</x:v>
      </x:c>
      <x:c r="C972" s="7" t="str">
        <x:v>C</x:v>
      </x:c>
      <x:c r="D972" s="7" t="str">
        <x:v>PONOROGO</x:v>
      </x:c>
      <x:c r="E972" s="8">
        <x:v>67165</x:v>
      </x:c>
      <x:c r="F972" s="9">
        <x:v>46060396200</x:v>
      </x:c>
      <x:c r="G972" s="9">
        <x:v>55114855100.70001</x:v>
      </x:c>
      <x:c r="H972" s="10" t="n">
        <x:f>G972-F972</x:f>
        <x:v>9054458900.700012</x:v>
      </x:c>
    </x:row>
    <x:row r="973">
      <x:c r="A973" s="7" t="str">
        <x:v>3502134</x:v>
      </x:c>
      <x:c r="B973" s="7" t="str">
        <x:v>RS Umum Muhammadiyah Ponorogo</x:v>
      </x:c>
      <x:c r="C973" s="7" t="str">
        <x:v>C</x:v>
      </x:c>
      <x:c r="D973" s="7" t="str">
        <x:v>PONOROGO</x:v>
      </x:c>
      <x:c r="E973" s="8">
        <x:v>78820</x:v>
      </x:c>
      <x:c r="F973" s="9">
        <x:v>51442482400</x:v>
      </x:c>
      <x:c r="G973" s="9">
        <x:v>62421632247.93</x:v>
      </x:c>
      <x:c r="H973" s="10" t="n">
        <x:f>G973-F973</x:f>
        <x:v>10979149847.93</x:v>
      </x:c>
    </x:row>
    <x:row r="974">
      <x:c r="A974" s="7" t="str">
        <x:v>3502146</x:v>
      </x:c>
      <x:c r="B974" s="7" t="str">
        <x:v>RS Umum Muslimat Ponorogo</x:v>
      </x:c>
      <x:c r="C974" s="7" t="str">
        <x:v>C</x:v>
      </x:c>
      <x:c r="D974" s="7" t="str">
        <x:v>PONOROGO</x:v>
      </x:c>
      <x:c r="E974" s="8">
        <x:v>30956</x:v>
      </x:c>
      <x:c r="F974" s="9">
        <x:v>23620588500</x:v>
      </x:c>
      <x:c r="G974" s="9">
        <x:v>28893160806.519997</x:v>
      </x:c>
      <x:c r="H974" s="10" t="n">
        <x:f>G974-F974</x:f>
        <x:v>5272572306.519997</x:v>
      </x:c>
    </x:row>
    <x:row r="975">
      <x:c r="A975" s="7" t="str">
        <x:v>3502157</x:v>
      </x:c>
      <x:c r="B975" s="7" t="str">
        <x:v>RS Yasyfin Darussalam Gontor</x:v>
      </x:c>
      <x:c r="C975" s="7" t="str">
        <x:v>D</x:v>
      </x:c>
      <x:c r="D975" s="7" t="str">
        <x:v>PONOROGO</x:v>
      </x:c>
      <x:c r="E975" s="8">
        <x:v>11119</x:v>
      </x:c>
      <x:c r="F975" s="9">
        <x:v>7639365900</x:v>
      </x:c>
      <x:c r="G975" s="9">
        <x:v>10634255759.100004</x:v>
      </x:c>
      <x:c r="H975" s="10" t="n">
        <x:f>G975-F975</x:f>
        <x:v>2994889859.100004</x:v>
      </x:c>
    </x:row>
    <x:row r="976">
      <x:c r="A976" s="7" t="str">
        <x:v>3502158</x:v>
      </x:c>
      <x:c r="B976" s="7" t="str">
        <x:v>RS Umum Daerah Bantarangin</x:v>
      </x:c>
      <x:c r="C976" s="7" t="str">
        <x:v>D</x:v>
      </x:c>
      <x:c r="D976" s="7" t="str">
        <x:v>PONOROGO</x:v>
      </x:c>
      <x:c r="E976" s="8">
        <x:v>4512</x:v>
      </x:c>
      <x:c r="F976" s="9">
        <x:v>2816685000</x:v>
      </x:c>
      <x:c r="G976" s="9">
        <x:v>4226069708.3899994</x:v>
      </x:c>
      <x:c r="H976" s="10" t="n">
        <x:f>G976-F976</x:f>
        <x:v>1409384708.3899994</x:v>
      </x:c>
    </x:row>
    <x:row r="977">
      <x:c r="A977" s="7" t="str">
        <x:v>3503011</x:v>
      </x:c>
      <x:c r="B977" s="7" t="str">
        <x:v>RS Umum Daerah dr. Soedomo Trenggalek</x:v>
      </x:c>
      <x:c r="C977" s="7" t="str">
        <x:v>C</x:v>
      </x:c>
      <x:c r="D977" s="7" t="str">
        <x:v>TRENGGALEK</x:v>
      </x:c>
      <x:c r="E977" s="8">
        <x:v>88813</x:v>
      </x:c>
      <x:c r="F977" s="9">
        <x:v>76059916710</x:v>
      </x:c>
      <x:c r="G977" s="9">
        <x:v>97669023575.52997</x:v>
      </x:c>
      <x:c r="H977" s="10" t="n">
        <x:f>G977-F977</x:f>
        <x:v>21609106865.52997</x:v>
      </x:c>
    </x:row>
    <x:row r="978">
      <x:c r="A978" s="7" t="str">
        <x:v>3503022</x:v>
      </x:c>
      <x:c r="B978" s="7" t="str">
        <x:v>RS Umum Budi Asih Trenggalek</x:v>
      </x:c>
      <x:c r="C978" s="7" t="str">
        <x:v>D</x:v>
      </x:c>
      <x:c r="D978" s="7" t="str">
        <x:v>TRENGGALEK</x:v>
      </x:c>
      <x:c r="E978" s="8">
        <x:v>6888</x:v>
      </x:c>
      <x:c r="F978" s="9">
        <x:v>3634776600</x:v>
      </x:c>
      <x:c r="G978" s="9">
        <x:v>4779143701.38</x:v>
      </x:c>
      <x:c r="H978" s="10" t="n">
        <x:f>G978-F978</x:f>
        <x:v>1144367101.38</x:v>
      </x:c>
    </x:row>
    <x:row r="979">
      <x:c r="A979" s="7" t="str">
        <x:v>3503045</x:v>
      </x:c>
      <x:c r="B979" s="7" t="str">
        <x:v>RS Ibu dan Anak HST</x:v>
      </x:c>
      <x:c r="C979" s="7" t="str">
        <x:v>C</x:v>
      </x:c>
      <x:c r="D979" s="7" t="str">
        <x:v>TRENGGALEK</x:v>
      </x:c>
      <x:c r="E979" s="8">
        <x:v>927</x:v>
      </x:c>
      <x:c r="F979" s="9">
        <x:v>2330886100</x:v>
      </x:c>
      <x:c r="G979" s="9">
        <x:v>2609552567.47</x:v>
      </x:c>
      <x:c r="H979" s="10" t="n">
        <x:f>G979-F979</x:f>
        <x:v>278666467.4699998</x:v>
      </x:c>
    </x:row>
    <x:row r="980">
      <x:c r="A980" s="7" t="str">
        <x:v>3503062</x:v>
      </x:c>
      <x:c r="B980" s="7" t="str">
        <x:v>RS Umum Daerah Panggul</x:v>
      </x:c>
      <x:c r="C980" s="7" t="str">
        <x:v>D</x:v>
      </x:c>
      <x:c r="D980" s="7" t="str">
        <x:v>TRENGGALEK</x:v>
      </x:c>
      <x:c r="E980" s="8">
        <x:v>2991</x:v>
      </x:c>
      <x:c r="F980" s="9">
        <x:v>2474472800</x:v>
      </x:c>
      <x:c r="G980" s="9">
        <x:v>3710944140.4900002</x:v>
      </x:c>
      <x:c r="H980" s="10" t="n">
        <x:f>G980-F980</x:f>
        <x:v>1236471340.4900002</x:v>
      </x:c>
    </x:row>
    <x:row r="981">
      <x:c r="A981" s="7" t="str">
        <x:v>3504012</x:v>
      </x:c>
      <x:c r="B981" s="7" t="str">
        <x:v>RS Umum Daerah Dr. Iskak</x:v>
      </x:c>
      <x:c r="C981" s="7" t="str">
        <x:v>A</x:v>
      </x:c>
      <x:c r="D981" s="7" t="str">
        <x:v>TULUNGAGUNG</x:v>
      </x:c>
      <x:c r="E981" s="8">
        <x:v>114557</x:v>
      </x:c>
      <x:c r="F981" s="9">
        <x:v>280649432715</x:v>
      </x:c>
      <x:c r="G981" s="9">
        <x:v>246431443939.39017</x:v>
      </x:c>
      <x:c r="H981" s="10" t="n">
        <x:f>G981-F981</x:f>
        <x:v>-34217988775.609833</x:v>
      </x:c>
    </x:row>
    <x:row r="982">
      <x:c r="A982" s="7" t="str">
        <x:v>3504045</x:v>
      </x:c>
      <x:c r="B982" s="7" t="str">
        <x:v>RS Umum Islam Orpeha</x:v>
      </x:c>
      <x:c r="C982" s="7" t="str">
        <x:v>C</x:v>
      </x:c>
      <x:c r="D982" s="7" t="str">
        <x:v>TULUNGAGUNG</x:v>
      </x:c>
      <x:c r="E982" s="8">
        <x:v>28730</x:v>
      </x:c>
      <x:c r="F982" s="9">
        <x:v>17824524000</x:v>
      </x:c>
      <x:c r="G982" s="9">
        <x:v>21491639472.149998</x:v>
      </x:c>
      <x:c r="H982" s="10" t="n">
        <x:f>G982-F982</x:f>
        <x:v>3667115472.1499977</x:v>
      </x:c>
    </x:row>
    <x:row r="983">
      <x:c r="A983" s="7" t="str">
        <x:v>3504056</x:v>
      </x:c>
      <x:c r="B983" s="7" t="str">
        <x:v>RS Umum Era Medika</x:v>
      </x:c>
      <x:c r="C983" s="7" t="str">
        <x:v>C</x:v>
      </x:c>
      <x:c r="D983" s="7" t="str">
        <x:v>TULUNGAGUNG</x:v>
      </x:c>
      <x:c r="E983" s="8">
        <x:v>9052</x:v>
      </x:c>
      <x:c r="F983" s="9">
        <x:v>4957071500</x:v>
      </x:c>
      <x:c r="G983" s="9">
        <x:v>6432033506.61</x:v>
      </x:c>
      <x:c r="H983" s="10" t="n">
        <x:f>G983-F983</x:f>
        <x:v>1474962006.6099997</x:v>
      </x:c>
    </x:row>
    <x:row r="984">
      <x:c r="A984" s="7" t="str">
        <x:v>3504068</x:v>
      </x:c>
      <x:c r="B984" s="7" t="str">
        <x:v>RS Umum Bhayangkara Tulungagung</x:v>
      </x:c>
      <x:c r="C984" s="7" t="str">
        <x:v>C</x:v>
      </x:c>
      <x:c r="D984" s="7" t="str">
        <x:v>TULUNGAGUNG</x:v>
      </x:c>
      <x:c r="E984" s="8">
        <x:v>101895</x:v>
      </x:c>
      <x:c r="F984" s="9">
        <x:v>59383656035</x:v>
      </x:c>
      <x:c r="G984" s="9">
        <x:v>73007710023.79001</x:v>
      </x:c>
      <x:c r="H984" s="10" t="n">
        <x:f>G984-F984</x:f>
        <x:v>13624053988.790009</x:v>
      </x:c>
    </x:row>
    <x:row r="985">
      <x:c r="A985" s="7" t="str">
        <x:v>3504069</x:v>
      </x:c>
      <x:c r="B985" s="7" t="str">
        <x:v>RS Umum Satiti Prima Husada</x:v>
      </x:c>
      <x:c r="C985" s="7" t="str">
        <x:v>D</x:v>
      </x:c>
      <x:c r="D985" s="7" t="str">
        <x:v>TULUNGAGUNG</x:v>
      </x:c>
      <x:c r="E985" s="8">
        <x:v>6268</x:v>
      </x:c>
      <x:c r="F985" s="9">
        <x:v>5829705000</x:v>
      </x:c>
      <x:c r="G985" s="9">
        <x:v>7869936255.530003</x:v>
      </x:c>
      <x:c r="H985" s="10" t="n">
        <x:f>G985-F985</x:f>
        <x:v>2040231255.5300026</x:v>
      </x:c>
    </x:row>
    <x:row r="986">
      <x:c r="A986" s="7" t="str">
        <x:v>3504070</x:v>
      </x:c>
      <x:c r="B986" s="7" t="str">
        <x:v>RS Umum Islam  Madinah</x:v>
      </x:c>
      <x:c r="C986" s="7" t="str">
        <x:v>D</x:v>
      </x:c>
      <x:c r="D986" s="7" t="str">
        <x:v>TULUNGAGUNG</x:v>
      </x:c>
      <x:c r="E986" s="8">
        <x:v>37401</x:v>
      </x:c>
      <x:c r="F986" s="9">
        <x:v>15792728500</x:v>
      </x:c>
      <x:c r="G986" s="9">
        <x:v>20467965341.91002</x:v>
      </x:c>
      <x:c r="H986" s="10" t="n">
        <x:f>G986-F986</x:f>
        <x:v>4675236841.910019</x:v>
      </x:c>
    </x:row>
    <x:row r="987">
      <x:c r="A987" s="7" t="str">
        <x:v>3504071</x:v>
      </x:c>
      <x:c r="B987" s="7" t="str">
        <x:v>RS Umum Muhammadiyah Bandung</x:v>
      </x:c>
      <x:c r="C987" s="7" t="str">
        <x:v>D</x:v>
      </x:c>
      <x:c r="D987" s="7" t="str">
        <x:v>TULUNGAGUNG</x:v>
      </x:c>
      <x:c r="E987" s="8">
        <x:v>33548</x:v>
      </x:c>
      <x:c r="F987" s="9">
        <x:v>16916908000</x:v>
      </x:c>
      <x:c r="G987" s="9">
        <x:v>21503890159.84</x:v>
      </x:c>
      <x:c r="H987" s="10" t="n">
        <x:f>G987-F987</x:f>
        <x:v>4586982159.84</x:v>
      </x:c>
    </x:row>
    <x:row r="988">
      <x:c r="A988" s="7" t="str">
        <x:v>3504073</x:v>
      </x:c>
      <x:c r="B988" s="7" t="str">
        <x:v>RS Putra Waspada Tulungagung</x:v>
      </x:c>
      <x:c r="C988" s="7" t="str">
        <x:v>C</x:v>
      </x:c>
      <x:c r="D988" s="7" t="str">
        <x:v>TULUNGAGUNG</x:v>
      </x:c>
      <x:c r="E988" s="8">
        <x:v>45300</x:v>
      </x:c>
      <x:c r="F988" s="9">
        <x:v>24679663700</x:v>
      </x:c>
      <x:c r="G988" s="9">
        <x:v>29551672481.030006</x:v>
      </x:c>
      <x:c r="H988" s="10" t="n">
        <x:f>G988-F988</x:f>
        <x:v>4872008781.030006</x:v>
      </x:c>
    </x:row>
    <x:row r="989">
      <x:c r="A989" s="7" t="str">
        <x:v>3504074</x:v>
      </x:c>
      <x:c r="B989" s="7" t="str">
        <x:v>RS Ibu dan Anak Amanda</x:v>
      </x:c>
      <x:c r="C989" s="7" t="str">
        <x:v>C</x:v>
      </x:c>
      <x:c r="D989" s="7" t="str">
        <x:v>TULUNGAGUNG</x:v>
      </x:c>
      <x:c r="E989" s="8">
        <x:v>1469</x:v>
      </x:c>
      <x:c r="F989" s="9">
        <x:v>3266745000</x:v>
      </x:c>
      <x:c r="G989" s="9">
        <x:v>3770837218.140001</x:v>
      </x:c>
      <x:c r="H989" s="10" t="n">
        <x:f>G989-F989</x:f>
        <x:v>504092218.1400008</x:v>
      </x:c>
    </x:row>
    <x:row r="990">
      <x:c r="A990" s="7" t="str">
        <x:v>3504078</x:v>
      </x:c>
      <x:c r="B990" s="7" t="str">
        <x:v>RS Ibu dan Anak Trisna Medika</x:v>
      </x:c>
      <x:c r="C990" s="7" t="str">
        <x:v>C</x:v>
      </x:c>
      <x:c r="D990" s="7" t="str">
        <x:v>TULUNGAGUNG</x:v>
      </x:c>
      <x:c r="E990" s="8">
        <x:v>2786</x:v>
      </x:c>
      <x:c r="F990" s="9">
        <x:v>5070431000</x:v>
      </x:c>
      <x:c r="G990" s="9">
        <x:v>5994897498.480003</x:v>
      </x:c>
      <x:c r="H990" s="10" t="n">
        <x:f>G990-F990</x:f>
        <x:v>924466498.4800034</x:v>
      </x:c>
    </x:row>
    <x:row r="991">
      <x:c r="A991" s="7" t="str">
        <x:v>3504081</x:v>
      </x:c>
      <x:c r="B991" s="7" t="str">
        <x:v>RS Umum Prima Medika</x:v>
      </x:c>
      <x:c r="C991" s="7" t="str">
        <x:v>D</x:v>
      </x:c>
      <x:c r="D991" s="7" t="str">
        <x:v>TULUNGAGUNG</x:v>
      </x:c>
      <x:c r="E991" s="8">
        <x:v>15943</x:v>
      </x:c>
      <x:c r="F991" s="9">
        <x:v>10463595400</x:v>
      </x:c>
      <x:c r="G991" s="9">
        <x:v>13533850705.89</x:v>
      </x:c>
      <x:c r="H991" s="10" t="n">
        <x:f>G991-F991</x:f>
        <x:v>3070255305.8899994</x:v>
      </x:c>
    </x:row>
    <x:row r="992">
      <x:c r="A992" s="7" t="str">
        <x:v>3504087</x:v>
      </x:c>
      <x:c r="B992" s="7" t="str">
        <x:v>RS Umum Daerah Campurdarat</x:v>
      </x:c>
      <x:c r="C992" s="7" t="str">
        <x:v>C</x:v>
      </x:c>
      <x:c r="D992" s="7" t="str">
        <x:v>TULUNGAGUNG</x:v>
      </x:c>
      <x:c r="E992" s="8">
        <x:v>34485</x:v>
      </x:c>
      <x:c r="F992" s="9">
        <x:v>26845701600</x:v>
      </x:c>
      <x:c r="G992" s="9">
        <x:v>36225618922.90998</x:v>
      </x:c>
      <x:c r="H992" s="10" t="n">
        <x:f>G992-F992</x:f>
        <x:v>9379917322.90998</x:v>
      </x:c>
    </x:row>
    <x:row r="993">
      <x:c r="A993" s="7" t="str">
        <x:v>3505013</x:v>
      </x:c>
      <x:c r="B993" s="7" t="str">
        <x:v>RS Umum Daerah Ngudi Waluyo Wlingi</x:v>
      </x:c>
      <x:c r="C993" s="7" t="str">
        <x:v>B</x:v>
      </x:c>
      <x:c r="D993" s="7" t="str">
        <x:v>BLITAR</x:v>
      </x:c>
      <x:c r="E993" s="8">
        <x:v>84263</x:v>
      </x:c>
      <x:c r="F993" s="9">
        <x:v>71811199105</x:v>
      </x:c>
      <x:c r="G993" s="9">
        <x:v>83935591445.67</x:v>
      </x:c>
      <x:c r="H993" s="10" t="n">
        <x:f>G993-F993</x:f>
        <x:v>12124392340.669998</x:v>
      </x:c>
    </x:row>
    <x:row r="994">
      <x:c r="A994" s="7" t="str">
        <x:v>3505024</x:v>
      </x:c>
      <x:c r="B994" s="7" t="str">
        <x:v>RS Umum Aulia Blitar</x:v>
      </x:c>
      <x:c r="C994" s="7" t="str">
        <x:v>C</x:v>
      </x:c>
      <x:c r="D994" s="7" t="str">
        <x:v>BLITAR</x:v>
      </x:c>
      <x:c r="E994" s="8">
        <x:v>7409</x:v>
      </x:c>
      <x:c r="F994" s="9">
        <x:v>6823257950</x:v>
      </x:c>
      <x:c r="G994" s="9">
        <x:v>9369600202.580002</x:v>
      </x:c>
      <x:c r="H994" s="10" t="n">
        <x:f>G994-F994</x:f>
        <x:v>2546342252.580002</x:v>
      </x:c>
    </x:row>
    <x:row r="995">
      <x:c r="A995" s="7" t="str">
        <x:v>3505035</x:v>
      </x:c>
      <x:c r="B995" s="7" t="str">
        <x:v>RS Umum Ananda</x:v>
      </x:c>
      <x:c r="C995" s="7" t="str">
        <x:v>C</x:v>
      </x:c>
      <x:c r="D995" s="7" t="str">
        <x:v>BLITAR</x:v>
      </x:c>
      <x:c r="E995" s="8">
        <x:v>17579</x:v>
      </x:c>
      <x:c r="F995" s="9">
        <x:v>22125359950</x:v>
      </x:c>
      <x:c r="G995" s="9">
        <x:v>27985918510.34</x:v>
      </x:c>
      <x:c r="H995" s="10" t="n">
        <x:f>G995-F995</x:f>
        <x:v>5860558560.34</x:v>
      </x:c>
    </x:row>
    <x:row r="996">
      <x:c r="A996" s="7" t="str">
        <x:v>3505041</x:v>
      </x:c>
      <x:c r="B996" s="7" t="str">
        <x:v>RS Umum Al-Ittihad</x:v>
      </x:c>
      <x:c r="C996" s="7" t="str">
        <x:v>D</x:v>
      </x:c>
      <x:c r="D996" s="7" t="str">
        <x:v>BLITAR</x:v>
      </x:c>
      <x:c r="E996" s="8">
        <x:v>2618</x:v>
      </x:c>
      <x:c r="F996" s="9">
        <x:v>3185067400</x:v>
      </x:c>
      <x:c r="G996" s="9">
        <x:v>4279656742.9900002</x:v>
      </x:c>
      <x:c r="H996" s="10" t="n">
        <x:f>G996-F996</x:f>
        <x:v>1094589342.9900002</x:v>
      </x:c>
    </x:row>
    <x:row r="997">
      <x:c r="A997" s="7" t="str">
        <x:v>3505043</x:v>
      </x:c>
      <x:c r="B997" s="7" t="str">
        <x:v>RS Umum Medika Utama</x:v>
      </x:c>
      <x:c r="C997" s="7" t="str">
        <x:v>C</x:v>
      </x:c>
      <x:c r="D997" s="7" t="str">
        <x:v>BLITAR</x:v>
      </x:c>
      <x:c r="E997" s="8">
        <x:v>104</x:v>
      </x:c>
      <x:c r="F997" s="9">
        <x:v>193771900</x:v>
      </x:c>
      <x:c r="G997" s="9">
        <x:v>277791194.71999997</x:v>
      </x:c>
      <x:c r="H997" s="10" t="n">
        <x:f>G997-F997</x:f>
        <x:v>84019294.71999997</x:v>
      </x:c>
    </x:row>
    <x:row r="998">
      <x:c r="A998" s="7" t="str">
        <x:v>3505044</x:v>
      </x:c>
      <x:c r="B998" s="7" t="str">
        <x:v>RS Umum Wava Husada Kesamben</x:v>
      </x:c>
      <x:c r="C998" s="7" t="str">
        <x:v>D</x:v>
      </x:c>
      <x:c r="D998" s="7" t="str">
        <x:v>BLITAR</x:v>
      </x:c>
      <x:c r="E998" s="8">
        <x:v>15263</x:v>
      </x:c>
      <x:c r="F998" s="9">
        <x:v>9907909300</x:v>
      </x:c>
      <x:c r="G998" s="9">
        <x:v>13720674057.369999</x:v>
      </x:c>
      <x:c r="H998" s="10" t="n">
        <x:f>G998-F998</x:f>
        <x:v>3812764757.369999</x:v>
      </x:c>
    </x:row>
    <x:row r="999">
      <x:c r="A999" s="7" t="str">
        <x:v>3505045</x:v>
      </x:c>
      <x:c r="B999" s="7" t="str">
        <x:v>RS Umum Daerah Srengat Kab. Blitar</x:v>
      </x:c>
      <x:c r="C999" s="7" t="str">
        <x:v>C</x:v>
      </x:c>
      <x:c r="D999" s="7" t="str">
        <x:v>BLITAR</x:v>
      </x:c>
      <x:c r="E999" s="8">
        <x:v>21429</x:v>
      </x:c>
      <x:c r="F999" s="9">
        <x:v>17155369600</x:v>
      </x:c>
      <x:c r="G999" s="9">
        <x:v>22863331741.72001</x:v>
      </x:c>
      <x:c r="H999" s="10" t="n">
        <x:f>G999-F999</x:f>
        <x:v>5707962141.720009</x:v>
      </x:c>
    </x:row>
    <x:row r="1000">
      <x:c r="A1000" s="7" t="str">
        <x:v>3505054</x:v>
      </x:c>
      <x:c r="B1000" s="7" t="str">
        <x:v>RS Umum An-Nisaa</x:v>
      </x:c>
      <x:c r="C1000" s="7" t="str">
        <x:v>D</x:v>
      </x:c>
      <x:c r="D1000" s="7" t="str">
        <x:v>BLITAR</x:v>
      </x:c>
      <x:c r="E1000" s="8">
        <x:v>8238</x:v>
      </x:c>
      <x:c r="F1000" s="9">
        <x:v>8808652400</x:v>
      </x:c>
      <x:c r="G1000" s="9">
        <x:v>11918969588.399998</x:v>
      </x:c>
      <x:c r="H1000" s="10" t="n">
        <x:f>G1000-F1000</x:f>
        <x:v>3110317188.3999977</x:v>
      </x:c>
    </x:row>
    <x:row r="1001">
      <x:c r="A1001" s="7" t="str">
        <x:v>3506014</x:v>
      </x:c>
      <x:c r="B1001" s="7" t="str">
        <x:v>RS Umum Daerah Kabupaten Kediri</x:v>
      </x:c>
      <x:c r="C1001" s="7" t="str">
        <x:v>B</x:v>
      </x:c>
      <x:c r="D1001" s="7" t="str">
        <x:v>KEDIRI</x:v>
      </x:c>
      <x:c r="E1001" s="8">
        <x:v>91069</x:v>
      </x:c>
      <x:c r="F1001" s="9">
        <x:v>92877830695</x:v>
      </x:c>
      <x:c r="G1001" s="9">
        <x:v>109210937152.29</x:v>
      </x:c>
      <x:c r="H1001" s="10" t="n">
        <x:f>G1001-F1001</x:f>
        <x:v>16333106457.289993</x:v>
      </x:c>
    </x:row>
    <x:row r="1002">
      <x:c r="A1002" s="7" t="str">
        <x:v>3506025</x:v>
      </x:c>
      <x:c r="B1002" s="7" t="str">
        <x:v>RS Toeloengredjo</x:v>
      </x:c>
      <x:c r="C1002" s="7" t="str">
        <x:v>C</x:v>
      </x:c>
      <x:c r="D1002" s="7" t="str">
        <x:v>KEDIRI</x:v>
      </x:c>
      <x:c r="E1002" s="8">
        <x:v>68463</x:v>
      </x:c>
      <x:c r="F1002" s="9">
        <x:v>47229665000</x:v>
      </x:c>
      <x:c r="G1002" s="9">
        <x:v>57073085836.60001</x:v>
      </x:c>
      <x:c r="H1002" s="10" t="n">
        <x:f>G1002-F1002</x:f>
        <x:v>9843420836.600014</x:v>
      </x:c>
    </x:row>
    <x:row r="1003">
      <x:c r="A1003" s="7" t="str">
        <x:v>3506036</x:v>
      </x:c>
      <x:c r="B1003" s="7" t="str">
        <x:v>RS Umum Amelia</x:v>
      </x:c>
      <x:c r="C1003" s="7" t="str">
        <x:v>D</x:v>
      </x:c>
      <x:c r="D1003" s="7" t="str">
        <x:v>KEDIRI</x:v>
      </x:c>
      <x:c r="E1003" s="8">
        <x:v>12021</x:v>
      </x:c>
      <x:c r="F1003" s="9">
        <x:v>7389809600</x:v>
      </x:c>
      <x:c r="G1003" s="9">
        <x:v>9882896362.500004</x:v>
      </x:c>
      <x:c r="H1003" s="10" t="n">
        <x:f>G1003-F1003</x:f>
        <x:v>2493086762.500004</x:v>
      </x:c>
    </x:row>
    <x:row r="1004">
      <x:c r="A1004" s="7" t="str">
        <x:v>3506047</x:v>
      </x:c>
      <x:c r="B1004" s="7" t="str">
        <x:v>RS Umum Muhammadiyah Surya Melati</x:v>
      </x:c>
      <x:c r="C1004" s="7" t="str">
        <x:v>D</x:v>
      </x:c>
      <x:c r="D1004" s="7" t="str">
        <x:v>KEDIRI</x:v>
      </x:c>
      <x:c r="E1004" s="8">
        <x:v>4680</x:v>
      </x:c>
      <x:c r="F1004" s="9">
        <x:v>3808400700</x:v>
      </x:c>
      <x:c r="G1004" s="9">
        <x:v>5357755958.71</x:v>
      </x:c>
      <x:c r="H1004" s="10" t="n">
        <x:f>G1004-F1004</x:f>
        <x:v>1549355258.71</x:v>
      </x:c>
    </x:row>
    <x:row r="1005">
      <x:c r="A1005" s="7" t="str">
        <x:v>3506058</x:v>
      </x:c>
      <x:c r="B1005" s="7" t="str">
        <x:v>RS Umum Arga Husada</x:v>
      </x:c>
      <x:c r="C1005" s="7" t="str">
        <x:v>C</x:v>
      </x:c>
      <x:c r="D1005" s="7" t="str">
        <x:v>KEDIRI</x:v>
      </x:c>
      <x:c r="E1005" s="8">
        <x:v>16746</x:v>
      </x:c>
      <x:c r="F1005" s="9">
        <x:v>12581684800</x:v>
      </x:c>
      <x:c r="G1005" s="9">
        <x:v>17749961614.550003</x:v>
      </x:c>
      <x:c r="H1005" s="10" t="n">
        <x:f>G1005-F1005</x:f>
        <x:v>5168276814.550003</x:v>
      </x:c>
    </x:row>
    <x:row r="1006">
      <x:c r="A1006" s="7" t="str">
        <x:v>3506059</x:v>
      </x:c>
      <x:c r="B1006" s="7" t="str">
        <x:v>RS Muhammadiyah Siti Khodijah</x:v>
      </x:c>
      <x:c r="C1006" s="7" t="str">
        <x:v>D</x:v>
      </x:c>
      <x:c r="D1006" s="7" t="str">
        <x:v>KEDIRI</x:v>
      </x:c>
      <x:c r="E1006" s="8">
        <x:v>14217</x:v>
      </x:c>
      <x:c r="F1006" s="9">
        <x:v>11759203900</x:v>
      </x:c>
      <x:c r="G1006" s="9">
        <x:v>16801494479.220003</x:v>
      </x:c>
      <x:c r="H1006" s="10" t="n">
        <x:f>G1006-F1006</x:f>
        <x:v>5042290579.220003</x:v>
      </x:c>
    </x:row>
    <x:row r="1007">
      <x:c r="A1007" s="7" t="str">
        <x:v>3506062</x:v>
      </x:c>
      <x:c r="B1007" s="7" t="str">
        <x:v>RS Umum  Aura Syifa</x:v>
      </x:c>
      <x:c r="C1007" s="7" t="str">
        <x:v>C</x:v>
      </x:c>
      <x:c r="D1007" s="7" t="str">
        <x:v>KEDIRI</x:v>
      </x:c>
      <x:c r="E1007" s="8">
        <x:v>22676</x:v>
      </x:c>
      <x:c r="F1007" s="9">
        <x:v>23335744100</x:v>
      </x:c>
      <x:c r="G1007" s="9">
        <x:v>28524114247.19999</x:v>
      </x:c>
      <x:c r="H1007" s="10" t="n">
        <x:f>G1007-F1007</x:f>
        <x:v>5188370147.199989</x:v>
      </x:c>
    </x:row>
    <x:row r="1008">
      <x:c r="A1008" s="7" t="str">
        <x:v>3506063</x:v>
      </x:c>
      <x:c r="B1008" s="7" t="str">
        <x:v>RS Umum  Wilujeng</x:v>
      </x:c>
      <x:c r="C1008" s="7" t="str">
        <x:v>D</x:v>
      </x:c>
      <x:c r="D1008" s="7" t="str">
        <x:v>KEDIRI</x:v>
      </x:c>
      <x:c r="E1008" s="8">
        <x:v>13146</x:v>
      </x:c>
      <x:c r="F1008" s="9">
        <x:v>11593245600</x:v>
      </x:c>
      <x:c r="G1008" s="9">
        <x:v>16355437688.990002</x:v>
      </x:c>
      <x:c r="H1008" s="10" t="n">
        <x:f>G1008-F1008</x:f>
        <x:v>4762192088.990002</x:v>
      </x:c>
    </x:row>
    <x:row r="1009">
      <x:c r="A1009" s="7" t="str">
        <x:v>3506065</x:v>
      </x:c>
      <x:c r="B1009" s="7" t="str">
        <x:v>RS Gigi Mulut IIK Bhakti Wiyata</x:v>
      </x:c>
      <x:c r="C1009" s="7" t="str">
        <x:v>C</x:v>
      </x:c>
      <x:c r="D1009" s="7" t="str">
        <x:v>KOTA KEDIRI</x:v>
      </x:c>
      <x:c r="E1009" s="8">
        <x:v>4261</x:v>
      </x:c>
      <x:c r="F1009" s="9">
        <x:v>1483374200</x:v>
      </x:c>
      <x:c r="G1009" s="9">
        <x:v>1702761859.9299998</x:v>
      </x:c>
      <x:c r="H1009" s="10" t="n">
        <x:f>G1009-F1009</x:f>
        <x:v>219387659.92999983</x:v>
      </x:c>
    </x:row>
    <x:row r="1010">
      <x:c r="A1010" s="7" t="str">
        <x:v>3506066</x:v>
      </x:c>
      <x:c r="B1010" s="7" t="str">
        <x:v>RS Umum Daerah Simpang Lima Gumul Kediri</x:v>
      </x:c>
      <x:c r="C1010" s="7" t="str">
        <x:v>C</x:v>
      </x:c>
      <x:c r="D1010" s="7" t="str">
        <x:v>KEDIRI</x:v>
      </x:c>
      <x:c r="E1010" s="8">
        <x:v>49657</x:v>
      </x:c>
      <x:c r="F1010" s="9">
        <x:v>42491287900</x:v>
      </x:c>
      <x:c r="G1010" s="9">
        <x:v>57348260619.729996</x:v>
      </x:c>
      <x:c r="H1010" s="10" t="n">
        <x:f>G1010-F1010</x:f>
        <x:v>14856972719.729996</x:v>
      </x:c>
    </x:row>
    <x:row r="1011">
      <x:c r="A1011" s="7" t="str">
        <x:v>3507015</x:v>
      </x:c>
      <x:c r="B1011" s="7" t="str">
        <x:v>RS Bala Keselamatan Bokor</x:v>
      </x:c>
      <x:c r="C1011" s="7" t="str">
        <x:v>D</x:v>
      </x:c>
      <x:c r="D1011" s="7" t="str">
        <x:v>MALANG</x:v>
      </x:c>
      <x:c r="E1011" s="8">
        <x:v>16538</x:v>
      </x:c>
      <x:c r="F1011" s="9">
        <x:v>9268623000</x:v>
      </x:c>
      <x:c r="G1011" s="9">
        <x:v>12353473839.520002</x:v>
      </x:c>
      <x:c r="H1011" s="10" t="n">
        <x:f>G1011-F1011</x:f>
        <x:v>3084850839.5200024</x:v>
      </x:c>
    </x:row>
    <x:row r="1012">
      <x:c r="A1012" s="7" t="str">
        <x:v>3507026</x:v>
      </x:c>
      <x:c r="B1012" s="7" t="str">
        <x:v>RS Jiwa Dr. Radjiman Wediodiningrat Lawang</x:v>
      </x:c>
      <x:c r="C1012" s="7" t="str">
        <x:v>A</x:v>
      </x:c>
      <x:c r="D1012" s="7" t="str">
        <x:v>MALANG</x:v>
      </x:c>
      <x:c r="E1012" s="8">
        <x:v>37439</x:v>
      </x:c>
      <x:c r="F1012" s="9">
        <x:v>41855926100</x:v>
      </x:c>
      <x:c r="G1012" s="9">
        <x:v>47252666298.89</x:v>
      </x:c>
      <x:c r="H1012" s="10" t="n">
        <x:f>G1012-F1012</x:f>
        <x:v>5396740198.889999</x:v>
      </x:c>
    </x:row>
    <x:row r="1013">
      <x:c r="A1013" s="7" t="str">
        <x:v>3507052</x:v>
      </x:c>
      <x:c r="B1013" s="7" t="str">
        <x:v>RS Umum Daerah Kanjuruhan Kepanjen Kab. Malang</x:v>
      </x:c>
      <x:c r="C1013" s="7" t="str">
        <x:v>B</x:v>
      </x:c>
      <x:c r="D1013" s="7" t="str">
        <x:v>MALANG</x:v>
      </x:c>
      <x:c r="E1013" s="8">
        <x:v>62093</x:v>
      </x:c>
      <x:c r="F1013" s="9">
        <x:v>68167111200</x:v>
      </x:c>
      <x:c r="G1013" s="9">
        <x:v>79528678179.08003</x:v>
      </x:c>
      <x:c r="H1013" s="10" t="n">
        <x:f>G1013-F1013</x:f>
        <x:v>11361566979.080032</x:v>
      </x:c>
    </x:row>
    <x:row r="1014">
      <x:c r="A1014" s="7" t="str">
        <x:v>3507070</x:v>
      </x:c>
      <x:c r="B1014" s="7" t="str">
        <x:v>RS Marsudi Waluyo</x:v>
      </x:c>
      <x:c r="C1014" s="7" t="str">
        <x:v>D</x:v>
      </x:c>
      <x:c r="D1014" s="7" t="str">
        <x:v>MALANG</x:v>
      </x:c>
      <x:c r="E1014" s="8">
        <x:v>32789</x:v>
      </x:c>
      <x:c r="F1014" s="9">
        <x:v>18870601700</x:v>
      </x:c>
      <x:c r="G1014" s="9">
        <x:v>25021070475.449997</x:v>
      </x:c>
      <x:c r="H1014" s="10" t="n">
        <x:f>G1014-F1014</x:f>
        <x:v>6150468775.449997</x:v>
      </x:c>
    </x:row>
    <x:row r="1015">
      <x:c r="A1015" s="7" t="str">
        <x:v>3507085</x:v>
      </x:c>
      <x:c r="B1015" s="7" t="str">
        <x:v>RS Umum Daerah Lawang</x:v>
      </x:c>
      <x:c r="C1015" s="7" t="str">
        <x:v>C</x:v>
      </x:c>
      <x:c r="D1015" s="7" t="str">
        <x:v>MALANG</x:v>
      </x:c>
      <x:c r="E1015" s="8">
        <x:v>32132</x:v>
      </x:c>
      <x:c r="F1015" s="9">
        <x:v>27363792285</x:v>
      </x:c>
      <x:c r="G1015" s="9">
        <x:v>34009166212.690002</x:v>
      </x:c>
      <x:c r="H1015" s="10" t="n">
        <x:f>G1015-F1015</x:f>
        <x:v>6645373927.690002</x:v>
      </x:c>
    </x:row>
    <x:row r="1016">
      <x:c r="A1016" s="7" t="str">
        <x:v>3507096</x:v>
      </x:c>
      <x:c r="B1016" s="7" t="str">
        <x:v>RS Umum Wava Husada</x:v>
      </x:c>
      <x:c r="C1016" s="7" t="str">
        <x:v>B</x:v>
      </x:c>
      <x:c r="D1016" s="7" t="str">
        <x:v>MALANG</x:v>
      </x:c>
      <x:c r="E1016" s="8">
        <x:v>133628</x:v>
      </x:c>
      <x:c r="F1016" s="9">
        <x:v>125981955300</x:v>
      </x:c>
      <x:c r="G1016" s="9">
        <x:v>125607736801.73</x:v>
      </x:c>
      <x:c r="H1016" s="10" t="n">
        <x:f>G1016-F1016</x:f>
        <x:v>-374218498.2700043</x:v>
      </x:c>
    </x:row>
    <x:row r="1017">
      <x:c r="A1017" s="7" t="str">
        <x:v>3507098</x:v>
      </x:c>
      <x:c r="B1017" s="7" t="str">
        <x:v>RS Mitra Delima</x:v>
      </x:c>
      <x:c r="C1017" s="7" t="str">
        <x:v>C</x:v>
      </x:c>
      <x:c r="D1017" s="7" t="str">
        <x:v>MALANG</x:v>
      </x:c>
      <x:c r="E1017" s="8">
        <x:v>39318</x:v>
      </x:c>
      <x:c r="F1017" s="9">
        <x:v>28017573600</x:v>
      </x:c>
      <x:c r="G1017" s="9">
        <x:v>33942361208.379997</x:v>
      </x:c>
      <x:c r="H1017" s="10" t="n">
        <x:f>G1017-F1017</x:f>
        <x:v>5924787608.379997</x:v>
      </x:c>
    </x:row>
    <x:row r="1018">
      <x:c r="A1018" s="7" t="str">
        <x:v>3507099</x:v>
      </x:c>
      <x:c r="B1018" s="7" t="str">
        <x:v>RS Prasetya Husada</x:v>
      </x:c>
      <x:c r="C1018" s="7" t="str">
        <x:v>C</x:v>
      </x:c>
      <x:c r="D1018" s="7" t="str">
        <x:v>MALANG</x:v>
      </x:c>
      <x:c r="E1018" s="8">
        <x:v>15320</x:v>
      </x:c>
      <x:c r="F1018" s="9">
        <x:v>10090911600</x:v>
      </x:c>
      <x:c r="G1018" s="9">
        <x:v>12607832868.039999</x:v>
      </x:c>
      <x:c r="H1018" s="10" t="n">
        <x:f>G1018-F1018</x:f>
        <x:v>2516921268.039999</x:v>
      </x:c>
    </x:row>
    <x:row r="1019">
      <x:c r="A1019" s="7" t="str">
        <x:v>3507100</x:v>
      </x:c>
      <x:c r="B1019" s="7" t="str">
        <x:v>RS Siti Miriam</x:v>
      </x:c>
      <x:c r="C1019" s="7" t="str">
        <x:v>D</x:v>
      </x:c>
      <x:c r="D1019" s="7" t="str">
        <x:v>MALANG</x:v>
      </x:c>
      <x:c r="E1019" s="8">
        <x:v>1567</x:v>
      </x:c>
      <x:c r="F1019" s="9">
        <x:v>1499889500</x:v>
      </x:c>
      <x:c r="G1019" s="9">
        <x:v>1834767650.56</x:v>
      </x:c>
      <x:c r="H1019" s="10" t="n">
        <x:f>G1019-F1019</x:f>
        <x:v>334878150.55999994</x:v>
      </x:c>
    </x:row>
    <x:row r="1020">
      <x:c r="A1020" s="7" t="str">
        <x:v>3507102</x:v>
      </x:c>
      <x:c r="B1020" s="7" t="str">
        <x:v>RS Angkatan Udara dr. Munir Lanud Abdulrachman Saleh</x:v>
      </x:c>
      <x:c r="C1020" s="7" t="str">
        <x:v>D</x:v>
      </x:c>
      <x:c r="D1020" s="7" t="str">
        <x:v>MALANG</x:v>
      </x:c>
      <x:c r="E1020" s="8">
        <x:v>10974</x:v>
      </x:c>
      <x:c r="F1020" s="9">
        <x:v>5238201300</x:v>
      </x:c>
      <x:c r="G1020" s="9">
        <x:v>7243013505.589996</x:v>
      </x:c>
      <x:c r="H1020" s="10" t="n">
        <x:f>G1020-F1020</x:f>
        <x:v>2004812205.5899963</x:v>
      </x:c>
    </x:row>
    <x:row r="1021">
      <x:c r="A1021" s="7" t="str">
        <x:v>3507104</x:v>
      </x:c>
      <x:c r="B1021" s="7" t="str">
        <x:v>RS Prima Husada</x:v>
      </x:c>
      <x:c r="C1021" s="7" t="str">
        <x:v>C</x:v>
      </x:c>
      <x:c r="D1021" s="7" t="str">
        <x:v>MALANG</x:v>
      </x:c>
      <x:c r="E1021" s="8">
        <x:v>83094</x:v>
      </x:c>
      <x:c r="F1021" s="9">
        <x:v>55624360600</x:v>
      </x:c>
      <x:c r="G1021" s="9">
        <x:v>66603856123.45001</x:v>
      </x:c>
      <x:c r="H1021" s="10" t="n">
        <x:f>G1021-F1021</x:f>
        <x:v>10979495523.450012</x:v>
      </x:c>
    </x:row>
    <x:row r="1022">
      <x:c r="A1022" s="7" t="str">
        <x:v>3507105</x:v>
      </x:c>
      <x:c r="B1022" s="7" t="str">
        <x:v>RS Lawang Medika</x:v>
      </x:c>
      <x:c r="C1022" s="7" t="str">
        <x:v>D</x:v>
      </x:c>
      <x:c r="D1022" s="7" t="str">
        <x:v>MALANG</x:v>
      </x:c>
      <x:c r="E1022" s="8">
        <x:v>9130</x:v>
      </x:c>
      <x:c r="F1022" s="9">
        <x:v>10668342400</x:v>
      </x:c>
      <x:c r="G1022" s="9">
        <x:v>15988554187.499998</x:v>
      </x:c>
      <x:c r="H1022" s="10" t="n">
        <x:f>G1022-F1022</x:f>
        <x:v>5320211787.499998</x:v>
      </x:c>
    </x:row>
    <x:row r="1023">
      <x:c r="A1023" s="7" t="str">
        <x:v>3507107</x:v>
      </x:c>
      <x:c r="B1023" s="7" t="str">
        <x:v>RS Ben Mari</x:v>
      </x:c>
      <x:c r="C1023" s="7" t="str">
        <x:v>D</x:v>
      </x:c>
      <x:c r="D1023" s="7" t="str">
        <x:v>MALANG</x:v>
      </x:c>
      <x:c r="E1023" s="8">
        <x:v>12660</x:v>
      </x:c>
      <x:c r="F1023" s="9">
        <x:v>13419706700</x:v>
      </x:c>
      <x:c r="G1023" s="9">
        <x:v>18637496006.890007</x:v>
      </x:c>
      <x:c r="H1023" s="10" t="n">
        <x:f>G1023-F1023</x:f>
        <x:v>5217789306.890007</x:v>
      </x:c>
    </x:row>
    <x:row r="1024">
      <x:c r="A1024" s="7" t="str">
        <x:v>3507108</x:v>
      </x:c>
      <x:c r="B1024" s="7" t="str">
        <x:v>RS Umum Universitas Muhammadiyah Malang</x:v>
      </x:c>
      <x:c r="C1024" s="7" t="str">
        <x:v>C</x:v>
      </x:c>
      <x:c r="D1024" s="7" t="str">
        <x:v>MALANG</x:v>
      </x:c>
      <x:c r="E1024" s="8">
        <x:v>115040</x:v>
      </x:c>
      <x:c r="F1024" s="9">
        <x:v>79018878550</x:v>
      </x:c>
      <x:c r="G1024" s="9">
        <x:v>100429860029.94003</x:v>
      </x:c>
      <x:c r="H1024" s="10" t="n">
        <x:f>G1024-F1024</x:f>
        <x:v>21410981479.940033</x:v>
      </x:c>
    </x:row>
    <x:row r="1025">
      <x:c r="A1025" s="7" t="str">
        <x:v>3507117</x:v>
      </x:c>
      <x:c r="B1025" s="7" t="str">
        <x:v>RS Umum Pindad</x:v>
      </x:c>
      <x:c r="C1025" s="7" t="str">
        <x:v>C</x:v>
      </x:c>
      <x:c r="D1025" s="7" t="str">
        <x:v>MALANG</x:v>
      </x:c>
      <x:c r="E1025" s="8">
        <x:v>66989</x:v>
      </x:c>
      <x:c r="F1025" s="9">
        <x:v>53924237050</x:v>
      </x:c>
      <x:c r="G1025" s="9">
        <x:v>66267086786.41999</x:v>
      </x:c>
      <x:c r="H1025" s="10" t="n">
        <x:f>G1025-F1025</x:f>
        <x:v>12342849736.41999</x:v>
      </x:c>
    </x:row>
    <x:row r="1026">
      <x:c r="A1026" s="7" t="str">
        <x:v>3507119</x:v>
      </x:c>
      <x:c r="B1026" s="7" t="str">
        <x:v>RS Umum Wajak Husada</x:v>
      </x:c>
      <x:c r="C1026" s="7" t="str">
        <x:v>D</x:v>
      </x:c>
      <x:c r="D1026" s="7" t="str">
        <x:v>MALANG</x:v>
      </x:c>
      <x:c r="E1026" s="8">
        <x:v>20654</x:v>
      </x:c>
      <x:c r="F1026" s="9">
        <x:v>13490069000</x:v>
      </x:c>
      <x:c r="G1026" s="9">
        <x:v>18855121280.249996</x:v>
      </x:c>
      <x:c r="H1026" s="10" t="n">
        <x:f>G1026-F1026</x:f>
        <x:v>5365052280.249996</x:v>
      </x:c>
    </x:row>
    <x:row r="1027">
      <x:c r="A1027" s="7" t="str">
        <x:v>3507204</x:v>
      </x:c>
      <x:c r="B1027" s="7" t="str">
        <x:v>RS Umum Islam Gondang Legi</x:v>
      </x:c>
      <x:c r="C1027" s="7" t="str">
        <x:v>C</x:v>
      </x:c>
      <x:c r="D1027" s="7" t="str">
        <x:v>MALANG</x:v>
      </x:c>
      <x:c r="E1027" s="8">
        <x:v>22599</x:v>
      </x:c>
      <x:c r="F1027" s="9">
        <x:v>21740611900</x:v>
      </x:c>
      <x:c r="G1027" s="9">
        <x:v>26798220756.49001</x:v>
      </x:c>
      <x:c r="H1027" s="10" t="n">
        <x:f>G1027-F1027</x:f>
        <x:v>5057608856.490009</x:v>
      </x:c>
    </x:row>
    <x:row r="1028">
      <x:c r="A1028" s="7" t="str">
        <x:v>3507230</x:v>
      </x:c>
      <x:c r="B1028" s="7" t="str">
        <x:v>RS Sumber Sentosa</x:v>
      </x:c>
      <x:c r="C1028" s="7" t="str">
        <x:v>D</x:v>
      </x:c>
      <x:c r="D1028" s="7" t="str">
        <x:v>MALANG</x:v>
      </x:c>
      <x:c r="E1028" s="8">
        <x:v>9118</x:v>
      </x:c>
      <x:c r="F1028" s="9">
        <x:v>6339893200</x:v>
      </x:c>
      <x:c r="G1028" s="9">
        <x:v>8758319392.819996</x:v>
      </x:c>
      <x:c r="H1028" s="10" t="n">
        <x:f>G1028-F1028</x:f>
        <x:v>2418426192.819996</x:v>
      </x:c>
    </x:row>
    <x:row r="1029">
      <x:c r="A1029" s="7" t="str">
        <x:v>3507241</x:v>
      </x:c>
      <x:c r="B1029" s="7" t="str">
        <x:v>RS Umum Islam Madinah Kasembon</x:v>
      </x:c>
      <x:c r="C1029" s="7" t="str">
        <x:v>D</x:v>
      </x:c>
      <x:c r="D1029" s="7" t="str">
        <x:v>MALANG</x:v>
      </x:c>
      <x:c r="E1029" s="8">
        <x:v>17763</x:v>
      </x:c>
      <x:c r="F1029" s="9">
        <x:v>9694895900</x:v>
      </x:c>
      <x:c r="G1029" s="9">
        <x:v>14002100163.909994</x:v>
      </x:c>
      <x:c r="H1029" s="10" t="n">
        <x:f>G1029-F1029</x:f>
        <x:v>4307204263.909994</x:v>
      </x:c>
    </x:row>
    <x:row r="1030">
      <x:c r="A1030" s="7" t="str">
        <x:v>3507248</x:v>
      </x:c>
      <x:c r="B1030" s="7" t="str">
        <x:v>RS Bedah Hasta Husada</x:v>
      </x:c>
      <x:c r="C1030" s="7" t="str">
        <x:v>C</x:v>
      </x:c>
      <x:c r="D1030" s="7" t="str">
        <x:v>MALANG</x:v>
      </x:c>
      <x:c r="E1030" s="8">
        <x:v>22698</x:v>
      </x:c>
      <x:c r="F1030" s="9">
        <x:v>13230957000</x:v>
      </x:c>
      <x:c r="G1030" s="9">
        <x:v>16849529900.339993</x:v>
      </x:c>
      <x:c r="H1030" s="10" t="n">
        <x:f>G1030-F1030</x:f>
        <x:v>3618572900.3399925</x:v>
      </x:c>
    </x:row>
    <x:row r="1031">
      <x:c r="A1031" s="7" t="str">
        <x:v>3507259</x:v>
      </x:c>
      <x:c r="B1031" s="7" t="str">
        <x:v>RS Enggal Dangan</x:v>
      </x:c>
      <x:c r="C1031" s="7" t="str">
        <x:v>D</x:v>
      </x:c>
      <x:c r="D1031" s="7" t="str">
        <x:v>MALANG</x:v>
      </x:c>
      <x:c r="E1031" s="8">
        <x:v>176</x:v>
      </x:c>
      <x:c r="F1031" s="9">
        <x:v>261712700</x:v>
      </x:c>
      <x:c r="G1031" s="9">
        <x:v>342911497.67999995</x:v>
      </x:c>
      <x:c r="H1031" s="10" t="n">
        <x:f>G1031-F1031</x:f>
        <x:v>81198797.67999995</x:v>
      </x:c>
    </x:row>
    <x:row r="1032">
      <x:c r="A1032" s="7" t="str">
        <x:v>3507261</x:v>
      </x:c>
      <x:c r="B1032" s="7" t="str">
        <x:v>RS Umum Cahaya Medika</x:v>
      </x:c>
      <x:c r="C1032" s="7" t="str">
        <x:v>D</x:v>
      </x:c>
      <x:c r="D1032" s="7" t="str">
        <x:v>MALANG</x:v>
      </x:c>
      <x:c r="E1032" s="8">
        <x:v>512</x:v>
      </x:c>
      <x:c r="F1032" s="9">
        <x:v>918870600</x:v>
      </x:c>
      <x:c r="G1032" s="9">
        <x:v>1259892938.64</x:v>
      </x:c>
      <x:c r="H1032" s="10" t="n">
        <x:f>G1032-F1032</x:f>
        <x:v>341022338.6400001</x:v>
      </x:c>
    </x:row>
    <x:row r="1033">
      <x:c r="A1033" s="7" t="str">
        <x:v>3507262</x:v>
      </x:c>
      <x:c r="B1033" s="7" t="str">
        <x:v>RS AU dr. Mohammad Moenir</x:v>
      </x:c>
      <x:c r="C1033" s="7" t="str">
        <x:v>D</x:v>
      </x:c>
      <x:c r="D1033" s="7" t="str">
        <x:v>MALANG</x:v>
      </x:c>
      <x:c r="E1033" s="8">
        <x:v>681</x:v>
      </x:c>
      <x:c r="F1033" s="9">
        <x:v>414014900</x:v>
      </x:c>
      <x:c r="G1033" s="9">
        <x:v>575768357.8199999</x:v>
      </x:c>
      <x:c r="H1033" s="10" t="n">
        <x:f>G1033-F1033</x:f>
        <x:v>161753457.81999993</x:v>
      </x:c>
    </x:row>
    <x:row r="1034">
      <x:c r="A1034" s="7" t="str">
        <x:v>3508016</x:v>
      </x:c>
      <x:c r="B1034" s="7" t="str">
        <x:v>RS Umum Daerah Dr. Haryoto Kabupaten Lumajang</x:v>
      </x:c>
      <x:c r="C1034" s="7" t="str">
        <x:v>B</x:v>
      </x:c>
      <x:c r="D1034" s="7" t="str">
        <x:v>LUMAJANG</x:v>
      </x:c>
      <x:c r="E1034" s="8">
        <x:v>73253</x:v>
      </x:c>
      <x:c r="F1034" s="9">
        <x:v>80997445685</x:v>
      </x:c>
      <x:c r="G1034" s="9">
        <x:v>89494268813.91002</x:v>
      </x:c>
      <x:c r="H1034" s="10" t="n">
        <x:f>G1034-F1034</x:f>
        <x:v>8496823128.910019</x:v>
      </x:c>
    </x:row>
    <x:row r="1035">
      <x:c r="A1035" s="7" t="str">
        <x:v>3508053</x:v>
      </x:c>
      <x:c r="B1035" s="7" t="str">
        <x:v>RS Wijaya Kusuma Lumajang</x:v>
      </x:c>
      <x:c r="C1035" s="7" t="str">
        <x:v>C</x:v>
      </x:c>
      <x:c r="D1035" s="7" t="str">
        <x:v>LUMAJANG</x:v>
      </x:c>
      <x:c r="E1035" s="8">
        <x:v>48923</x:v>
      </x:c>
      <x:c r="F1035" s="9">
        <x:v>37423743600</x:v>
      </x:c>
      <x:c r="G1035" s="9">
        <x:v>45845177172.61998</x:v>
      </x:c>
      <x:c r="H1035" s="10" t="n">
        <x:f>G1035-F1035</x:f>
        <x:v>8421433572.61998</x:v>
      </x:c>
    </x:row>
    <x:row r="1036">
      <x:c r="A1036" s="7" t="str">
        <x:v>3508054</x:v>
      </x:c>
      <x:c r="B1036" s="7" t="str">
        <x:v>RS Bhayangkara Lumajang</x:v>
      </x:c>
      <x:c r="C1036" s="7" t="str">
        <x:v>C</x:v>
      </x:c>
      <x:c r="D1036" s="7" t="str">
        <x:v>LUMAJANG</x:v>
      </x:c>
      <x:c r="E1036" s="8">
        <x:v>39574</x:v>
      </x:c>
      <x:c r="F1036" s="9">
        <x:v>37573673680</x:v>
      </x:c>
      <x:c r="G1036" s="9">
        <x:v>47041818334.48001</x:v>
      </x:c>
      <x:c r="H1036" s="10" t="n">
        <x:f>G1036-F1036</x:f>
        <x:v>9468144654.480011</x:v>
      </x:c>
    </x:row>
    <x:row r="1037">
      <x:c r="A1037" s="7" t="str">
        <x:v>3508055</x:v>
      </x:c>
      <x:c r="B1037" s="7" t="str">
        <x:v>RS Umum Djatiroto</x:v>
      </x:c>
      <x:c r="C1037" s="7" t="str">
        <x:v>C</x:v>
      </x:c>
      <x:c r="D1037" s="7" t="str">
        <x:v>LUMAJANG</x:v>
      </x:c>
      <x:c r="E1037" s="8">
        <x:v>66194</x:v>
      </x:c>
      <x:c r="F1037" s="9">
        <x:v>43400408100</x:v>
      </x:c>
      <x:c r="G1037" s="9">
        <x:v>54298148360.64997</x:v>
      </x:c>
      <x:c r="H1037" s="10" t="n">
        <x:f>G1037-F1037</x:f>
        <x:v>10897740260.649971</x:v>
      </x:c>
    </x:row>
    <x:row r="1038">
      <x:c r="A1038" s="7" t="str">
        <x:v>3508056</x:v>
      </x:c>
      <x:c r="B1038" s="7" t="str">
        <x:v>RS Islam Lumajang</x:v>
      </x:c>
      <x:c r="C1038" s="7" t="str">
        <x:v>C</x:v>
      </x:c>
      <x:c r="D1038" s="7" t="str">
        <x:v>LUMAJANG</x:v>
      </x:c>
      <x:c r="E1038" s="8">
        <x:v>21429</x:v>
      </x:c>
      <x:c r="F1038" s="9">
        <x:v>20692890100</x:v>
      </x:c>
      <x:c r="G1038" s="9">
        <x:v>25233658467.64001</x:v>
      </x:c>
      <x:c r="H1038" s="10" t="n">
        <x:f>G1038-F1038</x:f>
        <x:v>4540768367.640011</x:v>
      </x:c>
    </x:row>
    <x:row r="1039">
      <x:c r="A1039" s="7" t="str">
        <x:v>3508058</x:v>
      </x:c>
      <x:c r="B1039" s="7" t="str">
        <x:v>RS Umum Daerah Pasirian Kabupaten Lumajang</x:v>
      </x:c>
      <x:c r="C1039" s="7" t="str">
        <x:v>C</x:v>
      </x:c>
      <x:c r="D1039" s="7" t="str">
        <x:v>LUMAJANG</x:v>
      </x:c>
      <x:c r="E1039" s="8">
        <x:v>14966</x:v>
      </x:c>
      <x:c r="F1039" s="9">
        <x:v>16883237000</x:v>
      </x:c>
      <x:c r="G1039" s="9">
        <x:v>22050285927.190002</x:v>
      </x:c>
      <x:c r="H1039" s="10" t="n">
        <x:f>G1039-F1039</x:f>
        <x:v>5167048927.190002</x:v>
      </x:c>
    </x:row>
    <x:row r="1040">
      <x:c r="A1040" s="7" t="str">
        <x:v>3508060</x:v>
      </x:c>
      <x:c r="B1040" s="7" t="str">
        <x:v>RS Umum Muhammadiyah Lumajang</x:v>
      </x:c>
      <x:c r="C1040" s="7" t="str">
        <x:v>D</x:v>
      </x:c>
      <x:c r="D1040" s="7" t="str">
        <x:v>LUMAJANG</x:v>
      </x:c>
      <x:c r="E1040" s="8">
        <x:v>10740</x:v>
      </x:c>
      <x:c r="F1040" s="9">
        <x:v>7906275700</x:v>
      </x:c>
      <x:c r="G1040" s="9">
        <x:v>10260671436.51</x:v>
      </x:c>
      <x:c r="H1040" s="10" t="n">
        <x:f>G1040-F1040</x:f>
        <x:v>2354395736.51</x:v>
      </x:c>
    </x:row>
    <x:row r="1041">
      <x:c r="A1041" s="7" t="str">
        <x:v>3508071</x:v>
      </x:c>
      <x:c r="B1041" s="7" t="str">
        <x:v>RS Nahdlatul Ulama Permata</x:v>
      </x:c>
      <x:c r="C1041" s="7" t="str">
        <x:v>D</x:v>
      </x:c>
      <x:c r="D1041" s="7" t="str">
        <x:v>LUMAJANG</x:v>
      </x:c>
      <x:c r="E1041" s="8">
        <x:v>1064</x:v>
      </x:c>
      <x:c r="F1041" s="9">
        <x:v>1697380600</x:v>
      </x:c>
      <x:c r="G1041" s="9">
        <x:v>2178437368.1000004</x:v>
      </x:c>
      <x:c r="H1041" s="10" t="n">
        <x:f>G1041-F1041</x:f>
        <x:v>481056768.1000004</x:v>
      </x:c>
    </x:row>
    <x:row r="1042">
      <x:c r="A1042" s="7" t="str">
        <x:v>3509010</x:v>
      </x:c>
      <x:c r="B1042" s="7" t="str">
        <x:v>RS Umum Daerah Dr. Soebandi Jember</x:v>
      </x:c>
      <x:c r="C1042" s="7" t="str">
        <x:v>B</x:v>
      </x:c>
      <x:c r="D1042" s="7" t="str">
        <x:v>JEMBER</x:v>
      </x:c>
      <x:c r="E1042" s="8">
        <x:v>111799</x:v>
      </x:c>
      <x:c r="F1042" s="9">
        <x:v>191961316600</x:v>
      </x:c>
      <x:c r="G1042" s="9">
        <x:v>229581049186.81992</x:v>
      </x:c>
      <x:c r="H1042" s="10" t="n">
        <x:f>G1042-F1042</x:f>
        <x:v>37619732586.819916</x:v>
      </x:c>
    </x:row>
    <x:row r="1043">
      <x:c r="A1043" s="7" t="str">
        <x:v>3509021</x:v>
      </x:c>
      <x:c r="B1043" s="7" t="str">
        <x:v>RS Perkebunan PTPN X (Persero) Jember</x:v>
      </x:c>
      <x:c r="C1043" s="7" t="str">
        <x:v>C</x:v>
      </x:c>
      <x:c r="D1043" s="7" t="str">
        <x:v>JEMBER</x:v>
      </x:c>
      <x:c r="E1043" s="8">
        <x:v>77286</x:v>
      </x:c>
      <x:c r="F1043" s="9">
        <x:v>49545591300</x:v>
      </x:c>
      <x:c r="G1043" s="9">
        <x:v>58180324391.65999</x:v>
      </x:c>
      <x:c r="H1043" s="10" t="n">
        <x:f>G1043-F1043</x:f>
        <x:v>8634733091.659988</x:v>
      </x:c>
    </x:row>
    <x:row r="1044">
      <x:c r="A1044" s="7" t="str">
        <x:v>3509032</x:v>
      </x:c>
      <x:c r="B1044" s="7" t="str">
        <x:v>RS Tk. III Baladhika Husada Jember</x:v>
      </x:c>
      <x:c r="C1044" s="7" t="str">
        <x:v>C</x:v>
      </x:c>
      <x:c r="D1044" s="7" t="str">
        <x:v>JEMBER</x:v>
      </x:c>
      <x:c r="E1044" s="8">
        <x:v>44630</x:v>
      </x:c>
      <x:c r="F1044" s="9">
        <x:v>40178877200</x:v>
      </x:c>
      <x:c r="G1044" s="9">
        <x:v>51890427663.33997</x:v>
      </x:c>
      <x:c r="H1044" s="10" t="n">
        <x:f>G1044-F1044</x:f>
        <x:v>11711550463.339973</x:v>
      </x:c>
    </x:row>
    <x:row r="1045">
      <x:c r="A1045" s="7" t="str">
        <x:v>3509043</x:v>
      </x:c>
      <x:c r="B1045" s="7" t="str">
        <x:v>RS Paru Jember</x:v>
      </x:c>
      <x:c r="C1045" s="7" t="str">
        <x:v>B</x:v>
      </x:c>
      <x:c r="D1045" s="7" t="str">
        <x:v>JEMBER</x:v>
      </x:c>
      <x:c r="E1045" s="8">
        <x:v>23514</x:v>
      </x:c>
      <x:c r="F1045" s="9">
        <x:v>27666085700</x:v>
      </x:c>
      <x:c r="G1045" s="9">
        <x:v>37884663183.600006</x:v>
      </x:c>
      <x:c r="H1045" s="10" t="n">
        <x:f>G1045-F1045</x:f>
        <x:v>10218577483.600006</x:v>
      </x:c>
    </x:row>
    <x:row r="1046">
      <x:c r="A1046" s="7" t="str">
        <x:v>3509101</x:v>
      </x:c>
      <x:c r="B1046" s="7" t="str">
        <x:v>RS Utama Husada Jember</x:v>
      </x:c>
      <x:c r="C1046" s="7" t="str">
        <x:v>D</x:v>
      </x:c>
      <x:c r="D1046" s="7" t="str">
        <x:v>JEMBER</x:v>
      </x:c>
      <x:c r="E1046" s="8">
        <x:v>3742</x:v>
      </x:c>
      <x:c r="F1046" s="9">
        <x:v>6006380400</x:v>
      </x:c>
      <x:c r="G1046" s="9">
        <x:v>8089849862.23</x:v>
      </x:c>
      <x:c r="H1046" s="10" t="n">
        <x:f>G1046-F1046</x:f>
        <x:v>2083469462.2299995</x:v>
      </x:c>
    </x:row>
    <x:row r="1047">
      <x:c r="A1047" s="7" t="str">
        <x:v>3509112</x:v>
      </x:c>
      <x:c r="B1047" s="7" t="str">
        <x:v>RS Gigi dan Mulut Universitas Jember</x:v>
      </x:c>
      <x:c r="C1047" s="7" t="str">
        <x:v>C</x:v>
      </x:c>
      <x:c r="D1047" s="7" t="str">
        <x:v>JEMBER</x:v>
      </x:c>
      <x:c r="E1047" s="8">
        <x:v>2933</x:v>
      </x:c>
      <x:c r="F1047" s="9">
        <x:v>902078600</x:v>
      </x:c>
      <x:c r="G1047" s="9">
        <x:v>1113839955.3100002</x:v>
      </x:c>
      <x:c r="H1047" s="10" t="n">
        <x:f>G1047-F1047</x:f>
        <x:v>211761355.31000018</x:v>
      </x:c>
    </x:row>
    <x:row r="1048">
      <x:c r="A1048" s="7" t="str">
        <x:v>3509123</x:v>
      </x:c>
      <x:c r="B1048" s="7" t="str">
        <x:v>RS Daerah Kalisat Jember</x:v>
      </x:c>
      <x:c r="C1048" s="7" t="str">
        <x:v>C</x:v>
      </x:c>
      <x:c r="D1048" s="7" t="str">
        <x:v>JEMBER</x:v>
      </x:c>
      <x:c r="E1048" s="8">
        <x:v>26592</x:v>
      </x:c>
      <x:c r="F1048" s="9">
        <x:v>25981393400</x:v>
      </x:c>
      <x:c r="G1048" s="9">
        <x:v>34012939285.339993</x:v>
      </x:c>
      <x:c r="H1048" s="10" t="n">
        <x:f>G1048-F1048</x:f>
        <x:v>8031545885.339993</x:v>
      </x:c>
    </x:row>
    <x:row r="1049">
      <x:c r="A1049" s="7" t="str">
        <x:v>3509134</x:v>
      </x:c>
      <x:c r="B1049" s="7" t="str">
        <x:v>RS Daerah Balung Jember</x:v>
      </x:c>
      <x:c r="C1049" s="7" t="str">
        <x:v>C</x:v>
      </x:c>
      <x:c r="D1049" s="7" t="str">
        <x:v>JEMBER</x:v>
      </x:c>
      <x:c r="E1049" s="8">
        <x:v>60290</x:v>
      </x:c>
      <x:c r="F1049" s="9">
        <x:v>52326275905</x:v>
      </x:c>
      <x:c r="G1049" s="9">
        <x:v>67964989285.41003</x:v>
      </x:c>
      <x:c r="H1049" s="10" t="n">
        <x:f>G1049-F1049</x:f>
        <x:v>15638713380.410027</x:v>
      </x:c>
    </x:row>
    <x:row r="1050">
      <x:c r="A1050" s="7" t="str">
        <x:v>3509135</x:v>
      </x:c>
      <x:c r="B1050" s="7" t="str">
        <x:v>RS Bina Sehat Jember</x:v>
      </x:c>
      <x:c r="C1050" s="7" t="str">
        <x:v>C</x:v>
      </x:c>
      <x:c r="D1050" s="7" t="str">
        <x:v>JEMBER</x:v>
      </x:c>
      <x:c r="E1050" s="8">
        <x:v>88335</x:v>
      </x:c>
      <x:c r="F1050" s="9">
        <x:v>84639450050</x:v>
      </x:c>
      <x:c r="G1050" s="9">
        <x:v>105954168554.31999</x:v>
      </x:c>
      <x:c r="H1050" s="10" t="n">
        <x:f>G1050-F1050</x:f>
        <x:v>21314718504.319992</x:v>
      </x:c>
    </x:row>
    <x:row r="1051">
      <x:c r="A1051" s="7" t="str">
        <x:v>3509136</x:v>
      </x:c>
      <x:c r="B1051" s="7" t="str">
        <x:v>RS Umum Citra Husada Jember</x:v>
      </x:c>
      <x:c r="C1051" s="7" t="str">
        <x:v>C</x:v>
      </x:c>
      <x:c r="D1051" s="7" t="str">
        <x:v>JEMBER</x:v>
      </x:c>
      <x:c r="E1051" s="8">
        <x:v>70472</x:v>
      </x:c>
      <x:c r="F1051" s="9">
        <x:v>44789773250</x:v>
      </x:c>
      <x:c r="G1051" s="9">
        <x:v>53562689836.45998</x:v>
      </x:c>
      <x:c r="H1051" s="10" t="n">
        <x:f>G1051-F1051</x:f>
        <x:v>8772916586.459976</x:v>
      </x:c>
    </x:row>
    <x:row r="1052">
      <x:c r="A1052" s="7" t="str">
        <x:v>3509137</x:v>
      </x:c>
      <x:c r="B1052" s="7" t="str">
        <x:v>RS Umum Srikandi IBI Jember</x:v>
      </x:c>
      <x:c r="C1052" s="7" t="str">
        <x:v>C</x:v>
      </x:c>
      <x:c r="D1052" s="7" t="str">
        <x:v>JEMBER</x:v>
      </x:c>
      <x:c r="E1052" s="8">
        <x:v>7182</x:v>
      </x:c>
      <x:c r="F1052" s="9">
        <x:v>9991321000</x:v>
      </x:c>
      <x:c r="G1052" s="9">
        <x:v>11127920468.329988</x:v>
      </x:c>
      <x:c r="H1052" s="10" t="n">
        <x:f>G1052-F1052</x:f>
        <x:v>1136599468.3299885</x:v>
      </x:c>
    </x:row>
    <x:row r="1053">
      <x:c r="A1053" s="7" t="str">
        <x:v>3509138</x:v>
      </x:c>
      <x:c r="B1053" s="7" t="str">
        <x:v>RS Kaliwates Jember</x:v>
      </x:c>
      <x:c r="C1053" s="7" t="str">
        <x:v>C</x:v>
      </x:c>
      <x:c r="D1053" s="7" t="str">
        <x:v>JEMBER</x:v>
      </x:c>
      <x:c r="E1053" s="8">
        <x:v>93021</x:v>
      </x:c>
      <x:c r="F1053" s="9">
        <x:v>65451968300</x:v>
      </x:c>
      <x:c r="G1053" s="9">
        <x:v>84224542566.2</x:v>
      </x:c>
      <x:c r="H1053" s="10" t="n">
        <x:f>G1053-F1053</x:f>
        <x:v>18772574266.199997</x:v>
      </x:c>
    </x:row>
    <x:row r="1054">
      <x:c r="A1054" s="7" t="str">
        <x:v>3509140</x:v>
      </x:c>
      <x:c r="B1054" s="7" t="str">
        <x:v>RS Siloam Jember</x:v>
      </x:c>
      <x:c r="C1054" s="7" t="str">
        <x:v>C</x:v>
      </x:c>
      <x:c r="D1054" s="7" t="str">
        <x:v>JEMBER</x:v>
      </x:c>
      <x:c r="E1054" s="8">
        <x:v>55581</x:v>
      </x:c>
      <x:c r="F1054" s="9">
        <x:v>40240197600</x:v>
      </x:c>
      <x:c r="G1054" s="9">
        <x:v>49637402894.859985</x:v>
      </x:c>
      <x:c r="H1054" s="10" t="n">
        <x:f>G1054-F1054</x:f>
        <x:v>9397205294.859985</x:v>
      </x:c>
    </x:row>
    <x:row r="1055">
      <x:c r="A1055" s="7" t="str">
        <x:v>3509151</x:v>
      </x:c>
      <x:c r="B1055" s="7" t="str">
        <x:v>RS Umum Universitas Muhammadiyah Jember</x:v>
      </x:c>
      <x:c r="C1055" s="7" t="str">
        <x:v>C</x:v>
      </x:c>
      <x:c r="D1055" s="7" t="str">
        <x:v>JEMBER</x:v>
      </x:c>
      <x:c r="E1055" s="8">
        <x:v>13991</x:v>
      </x:c>
      <x:c r="F1055" s="9">
        <x:v>16234064200</x:v>
      </x:c>
      <x:c r="G1055" s="9">
        <x:v>21663295098.470005</x:v>
      </x:c>
      <x:c r="H1055" s="10" t="n">
        <x:f>G1055-F1055</x:f>
        <x:v>5429230898.470005</x:v>
      </x:c>
    </x:row>
    <x:row r="1056">
      <x:c r="A1056" s="7" t="str">
        <x:v>3510010</x:v>
      </x:c>
      <x:c r="B1056" s="7" t="str">
        <x:v>RS Umum Daerah Blambangan</x:v>
      </x:c>
      <x:c r="C1056" s="7" t="str">
        <x:v>B</x:v>
      </x:c>
      <x:c r="D1056" s="7" t="str">
        <x:v>BANYUWANGI</x:v>
      </x:c>
      <x:c r="E1056" s="8">
        <x:v>89068</x:v>
      </x:c>
      <x:c r="F1056" s="9">
        <x:v>77368383830</x:v>
      </x:c>
      <x:c r="G1056" s="9">
        <x:v>93010688360.60004</x:v>
      </x:c>
      <x:c r="H1056" s="10" t="n">
        <x:f>G1056-F1056</x:f>
        <x:v>15642304530.600037</x:v>
      </x:c>
    </x:row>
    <x:row r="1057">
      <x:c r="A1057" s="7" t="str">
        <x:v>3510021</x:v>
      </x:c>
      <x:c r="B1057" s="7" t="str">
        <x:v>RS Umum Bhakti Husada</x:v>
      </x:c>
      <x:c r="C1057" s="7" t="str">
        <x:v>C</x:v>
      </x:c>
      <x:c r="D1057" s="7" t="str">
        <x:v>BANYUWANGI</x:v>
      </x:c>
      <x:c r="E1057" s="8">
        <x:v>38178</x:v>
      </x:c>
      <x:c r="F1057" s="9">
        <x:v>27459788300</x:v>
      </x:c>
      <x:c r="G1057" s="9">
        <x:v>33624232012.559998</x:v>
      </x:c>
      <x:c r="H1057" s="10" t="n">
        <x:f>G1057-F1057</x:f>
        <x:v>6164443712.559998</x:v>
      </x:c>
    </x:row>
    <x:row r="1058">
      <x:c r="A1058" s="7" t="str">
        <x:v>3510043</x:v>
      </x:c>
      <x:c r="B1058" s="7" t="str">
        <x:v>RS Umum Daerah Genteng</x:v>
      </x:c>
      <x:c r="C1058" s="7" t="str">
        <x:v>C</x:v>
      </x:c>
      <x:c r="D1058" s="7" t="str">
        <x:v>BANYUWANGI</x:v>
      </x:c>
      <x:c r="E1058" s="8">
        <x:v>50229</x:v>
      </x:c>
      <x:c r="F1058" s="9">
        <x:v>33177071230</x:v>
      </x:c>
      <x:c r="G1058" s="9">
        <x:v>44584588746.65001</x:v>
      </x:c>
      <x:c r="H1058" s="10" t="n">
        <x:f>G1058-F1058</x:f>
        <x:v>11407517516.65001</x:v>
      </x:c>
    </x:row>
    <x:row r="1059">
      <x:c r="A1059" s="7" t="str">
        <x:v>3510054</x:v>
      </x:c>
      <x:c r="B1059" s="7" t="str">
        <x:v>RS Islam Fatimah</x:v>
      </x:c>
      <x:c r="C1059" s="7" t="str">
        <x:v>C</x:v>
      </x:c>
      <x:c r="D1059" s="7" t="str">
        <x:v>BANYUWANGI</x:v>
      </x:c>
      <x:c r="E1059" s="8">
        <x:v>16785</x:v>
      </x:c>
      <x:c r="F1059" s="9">
        <x:v>20549253400</x:v>
      </x:c>
      <x:c r="G1059" s="9">
        <x:v>24624947491.500004</x:v>
      </x:c>
      <x:c r="H1059" s="10" t="n">
        <x:f>G1059-F1059</x:f>
        <x:v>4075694091.500004</x:v>
      </x:c>
    </x:row>
    <x:row r="1060">
      <x:c r="A1060" s="7" t="str">
        <x:v>3510076</x:v>
      </x:c>
      <x:c r="B1060" s="7" t="str">
        <x:v>RS Yasmin</x:v>
      </x:c>
      <x:c r="C1060" s="7" t="str">
        <x:v>C</x:v>
      </x:c>
      <x:c r="D1060" s="7" t="str">
        <x:v>BANYUWANGI</x:v>
      </x:c>
      <x:c r="E1060" s="8">
        <x:v>46137</x:v>
      </x:c>
      <x:c r="F1060" s="9">
        <x:v>30314984100</x:v>
      </x:c>
      <x:c r="G1060" s="9">
        <x:v>37355903955.14</x:v>
      </x:c>
      <x:c r="H1060" s="10" t="n">
        <x:f>G1060-F1060</x:f>
        <x:v>7040919855.139999</x:v>
      </x:c>
    </x:row>
    <x:row r="1061">
      <x:c r="A1061" s="7" t="str">
        <x:v>3510102</x:v>
      </x:c>
      <x:c r="B1061" s="7" t="str">
        <x:v>RS Nahdlatul Ulama Banyuwangi</x:v>
      </x:c>
      <x:c r="C1061" s="7" t="str">
        <x:v>C</x:v>
      </x:c>
      <x:c r="D1061" s="7" t="str">
        <x:v>BANYUWANGI</x:v>
      </x:c>
      <x:c r="E1061" s="8">
        <x:v>21139</x:v>
      </x:c>
      <x:c r="F1061" s="9">
        <x:v>20445998300</x:v>
      </x:c>
      <x:c r="G1061" s="9">
        <x:v>24875355649.009995</x:v>
      </x:c>
      <x:c r="H1061" s="10" t="n">
        <x:f>G1061-F1061</x:f>
        <x:v>4429357349.0099945</x:v>
      </x:c>
    </x:row>
    <x:row r="1062">
      <x:c r="A1062" s="7" t="str">
        <x:v>3510103</x:v>
      </x:c>
      <x:c r="B1062" s="7" t="str">
        <x:v>RS Al Huda</x:v>
      </x:c>
      <x:c r="C1062" s="7" t="str">
        <x:v>C</x:v>
      </x:c>
      <x:c r="D1062" s="7" t="str">
        <x:v>BANYUWANGI</x:v>
      </x:c>
      <x:c r="E1062" s="8">
        <x:v>71148</x:v>
      </x:c>
      <x:c r="F1062" s="9">
        <x:v>59578400100</x:v>
      </x:c>
      <x:c r="G1062" s="9">
        <x:v>76650315624.48999</x:v>
      </x:c>
      <x:c r="H1062" s="10" t="n">
        <x:f>G1062-F1062</x:f>
        <x:v>17071915524.48999</x:v>
      </x:c>
    </x:row>
    <x:row r="1063">
      <x:c r="A1063" s="7" t="str">
        <x:v>3510104</x:v>
      </x:c>
      <x:c r="B1063" s="7" t="str">
        <x:v>RS Umum PKU Muhammadiyah Rogojampi</x:v>
      </x:c>
      <x:c r="C1063" s="7" t="str">
        <x:v>D</x:v>
      </x:c>
      <x:c r="D1063" s="7" t="str">
        <x:v>BANYUWANGI</x:v>
      </x:c>
      <x:c r="E1063" s="8">
        <x:v>10509</x:v>
      </x:c>
      <x:c r="F1063" s="9">
        <x:v>7480492900</x:v>
      </x:c>
      <x:c r="G1063" s="9">
        <x:v>9830525042.869999</x:v>
      </x:c>
      <x:c r="H1063" s="10" t="n">
        <x:f>G1063-F1063</x:f>
        <x:v>2350032142.869999</x:v>
      </x:c>
    </x:row>
    <x:row r="1064">
      <x:c r="A1064" s="7" t="str">
        <x:v>3510105</x:v>
      </x:c>
      <x:c r="B1064" s="7" t="str">
        <x:v>RS Umum Bakti Mulia Banyuwangi</x:v>
      </x:c>
      <x:c r="C1064" s="7" t="str">
        <x:v>D</x:v>
      </x:c>
      <x:c r="D1064" s="7" t="str">
        <x:v>BANYUWANGI</x:v>
      </x:c>
      <x:c r="E1064" s="8">
        <x:v>6723</x:v>
      </x:c>
      <x:c r="F1064" s="9">
        <x:v>6577652100</x:v>
      </x:c>
      <x:c r="G1064" s="9">
        <x:v>9621233776.460007</x:v>
      </x:c>
      <x:c r="H1064" s="10" t="n">
        <x:f>G1064-F1064</x:f>
        <x:v>3043581676.4600067</x:v>
      </x:c>
    </x:row>
    <x:row r="1065">
      <x:c r="A1065" s="7" t="str">
        <x:v>3510106</x:v>
      </x:c>
      <x:c r="B1065" s="7" t="str">
        <x:v>RS Graha Medika</x:v>
      </x:c>
      <x:c r="C1065" s="7" t="str">
        <x:v>C</x:v>
      </x:c>
      <x:c r="D1065" s="7" t="str">
        <x:v>BANYUWANGI</x:v>
      </x:c>
      <x:c r="E1065" s="8">
        <x:v>31940</x:v>
      </x:c>
      <x:c r="F1065" s="9">
        <x:v>29544875900</x:v>
      </x:c>
      <x:c r="G1065" s="9">
        <x:v>37055700490.380005</x:v>
      </x:c>
      <x:c r="H1065" s="10" t="n">
        <x:f>G1065-F1065</x:f>
        <x:v>7510824590.380005</x:v>
      </x:c>
    </x:row>
    <x:row r="1066">
      <x:c r="A1066" s="7" t="str">
        <x:v>3510107</x:v>
      </x:c>
      <x:c r="B1066" s="7" t="str">
        <x:v>RS Umum Abdhi Famili</x:v>
      </x:c>
      <x:c r="C1066" s="7" t="str">
        <x:v>D</x:v>
      </x:c>
      <x:c r="D1066" s="7" t="str">
        <x:v>BANYUWANGI</x:v>
      </x:c>
      <x:c r="E1066" s="8">
        <x:v>1542</x:v>
      </x:c>
      <x:c r="F1066" s="9">
        <x:v>2281078500</x:v>
      </x:c>
      <x:c r="G1066" s="9">
        <x:v>2875989799.4900007</x:v>
      </x:c>
      <x:c r="H1066" s="10" t="n">
        <x:f>G1066-F1066</x:f>
        <x:v>594911299.4900007</x:v>
      </x:c>
    </x:row>
    <x:row r="1067">
      <x:c r="A1067" s="7" t="str">
        <x:v>3510108</x:v>
      </x:c>
      <x:c r="B1067" s="7" t="str">
        <x:v>RS Al-Rohmah Banyuwangi</x:v>
      </x:c>
      <x:c r="C1067" s="7" t="str">
        <x:v>D</x:v>
      </x:c>
      <x:c r="D1067" s="7" t="str">
        <x:v>BANYUWANGI</x:v>
      </x:c>
      <x:c r="E1067" s="8">
        <x:v>2832</x:v>
      </x:c>
      <x:c r="F1067" s="9">
        <x:v>3424491300</x:v>
      </x:c>
      <x:c r="G1067" s="9">
        <x:v>4981772077.970001</x:v>
      </x:c>
      <x:c r="H1067" s="10" t="n">
        <x:f>G1067-F1067</x:f>
        <x:v>1557280777.9700012</x:v>
      </x:c>
    </x:row>
    <x:row r="1068">
      <x:c r="A1068" s="7" t="str">
        <x:v>3510109</x:v>
      </x:c>
      <x:c r="B1068" s="7" t="str">
        <x:v>RS Umum Rahayu Medika</x:v>
      </x:c>
      <x:c r="C1068" s="7" t="str">
        <x:v>D</x:v>
      </x:c>
      <x:c r="D1068" s="7" t="str">
        <x:v>BANYUWANGI</x:v>
      </x:c>
      <x:c r="E1068" s="8">
        <x:v>2782</x:v>
      </x:c>
      <x:c r="F1068" s="9">
        <x:v>4139596500</x:v>
      </x:c>
      <x:c r="G1068" s="9">
        <x:v>5696692177.529999</x:v>
      </x:c>
      <x:c r="H1068" s="10" t="n">
        <x:f>G1068-F1068</x:f>
        <x:v>1557095677.5299988</x:v>
      </x:c>
    </x:row>
    <x:row r="1069">
      <x:c r="A1069" s="7" t="str">
        <x:v>3511011</x:v>
      </x:c>
      <x:c r="B1069" s="7" t="str">
        <x:v>RS Umum dr. H.Koesnadi Bondowoso</x:v>
      </x:c>
      <x:c r="C1069" s="7" t="str">
        <x:v>B</x:v>
      </x:c>
      <x:c r="D1069" s="7" t="str">
        <x:v>BONDOWOSO</x:v>
      </x:c>
      <x:c r="E1069" s="8">
        <x:v>90473</x:v>
      </x:c>
      <x:c r="F1069" s="9">
        <x:v>84058345270</x:v>
      </x:c>
      <x:c r="G1069" s="9">
        <x:v>89366669334.54997</x:v>
      </x:c>
      <x:c r="H1069" s="10" t="n">
        <x:f>G1069-F1069</x:f>
        <x:v>5308324064.549973</x:v>
      </x:c>
    </x:row>
    <x:row r="1070">
      <x:c r="A1070" s="7" t="str">
        <x:v>3511012</x:v>
      </x:c>
      <x:c r="B1070" s="7" t="str">
        <x:v>RS Bhayangkara Bondowoso</x:v>
      </x:c>
      <x:c r="C1070" s="7" t="str">
        <x:v>C</x:v>
      </x:c>
      <x:c r="D1070" s="7" t="str">
        <x:v>BONDOWOSO</x:v>
      </x:c>
      <x:c r="E1070" s="8">
        <x:v>58856</x:v>
      </x:c>
      <x:c r="F1070" s="9">
        <x:v>41373962300</x:v>
      </x:c>
      <x:c r="G1070" s="9">
        <x:v>52469748116.19998</x:v>
      </x:c>
      <x:c r="H1070" s="10" t="n">
        <x:f>G1070-F1070</x:f>
        <x:v>11095785816.199982</x:v>
      </x:c>
    </x:row>
    <x:row r="1071">
      <x:c r="A1071" s="7" t="str">
        <x:v>3511013</x:v>
      </x:c>
      <x:c r="B1071" s="7" t="str">
        <x:v>RS Mitra Medika Bondowoso</x:v>
      </x:c>
      <x:c r="C1071" s="7" t="str">
        <x:v>C</x:v>
      </x:c>
      <x:c r="D1071" s="7" t="str">
        <x:v>BONDOWOSO</x:v>
      </x:c>
      <x:c r="E1071" s="8">
        <x:v>38068</x:v>
      </x:c>
      <x:c r="F1071" s="9">
        <x:v>26585363500</x:v>
      </x:c>
      <x:c r="G1071" s="9">
        <x:v>32066955765.460014</x:v>
      </x:c>
      <x:c r="H1071" s="10" t="n">
        <x:f>G1071-F1071</x:f>
        <x:v>5481592265.460014</x:v>
      </x:c>
    </x:row>
    <x:row r="1072">
      <x:c r="A1072" s="7" t="str">
        <x:v>3512012</x:v>
      </x:c>
      <x:c r="B1072" s="7" t="str">
        <x:v>RS Umum Daerah dr. Abdoer Rahem Situbondo</x:v>
      </x:c>
      <x:c r="C1072" s="7" t="str">
        <x:v>C</x:v>
      </x:c>
      <x:c r="D1072" s="7" t="str">
        <x:v>SITUBONDO</x:v>
      </x:c>
      <x:c r="E1072" s="8">
        <x:v>49740</x:v>
      </x:c>
      <x:c r="F1072" s="9">
        <x:v>41953568985</x:v>
      </x:c>
      <x:c r="G1072" s="9">
        <x:v>55874546596.34998</x:v>
      </x:c>
      <x:c r="H1072" s="10" t="n">
        <x:f>G1072-F1072</x:f>
        <x:v>13920977611.349983</x:v>
      </x:c>
    </x:row>
    <x:row r="1073">
      <x:c r="A1073" s="7" t="str">
        <x:v>3512034</x:v>
      </x:c>
      <x:c r="B1073" s="7" t="str">
        <x:v>RS Elizabeth</x:v>
      </x:c>
      <x:c r="C1073" s="7" t="str">
        <x:v>C</x:v>
      </x:c>
      <x:c r="D1073" s="7" t="str">
        <x:v>SITUBONDO</x:v>
      </x:c>
      <x:c r="E1073" s="8">
        <x:v>58915</x:v>
      </x:c>
      <x:c r="F1073" s="9">
        <x:v>44869585400</x:v>
      </x:c>
      <x:c r="G1073" s="9">
        <x:v>53214085984.96998</x:v>
      </x:c>
      <x:c r="H1073" s="10" t="n">
        <x:f>G1073-F1073</x:f>
        <x:v>8344500584.969978</x:v>
      </x:c>
    </x:row>
    <x:row r="1074">
      <x:c r="A1074" s="7" t="str">
        <x:v>3512035</x:v>
      </x:c>
      <x:c r="B1074" s="7" t="str">
        <x:v>RS Umum Fatimah Lamongan</x:v>
      </x:c>
      <x:c r="C1074" s="7" t="str">
        <x:v>C</x:v>
      </x:c>
      <x:c r="D1074" s="7" t="str">
        <x:v>LAMONGAN</x:v>
      </x:c>
      <x:c r="E1074" s="8">
        <x:v>4661</x:v>
      </x:c>
      <x:c r="F1074" s="9">
        <x:v>11596859100</x:v>
      </x:c>
      <x:c r="G1074" s="9">
        <x:v>13226917527.86</x:v>
      </x:c>
      <x:c r="H1074" s="10" t="n">
        <x:f>G1074-F1074</x:f>
        <x:v>1630058427.8600006</x:v>
      </x:c>
    </x:row>
    <x:row r="1075">
      <x:c r="A1075" s="7" t="str">
        <x:v>3512036</x:v>
      </x:c>
      <x:c r="B1075" s="7" t="str">
        <x:v>RS Umum Daerah Besuki Kabupaten Situbondo</x:v>
      </x:c>
      <x:c r="C1075" s="7" t="str">
        <x:v>D</x:v>
      </x:c>
      <x:c r="D1075" s="7" t="str">
        <x:v>SITUBONDO</x:v>
      </x:c>
      <x:c r="E1075" s="8">
        <x:v>15982</x:v>
      </x:c>
      <x:c r="F1075" s="9">
        <x:v>14913219900</x:v>
      </x:c>
      <x:c r="G1075" s="9">
        <x:v>22336728251.889996</x:v>
      </x:c>
      <x:c r="H1075" s="10" t="n">
        <x:f>G1075-F1075</x:f>
        <x:v>7423508351.889996</x:v>
      </x:c>
    </x:row>
    <x:row r="1076">
      <x:c r="A1076" s="7" t="str">
        <x:v>3512037</x:v>
      </x:c>
      <x:c r="B1076" s="7" t="str">
        <x:v>RS Umum Daerah Asembagus Kabupaten Situbondo</x:v>
      </x:c>
      <x:c r="C1076" s="7" t="str">
        <x:v>D</x:v>
      </x:c>
      <x:c r="D1076" s="7" t="str">
        <x:v>SITUBONDO</x:v>
      </x:c>
      <x:c r="E1076" s="8">
        <x:v>15418</x:v>
      </x:c>
      <x:c r="F1076" s="9">
        <x:v>13135310000</x:v>
      </x:c>
      <x:c r="G1076" s="9">
        <x:v>20488297451.249992</x:v>
      </x:c>
      <x:c r="H1076" s="10" t="n">
        <x:f>G1076-F1076</x:f>
        <x:v>7352987451.249992</x:v>
      </x:c>
    </x:row>
    <x:row r="1077">
      <x:c r="A1077" s="7" t="str">
        <x:v>3512038</x:v>
      </x:c>
      <x:c r="B1077" s="7" t="str">
        <x:v>RS Umum Mitra Sehat Kabupaten Situbondo</x:v>
      </x:c>
      <x:c r="C1077" s="7" t="str">
        <x:v>C</x:v>
      </x:c>
      <x:c r="D1077" s="7" t="str">
        <x:v>SITUBONDO</x:v>
      </x:c>
      <x:c r="E1077" s="8">
        <x:v>16377</x:v>
      </x:c>
      <x:c r="F1077" s="9">
        <x:v>15750384700</x:v>
      </x:c>
      <x:c r="G1077" s="9">
        <x:v>19766222512.979992</x:v>
      </x:c>
      <x:c r="H1077" s="10" t="n">
        <x:f>G1077-F1077</x:f>
        <x:v>4015837812.979992</x:v>
      </x:c>
    </x:row>
    <x:row r="1078">
      <x:c r="A1078" s="7" t="str">
        <x:v>3512050</x:v>
      </x:c>
      <x:c r="B1078" s="7" t="str">
        <x:v>RS Ibu dan Anak Karinda Husada</x:v>
      </x:c>
      <x:c r="C1078" s="7" t="str">
        <x:v>C</x:v>
      </x:c>
      <x:c r="D1078" s="7" t="str">
        <x:v>SITUBONDO</x:v>
      </x:c>
      <x:c r="E1078" s="8">
        <x:v>1451</x:v>
      </x:c>
      <x:c r="F1078" s="9">
        <x:v>3708213900</x:v>
      </x:c>
      <x:c r="G1078" s="9">
        <x:v>4753342623.010001</x:v>
      </x:c>
      <x:c r="H1078" s="10" t="n">
        <x:f>G1078-F1078</x:f>
        <x:v>1045128723.0100012</x:v>
      </x:c>
    </x:row>
    <x:row r="1079">
      <x:c r="A1079" s="7" t="str">
        <x:v>3512051</x:v>
      </x:c>
      <x:c r="B1079" s="7" t="str">
        <x:v>RS Mata Situbondo</x:v>
      </x:c>
      <x:c r="C1079" s="7" t="str">
        <x:v>C</x:v>
      </x:c>
      <x:c r="D1079" s="7" t="str">
        <x:v>SITUBONDO</x:v>
      </x:c>
      <x:c r="E1079" s="8">
        <x:v>5295</x:v>
      </x:c>
      <x:c r="F1079" s="9">
        <x:v>3679489600</x:v>
      </x:c>
      <x:c r="G1079" s="9">
        <x:v>4094613936.3</x:v>
      </x:c>
      <x:c r="H1079" s="10" t="n">
        <x:f>G1079-F1079</x:f>
        <x:v>415124336.3000002</x:v>
      </x:c>
    </x:row>
    <x:row r="1080">
      <x:c r="A1080" s="7" t="str">
        <x:v>3513013</x:v>
      </x:c>
      <x:c r="B1080" s="7" t="str">
        <x:v>RS Umum Daerah Waluyo Jati Kraksaan</x:v>
      </x:c>
      <x:c r="C1080" s="7" t="str">
        <x:v>B</x:v>
      </x:c>
      <x:c r="D1080" s="7" t="str">
        <x:v>PROBOLINGGO</x:v>
      </x:c>
      <x:c r="E1080" s="8">
        <x:v>53170</x:v>
      </x:c>
      <x:c r="F1080" s="9">
        <x:v>76380919485</x:v>
      </x:c>
      <x:c r="G1080" s="9">
        <x:v>88302385209.86002</x:v>
      </x:c>
      <x:c r="H1080" s="10" t="n">
        <x:f>G1080-F1080</x:f>
        <x:v>11921465724.860016</x:v>
      </x:c>
    </x:row>
    <x:row r="1081">
      <x:c r="A1081" s="7" t="str">
        <x:v>3513024</x:v>
      </x:c>
      <x:c r="B1081" s="7" t="str">
        <x:v>RS Graha Sehat</x:v>
      </x:c>
      <x:c r="C1081" s="7" t="str">
        <x:v>C</x:v>
      </x:c>
      <x:c r="D1081" s="7" t="str">
        <x:v>PROBOLINGGO</x:v>
      </x:c>
      <x:c r="E1081" s="8">
        <x:v>18049</x:v>
      </x:c>
      <x:c r="F1081" s="9">
        <x:v>22654551800</x:v>
      </x:c>
      <x:c r="G1081" s="9">
        <x:v>27207761691.22</x:v>
      </x:c>
      <x:c r="H1081" s="10" t="n">
        <x:f>G1081-F1081</x:f>
        <x:v>4553209891.220001</x:v>
      </x:c>
    </x:row>
    <x:row r="1082">
      <x:c r="A1082" s="7" t="str">
        <x:v>3513025</x:v>
      </x:c>
      <x:c r="B1082" s="7" t="str">
        <x:v>RS Ibu dan Anak Fatimah Kraksaan</x:v>
      </x:c>
      <x:c r="C1082" s="7" t="str">
        <x:v>C</x:v>
      </x:c>
      <x:c r="D1082" s="7" t="str">
        <x:v>PROBOLINGGO</x:v>
      </x:c>
      <x:c r="E1082" s="8">
        <x:v>5640</x:v>
      </x:c>
      <x:c r="F1082" s="9">
        <x:v>8725291800</x:v>
      </x:c>
      <x:c r="G1082" s="9">
        <x:v>10017367102.09</x:v>
      </x:c>
      <x:c r="H1082" s="10" t="n">
        <x:f>G1082-F1082</x:f>
        <x:v>1292075302.0900002</x:v>
      </x:c>
    </x:row>
    <x:row r="1083">
      <x:c r="A1083" s="7" t="str">
        <x:v>3513026</x:v>
      </x:c>
      <x:c r="B1083" s="7" t="str">
        <x:v>RS Umum  Wonolangan</x:v>
      </x:c>
      <x:c r="C1083" s="7" t="str">
        <x:v>C</x:v>
      </x:c>
      <x:c r="D1083" s="7" t="str">
        <x:v>PROBOLINGGO</x:v>
      </x:c>
      <x:c r="E1083" s="8">
        <x:v>56070</x:v>
      </x:c>
      <x:c r="F1083" s="9">
        <x:v>41824823900</x:v>
      </x:c>
      <x:c r="G1083" s="9">
        <x:v>55995020673.149994</x:v>
      </x:c>
      <x:c r="H1083" s="10" t="n">
        <x:f>G1083-F1083</x:f>
        <x:v>14170196773.149994</x:v>
      </x:c>
    </x:row>
    <x:row r="1084">
      <x:c r="A1084" s="7" t="str">
        <x:v>3513027</x:v>
      </x:c>
      <x:c r="B1084" s="7" t="str">
        <x:v>RS Rizani</x:v>
      </x:c>
      <x:c r="C1084" s="7" t="str">
        <x:v>C</x:v>
      </x:c>
      <x:c r="D1084" s="7" t="str">
        <x:v>PROBOLINGGO</x:v>
      </x:c>
      <x:c r="E1084" s="8">
        <x:v>43620</x:v>
      </x:c>
      <x:c r="F1084" s="9">
        <x:v>54309551950</x:v>
      </x:c>
      <x:c r="G1084" s="9">
        <x:v>65470339047.91</x:v>
      </x:c>
      <x:c r="H1084" s="10" t="n">
        <x:f>G1084-F1084</x:f>
        <x:v>11160787097.910004</x:v>
      </x:c>
    </x:row>
    <x:row r="1085">
      <x:c r="A1085" s="7" t="str">
        <x:v>3513067</x:v>
      </x:c>
      <x:c r="B1085" s="7" t="str">
        <x:v>RS Umum Daerah Tongas</x:v>
      </x:c>
      <x:c r="C1085" s="7" t="str">
        <x:v>C</x:v>
      </x:c>
      <x:c r="D1085" s="7" t="str">
        <x:v>PROBOLINGGO</x:v>
      </x:c>
      <x:c r="E1085" s="8">
        <x:v>14512</x:v>
      </x:c>
      <x:c r="F1085" s="9">
        <x:v>15472390300</x:v>
      </x:c>
      <x:c r="G1085" s="9">
        <x:v>22451731677.41</x:v>
      </x:c>
      <x:c r="H1085" s="10" t="n">
        <x:f>G1085-F1085</x:f>
        <x:v>6979341377.41</x:v>
      </x:c>
    </x:row>
    <x:row r="1086">
      <x:c r="A1086" s="7" t="str">
        <x:v>3514025</x:v>
      </x:c>
      <x:c r="B1086" s="7" t="str">
        <x:v>RS Islam Masyithoh Bangil</x:v>
      </x:c>
      <x:c r="C1086" s="7" t="str">
        <x:v>C</x:v>
      </x:c>
      <x:c r="D1086" s="7" t="str">
        <x:v>PASURUAN</x:v>
      </x:c>
      <x:c r="E1086" s="8">
        <x:v>26066</x:v>
      </x:c>
      <x:c r="F1086" s="9">
        <x:v>20933976900</x:v>
      </x:c>
      <x:c r="G1086" s="9">
        <x:v>24249599662.629997</x:v>
      </x:c>
      <x:c r="H1086" s="10" t="n">
        <x:f>G1086-F1086</x:f>
        <x:v>3315622762.6299973</x:v>
      </x:c>
    </x:row>
    <x:row r="1087">
      <x:c r="A1087" s="7" t="str">
        <x:v>3514036</x:v>
      </x:c>
      <x:c r="B1087" s="7" t="str">
        <x:v>RS Umum Daerah Bangil</x:v>
      </x:c>
      <x:c r="C1087" s="7" t="str">
        <x:v>B</x:v>
      </x:c>
      <x:c r="D1087" s="7" t="str">
        <x:v>PASURUAN</x:v>
      </x:c>
      <x:c r="E1087" s="8">
        <x:v>133984</x:v>
      </x:c>
      <x:c r="F1087" s="9">
        <x:v>182581438565</x:v>
      </x:c>
      <x:c r="G1087" s="9">
        <x:v>200875508492.34</x:v>
      </x:c>
      <x:c r="H1087" s="10" t="n">
        <x:f>G1087-F1087</x:f>
        <x:v>18294069927.339996</x:v>
      </x:c>
    </x:row>
    <x:row r="1088">
      <x:c r="A1088" s="7" t="str">
        <x:v>3514052</x:v>
      </x:c>
      <x:c r="B1088" s="7" t="str">
        <x:v>RS Umum Bhayangkara Pusdik Brimob</x:v>
      </x:c>
      <x:c r="C1088" s="7" t="str">
        <x:v>C</x:v>
      </x:c>
      <x:c r="D1088" s="7" t="str">
        <x:v>PASURUAN</x:v>
      </x:c>
      <x:c r="E1088" s="8">
        <x:v>17225</x:v>
      </x:c>
      <x:c r="F1088" s="9">
        <x:v>16376621400</x:v>
      </x:c>
      <x:c r="G1088" s="9">
        <x:v>20523004556.530003</x:v>
      </x:c>
      <x:c r="H1088" s="10" t="n">
        <x:f>G1088-F1088</x:f>
        <x:v>4146383156.5300026</x:v>
      </x:c>
    </x:row>
    <x:row r="1089">
      <x:c r="A1089" s="7" t="str">
        <x:v>3514053</x:v>
      </x:c>
      <x:c r="B1089" s="7" t="str">
        <x:v>RS Mitra Sehat Medika</x:v>
      </x:c>
      <x:c r="C1089" s="7" t="str">
        <x:v>D</x:v>
      </x:c>
      <x:c r="D1089" s="7" t="str">
        <x:v>PASURUAN</x:v>
      </x:c>
      <x:c r="E1089" s="8">
        <x:v>15586</x:v>
      </x:c>
      <x:c r="F1089" s="9">
        <x:v>16748765300</x:v>
      </x:c>
      <x:c r="G1089" s="9">
        <x:v>20926787977.909992</x:v>
      </x:c>
      <x:c r="H1089" s="10" t="n">
        <x:f>G1089-F1089</x:f>
        <x:v>4178022677.909992</x:v>
      </x:c>
    </x:row>
    <x:row r="1090">
      <x:c r="A1090" s="7" t="str">
        <x:v>3514054</x:v>
      </x:c>
      <x:c r="B1090" s="7" t="str">
        <x:v>RS Sahabat</x:v>
      </x:c>
      <x:c r="C1090" s="7" t="str">
        <x:v>D</x:v>
      </x:c>
      <x:c r="D1090" s="7" t="str">
        <x:v>PASURUAN</x:v>
      </x:c>
      <x:c r="E1090" s="8">
        <x:v>12588</x:v>
      </x:c>
      <x:c r="F1090" s="9">
        <x:v>14419885100</x:v>
      </x:c>
      <x:c r="G1090" s="9">
        <x:v>19127388354.38</x:v>
      </x:c>
      <x:c r="H1090" s="10" t="n">
        <x:f>G1090-F1090</x:f>
        <x:v>4707503254.380001</x:v>
      </x:c>
    </x:row>
    <x:row r="1091">
      <x:c r="A1091" s="7" t="str">
        <x:v>3514057</x:v>
      </x:c>
      <x:c r="B1091" s="7" t="str">
        <x:v>RS Graha Sehat Medika</x:v>
      </x:c>
      <x:c r="C1091" s="7" t="str">
        <x:v>D</x:v>
      </x:c>
      <x:c r="D1091" s="7" t="str">
        <x:v>KOTA PASURUAN</x:v>
      </x:c>
      <x:c r="E1091" s="8">
        <x:v>25422</x:v>
      </x:c>
      <x:c r="F1091" s="9">
        <x:v>24217758300</x:v>
      </x:c>
      <x:c r="G1091" s="9">
        <x:v>30950358085.030003</x:v>
      </x:c>
      <x:c r="H1091" s="10" t="n">
        <x:f>G1091-F1091</x:f>
        <x:v>6732599785.030003</x:v>
      </x:c>
    </x:row>
    <x:row r="1092">
      <x:c r="A1092" s="7" t="str">
        <x:v>3514058</x:v>
      </x:c>
      <x:c r="B1092" s="7" t="str">
        <x:v>RS Umum Daerah Grati</x:v>
      </x:c>
      <x:c r="C1092" s="7" t="str">
        <x:v>C</x:v>
      </x:c>
      <x:c r="D1092" s="7" t="str">
        <x:v>PASURUAN</x:v>
      </x:c>
      <x:c r="E1092" s="8">
        <x:v>49135</x:v>
      </x:c>
      <x:c r="F1092" s="9">
        <x:v>45804545500</x:v>
      </x:c>
      <x:c r="G1092" s="9">
        <x:v>59906865216.899994</x:v>
      </x:c>
      <x:c r="H1092" s="10" t="n">
        <x:f>G1092-F1092</x:f>
        <x:v>14102319716.899994</x:v>
      </x:c>
    </x:row>
    <x:row r="1093">
      <x:c r="A1093" s="7" t="str">
        <x:v>3514059</x:v>
      </x:c>
      <x:c r="B1093" s="7" t="str">
        <x:v>RS Prima Husada</x:v>
      </x:c>
      <x:c r="C1093" s="7" t="str">
        <x:v>C</x:v>
      </x:c>
      <x:c r="D1093" s="7" t="str">
        <x:v>KOTA PASURUAN</x:v>
      </x:c>
      <x:c r="E1093" s="8">
        <x:v>70569</x:v>
      </x:c>
      <x:c r="F1093" s="9">
        <x:v>70739924000</x:v>
      </x:c>
      <x:c r="G1093" s="9">
        <x:v>84830345666.33</x:v>
      </x:c>
      <x:c r="H1093" s="10" t="n">
        <x:f>G1093-F1093</x:f>
        <x:v>14090421666.330002</x:v>
      </x:c>
    </x:row>
    <x:row r="1094">
      <x:c r="A1094" s="7" t="str">
        <x:v>3515015</x:v>
      </x:c>
      <x:c r="B1094" s="7" t="str">
        <x:v>RS Umum Daerah R. T. Notopuro Sidoarjo</x:v>
      </x:c>
      <x:c r="C1094" s="7" t="str">
        <x:v>A</x:v>
      </x:c>
      <x:c r="D1094" s="7" t="str">
        <x:v>SIDOARJO</x:v>
      </x:c>
      <x:c r="E1094" s="8">
        <x:v>166045</x:v>
      </x:c>
      <x:c r="F1094" s="9">
        <x:v>355589492600</x:v>
      </x:c>
      <x:c r="G1094" s="9">
        <x:v>276721559849.8802</x:v>
      </x:c>
      <x:c r="H1094" s="10" t="n">
        <x:f>G1094-F1094</x:f>
        <x:v>-78867932750.11981</x:v>
      </x:c>
    </x:row>
    <x:row r="1095">
      <x:c r="A1095" s="7" t="str">
        <x:v>3515026</x:v>
      </x:c>
      <x:c r="B1095" s="7" t="str">
        <x:v>RS Umum Siti Khodijah Muhammadiyah Cabang Sepanjan</x:v>
      </x:c>
      <x:c r="C1095" s="7" t="str">
        <x:v>B</x:v>
      </x:c>
      <x:c r="D1095" s="7" t="str">
        <x:v>SIDOARJO</x:v>
      </x:c>
      <x:c r="E1095" s="8">
        <x:v>140532</x:v>
      </x:c>
      <x:c r="F1095" s="9">
        <x:v>149977937420</x:v>
      </x:c>
      <x:c r="G1095" s="9">
        <x:v>161250335924.72003</x:v>
      </x:c>
      <x:c r="H1095" s="10" t="n">
        <x:f>G1095-F1095</x:f>
        <x:v>11272398504.720032</x:v>
      </x:c>
    </x:row>
    <x:row r="1096">
      <x:c r="A1096" s="7" t="str">
        <x:v>3515030</x:v>
      </x:c>
      <x:c r="B1096" s="7" t="str">
        <x:v>RS Bhayangkara TK.III Pusdik Sabhara Porong</x:v>
      </x:c>
      <x:c r="C1096" s="7" t="str">
        <x:v>C</x:v>
      </x:c>
      <x:c r="D1096" s="7" t="str">
        <x:v>SIDOARJO</x:v>
      </x:c>
      <x:c r="E1096" s="8">
        <x:v>47144</x:v>
      </x:c>
      <x:c r="F1096" s="9">
        <x:v>39318172400</x:v>
      </x:c>
      <x:c r="G1096" s="9">
        <x:v>47359278418.26</x:v>
      </x:c>
      <x:c r="H1096" s="10" t="n">
        <x:f>G1096-F1096</x:f>
        <x:v>8041106018.260002</x:v>
      </x:c>
    </x:row>
    <x:row r="1097">
      <x:c r="A1097" s="7" t="str">
        <x:v>3515096</x:v>
      </x:c>
      <x:c r="B1097" s="7" t="str">
        <x:v>RS Umum Delta Surya</x:v>
      </x:c>
      <x:c r="C1097" s="7" t="str">
        <x:v>C</x:v>
      </x:c>
      <x:c r="D1097" s="7" t="str">
        <x:v>SIDOARJO</x:v>
      </x:c>
      <x:c r="E1097" s="8">
        <x:v>104487</x:v>
      </x:c>
      <x:c r="F1097" s="9">
        <x:v>58816017600</x:v>
      </x:c>
      <x:c r="G1097" s="9">
        <x:v>70058904471.31995</x:v>
      </x:c>
      <x:c r="H1097" s="10" t="n">
        <x:f>G1097-F1097</x:f>
        <x:v>11242886871.319946</x:v>
      </x:c>
    </x:row>
    <x:row r="1098">
      <x:c r="A1098" s="7" t="str">
        <x:v>3515106</x:v>
      </x:c>
      <x:c r="B1098" s="7" t="str">
        <x:v>RS Islam Siti Hajar Sidoarjo</x:v>
      </x:c>
      <x:c r="C1098" s="7" t="str">
        <x:v>B</x:v>
      </x:c>
      <x:c r="D1098" s="7" t="str">
        <x:v>SIDOARJO</x:v>
      </x:c>
      <x:c r="E1098" s="8">
        <x:v>166699</x:v>
      </x:c>
      <x:c r="F1098" s="9">
        <x:v>113334764760</x:v>
      </x:c>
      <x:c r="G1098" s="9">
        <x:v>118625692789.30002</x:v>
      </x:c>
      <x:c r="H1098" s="10" t="n">
        <x:f>G1098-F1098</x:f>
        <x:v>5290928029.300018</x:v>
      </x:c>
    </x:row>
    <x:row r="1099">
      <x:c r="A1099" s="7" t="str">
        <x:v>3515110</x:v>
      </x:c>
      <x:c r="B1099" s="7" t="str">
        <x:v>RS Umum Jasem</x:v>
      </x:c>
      <x:c r="C1099" s="7" t="str">
        <x:v>D</x:v>
      </x:c>
      <x:c r="D1099" s="7" t="str">
        <x:v>SIDOARJO</x:v>
      </x:c>
      <x:c r="E1099" s="8">
        <x:v>2636</x:v>
      </x:c>
      <x:c r="F1099" s="9">
        <x:v>2063566900</x:v>
      </x:c>
      <x:c r="G1099" s="9">
        <x:v>2456852542.250003</x:v>
      </x:c>
      <x:c r="H1099" s="10" t="n">
        <x:f>G1099-F1099</x:f>
        <x:v>393285642.25000286</x:v>
      </x:c>
    </x:row>
    <x:row r="1100">
      <x:c r="A1100" s="7" t="str">
        <x:v>3515121</x:v>
      </x:c>
      <x:c r="B1100" s="7" t="str">
        <x:v>RS Umum Anwar Medika</x:v>
      </x:c>
      <x:c r="C1100" s="7" t="str">
        <x:v>C</x:v>
      </x:c>
      <x:c r="D1100" s="7" t="str">
        <x:v>SIDOARJO</x:v>
      </x:c>
      <x:c r="E1100" s="8">
        <x:v>39847</x:v>
      </x:c>
      <x:c r="F1100" s="9">
        <x:v>39074321000</x:v>
      </x:c>
      <x:c r="G1100" s="9">
        <x:v>48774259656.18003</x:v>
      </x:c>
      <x:c r="H1100" s="10" t="n">
        <x:f>G1100-F1100</x:f>
        <x:v>9699938656.18003</x:v>
      </x:c>
    </x:row>
    <x:row r="1101">
      <x:c r="A1101" s="7" t="str">
        <x:v>3515122</x:v>
      </x:c>
      <x:c r="B1101" s="7" t="str">
        <x:v>RS Umum Mitra Keluarga Waru</x:v>
      </x:c>
      <x:c r="C1101" s="7" t="str">
        <x:v>B</x:v>
      </x:c>
      <x:c r="D1101" s="7" t="str">
        <x:v>SIDOARJO</x:v>
      </x:c>
      <x:c r="E1101" s="8">
        <x:v>22741</x:v>
      </x:c>
      <x:c r="F1101" s="9">
        <x:v>18283727200</x:v>
      </x:c>
      <x:c r="G1101" s="9">
        <x:v>18246206315.230003</x:v>
      </x:c>
      <x:c r="H1101" s="10" t="n">
        <x:f>G1101-F1101</x:f>
        <x:v>-37520884.76999664</x:v>
      </x:c>
    </x:row>
    <x:row r="1102">
      <x:c r="A1102" s="7" t="str">
        <x:v>3515126</x:v>
      </x:c>
      <x:c r="B1102" s="7" t="str">
        <x:v>RS Umum Al-Islam H. M. Mawardi</x:v>
      </x:c>
      <x:c r="C1102" s="7" t="str">
        <x:v>C</x:v>
      </x:c>
      <x:c r="D1102" s="7" t="str">
        <x:v>SIDOARJO</x:v>
      </x:c>
      <x:c r="E1102" s="8">
        <x:v>66297</x:v>
      </x:c>
      <x:c r="F1102" s="9">
        <x:v>38620318000</x:v>
      </x:c>
      <x:c r="G1102" s="9">
        <x:v>46384735510.25999</x:v>
      </x:c>
      <x:c r="H1102" s="10" t="n">
        <x:f>G1102-F1102</x:f>
        <x:v>7764417510.259987</x:v>
      </x:c>
    </x:row>
    <x:row r="1103">
      <x:c r="A1103" s="7" t="str">
        <x:v>3515127</x:v>
      </x:c>
      <x:c r="B1103" s="7" t="str">
        <x:v>RS Umum Assakinah Medika</x:v>
      </x:c>
      <x:c r="C1103" s="7" t="str">
        <x:v>D</x:v>
      </x:c>
      <x:c r="D1103" s="7" t="str">
        <x:v>SIDOARJO</x:v>
      </x:c>
      <x:c r="E1103" s="8">
        <x:v>23369</x:v>
      </x:c>
      <x:c r="F1103" s="9">
        <x:v>22652092400</x:v>
      </x:c>
      <x:c r="G1103" s="9">
        <x:v>28873867610.77001</x:v>
      </x:c>
      <x:c r="H1103" s="10" t="n">
        <x:f>G1103-F1103</x:f>
        <x:v>6221775210.770012</x:v>
      </x:c>
    </x:row>
    <x:row r="1104">
      <x:c r="A1104" s="7" t="str">
        <x:v>3515130</x:v>
      </x:c>
      <x:c r="B1104" s="7" t="str">
        <x:v>RS Umum Prima Husada</x:v>
      </x:c>
      <x:c r="C1104" s="7" t="str">
        <x:v>D</x:v>
      </x:c>
      <x:c r="D1104" s="7" t="str">
        <x:v>SIDOARJO</x:v>
      </x:c>
      <x:c r="E1104" s="8">
        <x:v>7115</x:v>
      </x:c>
      <x:c r="F1104" s="9">
        <x:v>8132053400</x:v>
      </x:c>
      <x:c r="G1104" s="9">
        <x:v>10100508748.749998</x:v>
      </x:c>
      <x:c r="H1104" s="10" t="n">
        <x:f>G1104-F1104</x:f>
        <x:v>1968455348.749998</x:v>
      </x:c>
    </x:row>
    <x:row r="1105">
      <x:c r="A1105" s="7" t="str">
        <x:v>3515131</x:v>
      </x:c>
      <x:c r="B1105" s="7" t="str">
        <x:v>RS Umum Citra Medika</x:v>
      </x:c>
      <x:c r="C1105" s="7" t="str">
        <x:v>C</x:v>
      </x:c>
      <x:c r="D1105" s="7" t="str">
        <x:v>SIDOARJO</x:v>
      </x:c>
      <x:c r="E1105" s="8">
        <x:v>53960</x:v>
      </x:c>
      <x:c r="F1105" s="9">
        <x:v>41500126400</x:v>
      </x:c>
      <x:c r="G1105" s="9">
        <x:v>49613023432.12999</x:v>
      </x:c>
      <x:c r="H1105" s="10" t="n">
        <x:f>G1105-F1105</x:f>
        <x:v>8112897032.12999</x:v>
      </x:c>
    </x:row>
    <x:row r="1106">
      <x:c r="A1106" s="7" t="str">
        <x:v>3515132</x:v>
      </x:c>
      <x:c r="B1106" s="7" t="str">
        <x:v>RS Umum Rahman Rahim</x:v>
      </x:c>
      <x:c r="C1106" s="7" t="str">
        <x:v>D</x:v>
      </x:c>
      <x:c r="D1106" s="7" t="str">
        <x:v>SIDOARJO</x:v>
      </x:c>
      <x:c r="E1106" s="8">
        <x:v>23300</x:v>
      </x:c>
      <x:c r="F1106" s="9">
        <x:v>17280757500</x:v>
      </x:c>
      <x:c r="G1106" s="9">
        <x:v>21926193087.919994</x:v>
      </x:c>
      <x:c r="H1106" s="10" t="n">
        <x:f>G1106-F1106</x:f>
        <x:v>4645435587.919994</x:v>
      </x:c>
    </x:row>
    <x:row r="1107">
      <x:c r="A1107" s="7" t="str">
        <x:v>3515135</x:v>
      </x:c>
      <x:c r="B1107" s="7" t="str">
        <x:v>RS Bantuan 05.08.03 Sidoarjo</x:v>
      </x:c>
      <x:c r="C1107" s="7" t="str">
        <x:v>D</x:v>
      </x:c>
      <x:c r="D1107" s="7" t="str">
        <x:v>SIDOARJO</x:v>
      </x:c>
      <x:c r="E1107" s="8">
        <x:v>7869</x:v>
      </x:c>
      <x:c r="F1107" s="9">
        <x:v>7516760900</x:v>
      </x:c>
      <x:c r="G1107" s="9">
        <x:v>9458968545.6</x:v>
      </x:c>
      <x:c r="H1107" s="10" t="n">
        <x:f>G1107-F1107</x:f>
        <x:v>1942207645.6000004</x:v>
      </x:c>
    </x:row>
    <x:row r="1108">
      <x:c r="A1108" s="7" t="str">
        <x:v>3515136</x:v>
      </x:c>
      <x:c r="B1108" s="7" t="str">
        <x:v>RS Mata Fatma</x:v>
      </x:c>
      <x:c r="C1108" s="7" t="str">
        <x:v>C</x:v>
      </x:c>
      <x:c r="D1108" s="7" t="str">
        <x:v>SIDOARJO</x:v>
      </x:c>
      <x:c r="E1108" s="8">
        <x:v>10849</x:v>
      </x:c>
      <x:c r="F1108" s="9">
        <x:v>6461052600</x:v>
      </x:c>
      <x:c r="G1108" s="9">
        <x:v>6693929214.92</x:v>
      </x:c>
      <x:c r="H1108" s="10" t="n">
        <x:f>G1108-F1108</x:f>
        <x:v>232876614.92000008</x:v>
      </x:c>
    </x:row>
    <x:row r="1109">
      <x:c r="A1109" s="7" t="str">
        <x:v>3515137</x:v>
      </x:c>
      <x:c r="B1109" s="7" t="str">
        <x:v>RS Ibu dan Anak Pondok Tjandra</x:v>
      </x:c>
      <x:c r="C1109" s="7" t="str">
        <x:v>C</x:v>
      </x:c>
      <x:c r="D1109" s="7" t="str">
        <x:v>SIDOARJO</x:v>
      </x:c>
      <x:c r="E1109" s="8">
        <x:v>554</x:v>
      </x:c>
      <x:c r="F1109" s="9">
        <x:v>728546200</x:v>
      </x:c>
      <x:c r="G1109" s="9">
        <x:v>809314955.3399999</x:v>
      </x:c>
      <x:c r="H1109" s="10" t="n">
        <x:f>G1109-F1109</x:f>
        <x:v>80768755.33999991</x:v>
      </x:c>
    </x:row>
    <x:row r="1110">
      <x:c r="A1110" s="7" t="str">
        <x:v>3515138</x:v>
      </x:c>
      <x:c r="B1110" s="7" t="str">
        <x:v>RS Umum Aisyiyah Siti Fatimah</x:v>
      </x:c>
      <x:c r="C1110" s="7" t="str">
        <x:v>D</x:v>
      </x:c>
      <x:c r="D1110" s="7" t="str">
        <x:v>SIDOARJO</x:v>
      </x:c>
      <x:c r="E1110" s="8">
        <x:v>29748</x:v>
      </x:c>
      <x:c r="F1110" s="9">
        <x:v>18708625700</x:v>
      </x:c>
      <x:c r="G1110" s="9">
        <x:v>23911255133.889996</x:v>
      </x:c>
      <x:c r="H1110" s="10" t="n">
        <x:f>G1110-F1110</x:f>
        <x:v>5202629433.889996</x:v>
      </x:c>
    </x:row>
    <x:row r="1111">
      <x:c r="A1111" s="7" t="str">
        <x:v>3515140</x:v>
      </x:c>
      <x:c r="B1111" s="7" t="str">
        <x:v>RS Arafah Anwar Medika Sukodono</x:v>
      </x:c>
      <x:c r="C1111" s="7" t="str">
        <x:v>D</x:v>
      </x:c>
      <x:c r="D1111" s="7" t="str">
        <x:v>SIDOARJO</x:v>
      </x:c>
      <x:c r="E1111" s="8">
        <x:v>39104</x:v>
      </x:c>
      <x:c r="F1111" s="9">
        <x:v>24539694800</x:v>
      </x:c>
      <x:c r="G1111" s="9">
        <x:v>31154048528.080013</x:v>
      </x:c>
      <x:c r="H1111" s="10" t="n">
        <x:f>G1111-F1111</x:f>
        <x:v>6614353728.080013</x:v>
      </x:c>
    </x:row>
    <x:row r="1112">
      <x:c r="A1112" s="7" t="str">
        <x:v>3515141</x:v>
      </x:c>
      <x:c r="B1112" s="7" t="str">
        <x:v>RS Umum Bunda</x:v>
      </x:c>
      <x:c r="C1112" s="7" t="str">
        <x:v>C</x:v>
      </x:c>
      <x:c r="D1112" s="7" t="str">
        <x:v>SIDOARJO</x:v>
      </x:c>
      <x:c r="E1112" s="8">
        <x:v>51483</x:v>
      </x:c>
      <x:c r="F1112" s="9">
        <x:v>21465857700</x:v>
      </x:c>
      <x:c r="G1112" s="9">
        <x:v>25275444002.64</x:v>
      </x:c>
      <x:c r="H1112" s="10" t="n">
        <x:f>G1112-F1112</x:f>
        <x:v>3809586302.6399994</x:v>
      </x:c>
    </x:row>
    <x:row r="1113">
      <x:c r="A1113" s="7" t="str">
        <x:v>3515142</x:v>
      </x:c>
      <x:c r="B1113" s="7" t="str">
        <x:v>RS Umum Aminah</x:v>
      </x:c>
      <x:c r="C1113" s="7" t="str">
        <x:v>D</x:v>
      </x:c>
      <x:c r="D1113" s="7" t="str">
        <x:v>SIDOARJO</x:v>
      </x:c>
      <x:c r="E1113" s="8">
        <x:v>23386</x:v>
      </x:c>
      <x:c r="F1113" s="9">
        <x:v>20406999000</x:v>
      </x:c>
      <x:c r="G1113" s="9">
        <x:v>27262970466.820004</x:v>
      </x:c>
      <x:c r="H1113" s="10" t="n">
        <x:f>G1113-F1113</x:f>
        <x:v>6855971466.8200035</x:v>
      </x:c>
    </x:row>
    <x:row r="1114">
      <x:c r="A1114" s="7" t="str">
        <x:v>3515143</x:v>
      </x:c>
      <x:c r="B1114" s="7" t="str">
        <x:v>RS Umum Mitra Sehat Mandiri Sidoarjo</x:v>
      </x:c>
      <x:c r="C1114" s="7" t="str">
        <x:v>D</x:v>
      </x:c>
      <x:c r="D1114" s="7" t="str">
        <x:v>SIDOARJO</x:v>
      </x:c>
      <x:c r="E1114" s="8">
        <x:v>6514</x:v>
      </x:c>
      <x:c r="F1114" s="9">
        <x:v>9071758000</x:v>
      </x:c>
      <x:c r="G1114" s="9">
        <x:v>11391918383.969997</x:v>
      </x:c>
      <x:c r="H1114" s="10" t="n">
        <x:f>G1114-F1114</x:f>
        <x:v>2320160383.9699974</x:v>
      </x:c>
    </x:row>
    <x:row r="1115">
      <x:c r="A1115" s="7" t="str">
        <x:v>3515144</x:v>
      </x:c>
      <x:c r="B1115" s="7" t="str">
        <x:v>RS Sheila Medika</x:v>
      </x:c>
      <x:c r="C1115" s="7" t="str">
        <x:v>D</x:v>
      </x:c>
      <x:c r="D1115" s="7" t="str">
        <x:v>SIDOARJO</x:v>
      </x:c>
      <x:c r="E1115" s="8">
        <x:v>19877</x:v>
      </x:c>
      <x:c r="F1115" s="9">
        <x:v>13008986800</x:v>
      </x:c>
      <x:c r="G1115" s="9">
        <x:v>16031496730.000004</x:v>
      </x:c>
      <x:c r="H1115" s="10" t="n">
        <x:f>G1115-F1115</x:f>
        <x:v>3022509930.000004</x:v>
      </x:c>
    </x:row>
    <x:row r="1116">
      <x:c r="A1116" s="7" t="str">
        <x:v>3515146</x:v>
      </x:c>
      <x:c r="B1116" s="7" t="str">
        <x:v>RS Pusura Candi</x:v>
      </x:c>
      <x:c r="C1116" s="7" t="str">
        <x:v>D</x:v>
      </x:c>
      <x:c r="D1116" s="7" t="str">
        <x:v>SIDOARJO</x:v>
      </x:c>
      <x:c r="E1116" s="8">
        <x:v>32312</x:v>
      </x:c>
      <x:c r="F1116" s="9">
        <x:v>17836370100</x:v>
      </x:c>
      <x:c r="G1116" s="9">
        <x:v>22730048247.699997</x:v>
      </x:c>
      <x:c r="H1116" s="10" t="n">
        <x:f>G1116-F1116</x:f>
        <x:v>4893678147.699997</x:v>
      </x:c>
    </x:row>
    <x:row r="1117">
      <x:c r="A1117" s="7" t="str">
        <x:v>3515157</x:v>
      </x:c>
      <x:c r="B1117" s="7" t="str">
        <x:v>RS Umum Daerah Sidoarjo Barat</x:v>
      </x:c>
      <x:c r="C1117" s="7" t="str">
        <x:v>C</x:v>
      </x:c>
      <x:c r="D1117" s="7" t="str">
        <x:v>SIDOARJO</x:v>
      </x:c>
      <x:c r="E1117" s="8">
        <x:v>53653</x:v>
      </x:c>
      <x:c r="F1117" s="9">
        <x:v>34696846700</x:v>
      </x:c>
      <x:c r="G1117" s="9">
        <x:v>45539479740.95002</x:v>
      </x:c>
      <x:c r="H1117" s="10" t="n">
        <x:f>G1117-F1117</x:f>
        <x:v>10842633040.95002</x:v>
      </x:c>
    </x:row>
    <x:row r="1118">
      <x:c r="A1118" s="7" t="str">
        <x:v>3516016</x:v>
      </x:c>
      <x:c r="B1118" s="7" t="str">
        <x:v>RS Umum Daerah Sumberglagah</x:v>
      </x:c>
      <x:c r="C1118" s="7" t="str">
        <x:v>C</x:v>
      </x:c>
      <x:c r="D1118" s="7" t="str">
        <x:v>MOJOKERTO</x:v>
      </x:c>
      <x:c r="E1118" s="8">
        <x:v>38286</x:v>
      </x:c>
      <x:c r="F1118" s="9">
        <x:v>26324484700</x:v>
      </x:c>
      <x:c r="G1118" s="9">
        <x:v>34888993037.44001</x:v>
      </x:c>
      <x:c r="H1118" s="10" t="n">
        <x:f>G1118-F1118</x:f>
        <x:v>8564508337.44001</x:v>
      </x:c>
    </x:row>
    <x:row r="1119">
      <x:c r="A1119" s="7" t="str">
        <x:v>3516020</x:v>
      </x:c>
      <x:c r="B1119" s="7" t="str">
        <x:v>RS Umum Daerah Prof. Dr. Soekandar</x:v>
      </x:c>
      <x:c r="C1119" s="7" t="str">
        <x:v>B</x:v>
      </x:c>
      <x:c r="D1119" s="7" t="str">
        <x:v>MOJOKERTO</x:v>
      </x:c>
      <x:c r="E1119" s="8">
        <x:v>89922</x:v>
      </x:c>
      <x:c r="F1119" s="9">
        <x:v>104280440665</x:v>
      </x:c>
      <x:c r="G1119" s="9">
        <x:v>117453253438.75002</x:v>
      </x:c>
      <x:c r="H1119" s="10" t="n">
        <x:f>G1119-F1119</x:f>
        <x:v>13172812773.750015</x:v>
      </x:c>
    </x:row>
    <x:row r="1120">
      <x:c r="A1120" s="7" t="str">
        <x:v>3516032</x:v>
      </x:c>
      <x:c r="B1120" s="7" t="str">
        <x:v>RS Sido Waras</x:v>
      </x:c>
      <x:c r="C1120" s="7" t="str">
        <x:v>C</x:v>
      </x:c>
      <x:c r="D1120" s="7" t="str">
        <x:v>MOJOKERTO</x:v>
      </x:c>
      <x:c r="E1120" s="8">
        <x:v>28428</x:v>
      </x:c>
      <x:c r="F1120" s="9">
        <x:v>20670483000</x:v>
      </x:c>
      <x:c r="G1120" s="9">
        <x:v>25308814620.22001</x:v>
      </x:c>
      <x:c r="H1120" s="10" t="n">
        <x:f>G1120-F1120</x:f>
        <x:v>4638331620.220009</x:v>
      </x:c>
    </x:row>
    <x:row r="1121">
      <x:c r="A1121" s="7" t="str">
        <x:v>3516033</x:v>
      </x:c>
      <x:c r="B1121" s="7" t="str">
        <x:v>RS Islam Arofah</x:v>
      </x:c>
      <x:c r="C1121" s="7" t="str">
        <x:v>D</x:v>
      </x:c>
      <x:c r="D1121" s="7" t="str">
        <x:v>MOJOKERTO</x:v>
      </x:c>
      <x:c r="E1121" s="8">
        <x:v>1764</x:v>
      </x:c>
      <x:c r="F1121" s="9">
        <x:v>2117530400</x:v>
      </x:c>
      <x:c r="G1121" s="9">
        <x:v>2571788845.8799987</x:v>
      </x:c>
      <x:c r="H1121" s="10" t="n">
        <x:f>G1121-F1121</x:f>
        <x:v>454258445.8799987</x:v>
      </x:c>
    </x:row>
    <x:row r="1122">
      <x:c r="A1122" s="7" t="str">
        <x:v>3516034</x:v>
      </x:c>
      <x:c r="B1122" s="7" t="str">
        <x:v>RS Dharma Husada</x:v>
      </x:c>
      <x:c r="C1122" s="7" t="str">
        <x:v>D</x:v>
      </x:c>
      <x:c r="D1122" s="7" t="str">
        <x:v>MOJOKERTO</x:v>
      </x:c>
      <x:c r="E1122" s="8">
        <x:v>2059</x:v>
      </x:c>
      <x:c r="F1122" s="9">
        <x:v>2452794200</x:v>
      </x:c>
      <x:c r="G1122" s="9">
        <x:v>3026327968.11</x:v>
      </x:c>
      <x:c r="H1122" s="10" t="n">
        <x:f>G1122-F1122</x:f>
        <x:v>573533768.1100001</x:v>
      </x:c>
    </x:row>
    <x:row r="1123">
      <x:c r="A1123" s="7" t="str">
        <x:v>3516036</x:v>
      </x:c>
      <x:c r="B1123" s="7" t="str">
        <x:v>RS Mutiara Hati Mojokerto</x:v>
      </x:c>
      <x:c r="C1123" s="7" t="str">
        <x:v>D</x:v>
      </x:c>
      <x:c r="D1123" s="7" t="str">
        <x:v>MOJOKERTO</x:v>
      </x:c>
      <x:c r="E1123" s="8">
        <x:v>19097</x:v>
      </x:c>
      <x:c r="F1123" s="9">
        <x:v>15829317400</x:v>
      </x:c>
      <x:c r="G1123" s="9">
        <x:v>19580002599.570007</x:v>
      </x:c>
      <x:c r="H1123" s="10" t="n">
        <x:f>G1123-F1123</x:f>
        <x:v>3750685199.5700073</x:v>
      </x:c>
    </x:row>
    <x:row r="1124">
      <x:c r="A1124" s="7" t="str">
        <x:v>3516037</x:v>
      </x:c>
      <x:c r="B1124" s="7" t="str">
        <x:v>RS Umum Kartini</x:v>
      </x:c>
      <x:c r="C1124" s="7" t="str">
        <x:v>D</x:v>
      </x:c>
      <x:c r="D1124" s="7" t="str">
        <x:v>MOJOKERTO</x:v>
      </x:c>
      <x:c r="E1124" s="8">
        <x:v>22286</x:v>
      </x:c>
      <x:c r="F1124" s="9">
        <x:v>18812825500</x:v>
      </x:c>
      <x:c r="G1124" s="9">
        <x:v>25335555351.109997</x:v>
      </x:c>
      <x:c r="H1124" s="10" t="n">
        <x:f>G1124-F1124</x:f>
        <x:v>6522729851.109997</x:v>
      </x:c>
    </x:row>
    <x:row r="1125">
      <x:c r="A1125" s="7" t="str">
        <x:v>3516039</x:v>
      </x:c>
      <x:c r="B1125" s="7" t="str">
        <x:v>RS Dian Husada</x:v>
      </x:c>
      <x:c r="C1125" s="7" t="str">
        <x:v>C</x:v>
      </x:c>
      <x:c r="D1125" s="7" t="str">
        <x:v>MOJOKERTO</x:v>
      </x:c>
      <x:c r="E1125" s="8">
        <x:v>14168</x:v>
      </x:c>
      <x:c r="F1125" s="9">
        <x:v>12659222200</x:v>
      </x:c>
      <x:c r="G1125" s="9">
        <x:v>16252508595.81999</x:v>
      </x:c>
      <x:c r="H1125" s="10" t="n">
        <x:f>G1125-F1125</x:f>
        <x:v>3593286395.81999</x:v>
      </x:c>
    </x:row>
    <x:row r="1126">
      <x:c r="A1126" s="7" t="str">
        <x:v>3516062</x:v>
      </x:c>
      <x:c r="B1126" s="7" t="str">
        <x:v>RS Islam Sakinah</x:v>
      </x:c>
      <x:c r="C1126" s="7" t="str">
        <x:v>C</x:v>
      </x:c>
      <x:c r="D1126" s="7" t="str">
        <x:v>MOJOKERTO</x:v>
      </x:c>
      <x:c r="E1126" s="8">
        <x:v>106234</x:v>
      </x:c>
      <x:c r="F1126" s="9">
        <x:v>85417278850</x:v>
      </x:c>
      <x:c r="G1126" s="9">
        <x:v>110112257004.01999</x:v>
      </x:c>
      <x:c r="H1126" s="10" t="n">
        <x:f>G1126-F1126</x:f>
        <x:v>24694978154.01999</x:v>
      </x:c>
    </x:row>
    <x:row r="1127">
      <x:c r="A1127" s="7" t="str">
        <x:v>3516073</x:v>
      </x:c>
      <x:c r="B1127" s="7" t="str">
        <x:v>RS Umum Daerah Raden Achmad Basoeni</x:v>
      </x:c>
      <x:c r="C1127" s="7" t="str">
        <x:v>C</x:v>
      </x:c>
      <x:c r="D1127" s="7" t="str">
        <x:v>MOJOKERTO</x:v>
      </x:c>
      <x:c r="E1127" s="8">
        <x:v>56243</x:v>
      </x:c>
      <x:c r="F1127" s="9">
        <x:v>39698487320</x:v>
      </x:c>
      <x:c r="G1127" s="9">
        <x:v>51159182896.59</x:v>
      </x:c>
      <x:c r="H1127" s="10" t="n">
        <x:f>G1127-F1127</x:f>
        <x:v>11460695576.589996</x:v>
      </x:c>
    </x:row>
    <x:row r="1128">
      <x:c r="A1128" s="7" t="str">
        <x:v>3516075</x:v>
      </x:c>
      <x:c r="B1128" s="7" t="str">
        <x:v>RS Mawaddah Medika</x:v>
      </x:c>
      <x:c r="C1128" s="7" t="str">
        <x:v>C</x:v>
      </x:c>
      <x:c r="D1128" s="7" t="str">
        <x:v>MOJOKERTO</x:v>
      </x:c>
      <x:c r="E1128" s="8">
        <x:v>47780</x:v>
      </x:c>
      <x:c r="F1128" s="9">
        <x:v>37771075300</x:v>
      </x:c>
      <x:c r="G1128" s="9">
        <x:v>45637500173.700005</x:v>
      </x:c>
      <x:c r="H1128" s="10" t="n">
        <x:f>G1128-F1128</x:f>
        <x:v>7866424873.700005</x:v>
      </x:c>
    </x:row>
    <x:row r="1129">
      <x:c r="A1129" s="7" t="str">
        <x:v>3517010</x:v>
      </x:c>
      <x:c r="B1129" s="7" t="str">
        <x:v>RS Umum Daerah Kab. Jombang</x:v>
      </x:c>
      <x:c r="C1129" s="7" t="str">
        <x:v>B</x:v>
      </x:c>
      <x:c r="D1129" s="7" t="str">
        <x:v>JOMBANG</x:v>
      </x:c>
      <x:c r="E1129" s="8">
        <x:v>126629</x:v>
      </x:c>
      <x:c r="F1129" s="9">
        <x:v>180078925800</x:v>
      </x:c>
      <x:c r="G1129" s="9">
        <x:v>210918116805.8999</x:v>
      </x:c>
      <x:c r="H1129" s="10" t="n">
        <x:f>G1129-F1129</x:f>
        <x:v>30839191005.899902</x:v>
      </x:c>
    </x:row>
    <x:row r="1130">
      <x:c r="A1130" s="7" t="str">
        <x:v>3517021</x:v>
      </x:c>
      <x:c r="B1130" s="7" t="str">
        <x:v>RS Kristen Mojowarno</x:v>
      </x:c>
      <x:c r="C1130" s="7" t="str">
        <x:v>C</x:v>
      </x:c>
      <x:c r="D1130" s="7" t="str">
        <x:v>JOMBANG</x:v>
      </x:c>
      <x:c r="E1130" s="8">
        <x:v>40947</x:v>
      </x:c>
      <x:c r="F1130" s="9">
        <x:v>31437832400</x:v>
      </x:c>
      <x:c r="G1130" s="9">
        <x:v>39404485459.46002</x:v>
      </x:c>
      <x:c r="H1130" s="10" t="n">
        <x:f>G1130-F1130</x:f>
        <x:v>7966653059.460022</x:v>
      </x:c>
    </x:row>
    <x:row r="1131">
      <x:c r="A1131" s="7" t="str">
        <x:v>3517025</x:v>
      </x:c>
      <x:c r="B1131" s="7" t="str">
        <x:v>RS Airlangga Jombang</x:v>
      </x:c>
      <x:c r="C1131" s="7" t="str">
        <x:v>D</x:v>
      </x:c>
      <x:c r="D1131" s="7" t="str">
        <x:v>JOMBANG</x:v>
      </x:c>
      <x:c r="E1131" s="8">
        <x:v>2825</x:v>
      </x:c>
      <x:c r="F1131" s="9">
        <x:v>1337561800</x:v>
      </x:c>
      <x:c r="G1131" s="9">
        <x:v>1667725146.9100008</x:v>
      </x:c>
      <x:c r="H1131" s="10" t="n">
        <x:f>G1131-F1131</x:f>
        <x:v>330163346.9100008</x:v>
      </x:c>
    </x:row>
    <x:row r="1132">
      <x:c r="A1132" s="7" t="str">
        <x:v>3517043</x:v>
      </x:c>
      <x:c r="B1132" s="7" t="str">
        <x:v>RS Ibu dan Anak Muslimat Jombang</x:v>
      </x:c>
      <x:c r="C1132" s="7" t="str">
        <x:v>C</x:v>
      </x:c>
      <x:c r="D1132" s="7" t="str">
        <x:v>JOMBANG</x:v>
      </x:c>
      <x:c r="E1132" s="8">
        <x:v>9024</x:v>
      </x:c>
      <x:c r="F1132" s="9">
        <x:v>14405772500</x:v>
      </x:c>
      <x:c r="G1132" s="9">
        <x:v>15502864961.039999</x:v>
      </x:c>
      <x:c r="H1132" s="10" t="n">
        <x:f>G1132-F1132</x:f>
        <x:v>1097092461.039999</x:v>
      </x:c>
    </x:row>
    <x:row r="1133">
      <x:c r="A1133" s="7" t="str">
        <x:v>3517076</x:v>
      </x:c>
      <x:c r="B1133" s="7" t="str">
        <x:v>RS Umum Islam Jombang</x:v>
      </x:c>
      <x:c r="C1133" s="7" t="str">
        <x:v>D</x:v>
      </x:c>
      <x:c r="D1133" s="7" t="str">
        <x:v>JOMBANG</x:v>
      </x:c>
      <x:c r="E1133" s="8">
        <x:v>16768</x:v>
      </x:c>
      <x:c r="F1133" s="9">
        <x:v>9458469200</x:v>
      </x:c>
      <x:c r="G1133" s="9">
        <x:v>12103121958.149994</x:v>
      </x:c>
      <x:c r="H1133" s="10" t="n">
        <x:f>G1133-F1133</x:f>
        <x:v>2644652758.149994</x:v>
      </x:c>
    </x:row>
    <x:row r="1134">
      <x:c r="A1134" s="7" t="str">
        <x:v>3517087</x:v>
      </x:c>
      <x:c r="B1134" s="7" t="str">
        <x:v>RS Unipdu Medika Jombang</x:v>
      </x:c>
      <x:c r="C1134" s="7" t="str">
        <x:v>D</x:v>
      </x:c>
      <x:c r="D1134" s="7" t="str">
        <x:v>JOMBANG</x:v>
      </x:c>
      <x:c r="E1134" s="8">
        <x:v>2792</x:v>
      </x:c>
      <x:c r="F1134" s="9">
        <x:v>2257563100</x:v>
      </x:c>
      <x:c r="G1134" s="9">
        <x:v>2841571446.3899984</x:v>
      </x:c>
      <x:c r="H1134" s="10" t="n">
        <x:f>G1134-F1134</x:f>
        <x:v>584008346.3899984</x:v>
      </x:c>
    </x:row>
    <x:row r="1135">
      <x:c r="A1135" s="7" t="str">
        <x:v>3517089</x:v>
      </x:c>
      <x:c r="B1135" s="7" t="str">
        <x:v>RS Umum Daerah Ploso</x:v>
      </x:c>
      <x:c r="C1135" s="7" t="str">
        <x:v>C</x:v>
      </x:c>
      <x:c r="D1135" s="7" t="str">
        <x:v>JOMBANG</x:v>
      </x:c>
      <x:c r="E1135" s="8">
        <x:v>32556</x:v>
      </x:c>
      <x:c r="F1135" s="9">
        <x:v>20294827100</x:v>
      </x:c>
      <x:c r="G1135" s="9">
        <x:v>25788334354.059994</x:v>
      </x:c>
      <x:c r="H1135" s="10" t="n">
        <x:f>G1135-F1135</x:f>
        <x:v>5493507254.059994</x:v>
      </x:c>
    </x:row>
    <x:row r="1136">
      <x:c r="A1136" s="7" t="str">
        <x:v>3517091</x:v>
      </x:c>
      <x:c r="B1136" s="7" t="str">
        <x:v>RS Umum dr. Moedjito Dwidjosiswojo</x:v>
      </x:c>
      <x:c r="C1136" s="7" t="str">
        <x:v>D</x:v>
      </x:c>
      <x:c r="D1136" s="7" t="str">
        <x:v>JOMBANG</x:v>
      </x:c>
      <x:c r="E1136" s="8">
        <x:v>8805</x:v>
      </x:c>
      <x:c r="F1136" s="9">
        <x:v>8090448500</x:v>
      </x:c>
      <x:c r="G1136" s="9">
        <x:v>10587543755.750002</x:v>
      </x:c>
      <x:c r="H1136" s="10" t="n">
        <x:f>G1136-F1136</x:f>
        <x:v>2497095255.750002</x:v>
      </x:c>
    </x:row>
    <x:row r="1137">
      <x:c r="A1137" s="7" t="str">
        <x:v>3517092</x:v>
      </x:c>
      <x:c r="B1137" s="7" t="str">
        <x:v>RS Muhammadiyah Jombang</x:v>
      </x:c>
      <x:c r="C1137" s="7" t="str">
        <x:v>D</x:v>
      </x:c>
      <x:c r="D1137" s="7" t="str">
        <x:v>JOMBANG</x:v>
      </x:c>
      <x:c r="E1137" s="8">
        <x:v>4799</x:v>
      </x:c>
      <x:c r="F1137" s="9">
        <x:v>4442756500</x:v>
      </x:c>
      <x:c r="G1137" s="9">
        <x:v>5870493617.570002</x:v>
      </x:c>
      <x:c r="H1137" s="10" t="n">
        <x:f>G1137-F1137</x:f>
        <x:v>1427737117.5700016</x:v>
      </x:c>
    </x:row>
    <x:row r="1138">
      <x:c r="A1138" s="7" t="str">
        <x:v>3517093</x:v>
      </x:c>
      <x:c r="B1138" s="7" t="str">
        <x:v>RS Al-Aziz</x:v>
      </x:c>
      <x:c r="C1138" s="7" t="str">
        <x:v>D</x:v>
      </x:c>
      <x:c r="D1138" s="7" t="str">
        <x:v>JOMBANG</x:v>
      </x:c>
      <x:c r="E1138" s="8">
        <x:v>5636</x:v>
      </x:c>
      <x:c r="F1138" s="9">
        <x:v>7649264900</x:v>
      </x:c>
      <x:c r="G1138" s="9">
        <x:v>10221462124.049997</x:v>
      </x:c>
      <x:c r="H1138" s="10" t="n">
        <x:f>G1138-F1138</x:f>
        <x:v>2572197224.0499973</x:v>
      </x:c>
    </x:row>
    <x:row r="1139">
      <x:c r="A1139" s="7" t="str">
        <x:v>3517094</x:v>
      </x:c>
      <x:c r="B1139" s="7" t="str">
        <x:v>RS Umum Nadhlatul Ulama Jombang</x:v>
      </x:c>
      <x:c r="C1139" s="7" t="str">
        <x:v>D</x:v>
      </x:c>
      <x:c r="D1139" s="7" t="str">
        <x:v>JOMBANG</x:v>
      </x:c>
      <x:c r="E1139" s="8">
        <x:v>26320</x:v>
      </x:c>
      <x:c r="F1139" s="9">
        <x:v>22078062700</x:v>
      </x:c>
      <x:c r="G1139" s="9">
        <x:v>28203009078.250015</x:v>
      </x:c>
      <x:c r="H1139" s="10" t="n">
        <x:f>G1139-F1139</x:f>
        <x:v>6124946378.250015</x:v>
      </x:c>
    </x:row>
    <x:row r="1140">
      <x:c r="A1140" s="7" t="str">
        <x:v>3517095</x:v>
      </x:c>
      <x:c r="B1140" s="7" t="str">
        <x:v>RS Umum Pelengkap Medical Center</x:v>
      </x:c>
      <x:c r="C1140" s="7" t="str">
        <x:v>D</x:v>
      </x:c>
      <x:c r="D1140" s="7" t="str">
        <x:v>JOMBANG</x:v>
      </x:c>
      <x:c r="E1140" s="8">
        <x:v>20298</x:v>
      </x:c>
      <x:c r="F1140" s="9">
        <x:v>14592954800</x:v>
      </x:c>
      <x:c r="G1140" s="9">
        <x:v>18513397043.479992</x:v>
      </x:c>
      <x:c r="H1140" s="10" t="n">
        <x:f>G1140-F1140</x:f>
        <x:v>3920442243.479992</x:v>
      </x:c>
    </x:row>
    <x:row r="1141">
      <x:c r="A1141" s="7" t="str">
        <x:v>3517098</x:v>
      </x:c>
      <x:c r="B1141" s="7" t="str">
        <x:v>RS Bedah Surya Dharma Husada</x:v>
      </x:c>
      <x:c r="C1141" s="7" t="str">
        <x:v>C</x:v>
      </x:c>
      <x:c r="D1141" s="7" t="str">
        <x:v>JOMBANG</x:v>
      </x:c>
      <x:c r="E1141" s="8">
        <x:v>315</x:v>
      </x:c>
      <x:c r="F1141" s="9">
        <x:v>406898300</x:v>
      </x:c>
      <x:c r="G1141" s="9">
        <x:v>497181376.73999995</x:v>
      </x:c>
      <x:c r="H1141" s="10" t="n">
        <x:f>G1141-F1141</x:f>
        <x:v>90283076.73999995</x:v>
      </x:c>
    </x:row>
    <x:row r="1142">
      <x:c r="A1142" s="7" t="str">
        <x:v>3517109</x:v>
      </x:c>
      <x:c r="B1142" s="7" t="str">
        <x:v>RS Umum PKU Muhammadiyah Mojoagung</x:v>
      </x:c>
      <x:c r="C1142" s="7" t="str">
        <x:v>D</x:v>
      </x:c>
      <x:c r="D1142" s="7" t="str">
        <x:v>JOMBANG</x:v>
      </x:c>
      <x:c r="E1142" s="8">
        <x:v>18937</x:v>
      </x:c>
      <x:c r="F1142" s="9">
        <x:v>12517220000</x:v>
      </x:c>
      <x:c r="G1142" s="9">
        <x:v>16781203436.230007</x:v>
      </x:c>
      <x:c r="H1142" s="10" t="n">
        <x:f>G1142-F1142</x:f>
        <x:v>4263983436.230007</x:v>
      </x:c>
    </x:row>
    <x:row r="1143">
      <x:c r="A1143" s="7" t="str">
        <x:v>3517111</x:v>
      </x:c>
      <x:c r="B1143" s="7" t="str">
        <x:v>RS Hasyim Asy'ari</x:v>
      </x:c>
      <x:c r="C1143" s="7" t="str">
        <x:v>D</x:v>
      </x:c>
      <x:c r="D1143" s="7" t="str">
        <x:v>JOMBANG</x:v>
      </x:c>
      <x:c r="E1143" s="8">
        <x:v>9889</x:v>
      </x:c>
      <x:c r="F1143" s="9">
        <x:v>10802420900</x:v>
      </x:c>
      <x:c r="G1143" s="9">
        <x:v>13985412725.83</x:v>
      </x:c>
      <x:c r="H1143" s="10" t="n">
        <x:f>G1143-F1143</x:f>
        <x:v>3182991825.83</x:v>
      </x:c>
    </x:row>
    <x:row r="1144">
      <x:c r="A1144" s="7" t="str">
        <x:v>3518011</x:v>
      </x:c>
      <x:c r="B1144" s="7" t="str">
        <x:v>RS Umum Daerah Nganjuk</x:v>
      </x:c>
      <x:c r="C1144" s="7" t="str">
        <x:v>B</x:v>
      </x:c>
      <x:c r="D1144" s="7" t="str">
        <x:v>NGANJUK</x:v>
      </x:c>
      <x:c r="E1144" s="8">
        <x:v>73094</x:v>
      </x:c>
      <x:c r="F1144" s="9">
        <x:v>76520970425</x:v>
      </x:c>
      <x:c r="G1144" s="9">
        <x:v>91808365040.43999</x:v>
      </x:c>
      <x:c r="H1144" s="10" t="n">
        <x:f>G1144-F1144</x:f>
        <x:v>15287394615.439987</x:v>
      </x:c>
    </x:row>
    <x:row r="1145">
      <x:c r="A1145" s="7" t="str">
        <x:v>3518022</x:v>
      </x:c>
      <x:c r="B1145" s="7" t="str">
        <x:v>RS Daerah Kertosono</x:v>
      </x:c>
      <x:c r="C1145" s="7" t="str">
        <x:v>C</x:v>
      </x:c>
      <x:c r="D1145" s="7" t="str">
        <x:v>NGANJUK</x:v>
      </x:c>
      <x:c r="E1145" s="8">
        <x:v>49469</x:v>
      </x:c>
      <x:c r="F1145" s="9">
        <x:v>40000853205</x:v>
      </x:c>
      <x:c r="G1145" s="9">
        <x:v>54123101412.42999</x:v>
      </x:c>
      <x:c r="H1145" s="10" t="n">
        <x:f>G1145-F1145</x:f>
        <x:v>14122248207.429993</x:v>
      </x:c>
    </x:row>
    <x:row r="1146">
      <x:c r="A1146" s="7" t="str">
        <x:v>3518045</x:v>
      </x:c>
      <x:c r="B1146" s="7" t="str">
        <x:v>RS Umum Bhayangkara Tk. III Nganjuk</x:v>
      </x:c>
      <x:c r="C1146" s="7" t="str">
        <x:v>C</x:v>
      </x:c>
      <x:c r="D1146" s="7" t="str">
        <x:v>NGANJUK</x:v>
      </x:c>
      <x:c r="E1146" s="8">
        <x:v>49932</x:v>
      </x:c>
      <x:c r="F1146" s="9">
        <x:v>37880992200</x:v>
      </x:c>
      <x:c r="G1146" s="9">
        <x:v>47835521744.040016</x:v>
      </x:c>
      <x:c r="H1146" s="10" t="n">
        <x:f>G1146-F1146</x:f>
        <x:v>9954529544.040016</x:v>
      </x:c>
    </x:row>
    <x:row r="1147">
      <x:c r="A1147" s="7" t="str">
        <x:v>3518046</x:v>
      </x:c>
      <x:c r="B1147" s="7" t="str">
        <x:v>RS Islam Aisyiyah Nganjuk</x:v>
      </x:c>
      <x:c r="C1147" s="7" t="str">
        <x:v>D</x:v>
      </x:c>
      <x:c r="D1147" s="7" t="str">
        <x:v>NGANJUK</x:v>
      </x:c>
      <x:c r="E1147" s="8">
        <x:v>23089</x:v>
      </x:c>
      <x:c r="F1147" s="9">
        <x:v>22907682300</x:v>
      </x:c>
      <x:c r="G1147" s="9">
        <x:v>32431717421.65999</x:v>
      </x:c>
      <x:c r="H1147" s="10" t="n">
        <x:f>G1147-F1147</x:f>
        <x:v>9524035121.659988</x:v>
      </x:c>
    </x:row>
    <x:row r="1148">
      <x:c r="A1148" s="7" t="str">
        <x:v>3519012</x:v>
      </x:c>
      <x:c r="B1148" s="7" t="str">
        <x:v>RS Umum Daerah Dungus</x:v>
      </x:c>
      <x:c r="C1148" s="7" t="str">
        <x:v>C</x:v>
      </x:c>
      <x:c r="D1148" s="7" t="str">
        <x:v>MADIUN</x:v>
      </x:c>
      <x:c r="E1148" s="8">
        <x:v>19535</x:v>
      </x:c>
      <x:c r="F1148" s="9">
        <x:v>11060055300</x:v>
      </x:c>
      <x:c r="G1148" s="9">
        <x:v>15453348908.510004</x:v>
      </x:c>
      <x:c r="H1148" s="10" t="n">
        <x:f>G1148-F1148</x:f>
        <x:v>4393293608.510004</x:v>
      </x:c>
    </x:row>
    <x:row r="1149">
      <x:c r="A1149" s="7" t="str">
        <x:v>3519023</x:v>
      </x:c>
      <x:c r="B1149" s="7" t="str">
        <x:v>RS Umum Daerah Caruban</x:v>
      </x:c>
      <x:c r="C1149" s="7" t="str">
        <x:v>C</x:v>
      </x:c>
      <x:c r="D1149" s="7" t="str">
        <x:v>MADIUN</x:v>
      </x:c>
      <x:c r="E1149" s="8">
        <x:v>77561</x:v>
      </x:c>
      <x:c r="F1149" s="9">
        <x:v>45538218430</x:v>
      </x:c>
      <x:c r="G1149" s="9">
        <x:v>61441303376.38001</x:v>
      </x:c>
      <x:c r="H1149" s="10" t="n">
        <x:f>G1149-F1149</x:f>
        <x:v>15903084946.380013</x:v>
      </x:c>
    </x:row>
    <x:row r="1150">
      <x:c r="A1150" s="7" t="str">
        <x:v>3519024</x:v>
      </x:c>
      <x:c r="B1150" s="7" t="str">
        <x:v>RS Umum Daerah Dolopo</x:v>
      </x:c>
      <x:c r="C1150" s="7" t="str">
        <x:v>C</x:v>
      </x:c>
      <x:c r="D1150" s="7" t="str">
        <x:v>MADIUN</x:v>
      </x:c>
      <x:c r="E1150" s="8">
        <x:v>63527</x:v>
      </x:c>
      <x:c r="F1150" s="9">
        <x:v>30636612100</x:v>
      </x:c>
      <x:c r="G1150" s="9">
        <x:v>40560719232.320015</x:v>
      </x:c>
      <x:c r="H1150" s="10" t="n">
        <x:f>G1150-F1150</x:f>
        <x:v>9924107132.320015</x:v>
      </x:c>
    </x:row>
    <x:row r="1151">
      <x:c r="A1151" s="7" t="str">
        <x:v>3519026</x:v>
      </x:c>
      <x:c r="B1151" s="7" t="str">
        <x:v>RS Paru Manguharjo Madiun</x:v>
      </x:c>
      <x:c r="C1151" s="7" t="str">
        <x:v>C</x:v>
      </x:c>
      <x:c r="D1151" s="7" t="str">
        <x:v>MADIUN</x:v>
      </x:c>
      <x:c r="E1151" s="8">
        <x:v>16657</x:v>
      </x:c>
      <x:c r="F1151" s="9">
        <x:v>7383801600</x:v>
      </x:c>
      <x:c r="G1151" s="9">
        <x:v>9516052333.270002</x:v>
      </x:c>
      <x:c r="H1151" s="10" t="n">
        <x:f>G1151-F1151</x:f>
        <x:v>2132250733.2700024</x:v>
      </x:c>
    </x:row>
    <x:row r="1152">
      <x:c r="A1152" s="7" t="str">
        <x:v>3520012</x:v>
      </x:c>
      <x:c r="B1152" s="7" t="str">
        <x:v>RS Umum Daerah dr. Sayidiman Magetan</x:v>
      </x:c>
      <x:c r="C1152" s="7" t="str">
        <x:v>C</x:v>
      </x:c>
      <x:c r="D1152" s="7" t="str">
        <x:v>MAGETAN</x:v>
      </x:c>
      <x:c r="E1152" s="8">
        <x:v>101964</x:v>
      </x:c>
      <x:c r="F1152" s="9">
        <x:v>66553828800</x:v>
      </x:c>
      <x:c r="G1152" s="9">
        <x:v>89485923802.23996</x:v>
      </x:c>
      <x:c r="H1152" s="10" t="n">
        <x:f>G1152-F1152</x:f>
        <x:v>22932095002.23996</x:v>
      </x:c>
    </x:row>
    <x:row r="1153">
      <x:c r="A1153" s="7" t="str">
        <x:v>3520013</x:v>
      </x:c>
      <x:c r="B1153" s="7" t="str">
        <x:v>RS Umum Bhakti Persada</x:v>
      </x:c>
      <x:c r="C1153" s="7" t="str">
        <x:v>D</x:v>
      </x:c>
      <x:c r="D1153" s="7" t="str">
        <x:v>MAGETAN</x:v>
      </x:c>
      <x:c r="E1153" s="8">
        <x:v>5726</x:v>
      </x:c>
      <x:c r="F1153" s="9">
        <x:v>3749474600</x:v>
      </x:c>
      <x:c r="G1153" s="9">
        <x:v>4893707573.04</x:v>
      </x:c>
      <x:c r="H1153" s="10" t="n">
        <x:f>G1153-F1153</x:f>
        <x:v>1144232973.04</x:v>
      </x:c>
    </x:row>
    <x:row r="1154">
      <x:c r="A1154" s="7" t="str">
        <x:v>3520014</x:v>
      </x:c>
      <x:c r="B1154" s="7" t="str">
        <x:v>RS Ibu dan Anak Sekar Wangi</x:v>
      </x:c>
      <x:c r="C1154" s="7" t="str">
        <x:v>C</x:v>
      </x:c>
      <x:c r="D1154" s="7" t="str">
        <x:v>MAGETAN</x:v>
      </x:c>
      <x:c r="E1154" s="8">
        <x:v>465</x:v>
      </x:c>
      <x:c r="F1154" s="9">
        <x:v>1181870000</x:v>
      </x:c>
      <x:c r="G1154" s="9">
        <x:v>1276583614.1000001</x:v>
      </x:c>
      <x:c r="H1154" s="10" t="n">
        <x:f>G1154-F1154</x:f>
        <x:v>94713614.10000014</x:v>
      </x:c>
    </x:row>
    <x:row r="1155">
      <x:c r="A1155" s="7" t="str">
        <x:v>3520015</x:v>
      </x:c>
      <x:c r="B1155" s="7" t="str">
        <x:v>RS Ibu dan Anak Samudra Husada</x:v>
      </x:c>
      <x:c r="C1155" s="7" t="str">
        <x:v>C</x:v>
      </x:c>
      <x:c r="D1155" s="7" t="str">
        <x:v>MAGETAN</x:v>
      </x:c>
      <x:c r="E1155" s="8">
        <x:v>837</x:v>
      </x:c>
      <x:c r="F1155" s="9">
        <x:v>1639672900</x:v>
      </x:c>
      <x:c r="G1155" s="9">
        <x:v>1819617962.09</x:v>
      </x:c>
      <x:c r="H1155" s="10" t="n">
        <x:f>G1155-F1155</x:f>
        <x:v>179945062.0899999</x:v>
      </x:c>
    </x:row>
    <x:row r="1156">
      <x:c r="A1156" s="7" t="str">
        <x:v>3520016</x:v>
      </x:c>
      <x:c r="B1156" s="7" t="str">
        <x:v>RS Ibu dan Anak Melati Magetan</x:v>
      </x:c>
      <x:c r="C1156" s="7" t="str">
        <x:v>C</x:v>
      </x:c>
      <x:c r="D1156" s="7" t="str">
        <x:v>MAGETAN</x:v>
      </x:c>
      <x:c r="E1156" s="8">
        <x:v>1167</x:v>
      </x:c>
      <x:c r="F1156" s="9">
        <x:v>2510386900</x:v>
      </x:c>
      <x:c r="G1156" s="9">
        <x:v>2664862403.170001</x:v>
      </x:c>
      <x:c r="H1156" s="10" t="n">
        <x:f>G1156-F1156</x:f>
        <x:v>154475503.17000103</x:v>
      </x:c>
    </x:row>
    <x:row r="1157">
      <x:c r="A1157" s="7" t="str">
        <x:v>3520041</x:v>
      </x:c>
      <x:c r="B1157" s="7" t="str">
        <x:v>RS Angkatan Udara dr. Efram Harsana</x:v>
      </x:c>
      <x:c r="C1157" s="7" t="str">
        <x:v>C</x:v>
      </x:c>
      <x:c r="D1157" s="7" t="str">
        <x:v>MAGETAN</x:v>
      </x:c>
      <x:c r="E1157" s="8">
        <x:v>44599</x:v>
      </x:c>
      <x:c r="F1157" s="9">
        <x:v>25723137000</x:v>
      </x:c>
      <x:c r="G1157" s="9">
        <x:v>33945101784.840015</x:v>
      </x:c>
      <x:c r="H1157" s="10" t="n">
        <x:f>G1157-F1157</x:f>
        <x:v>8221964784.840015</x:v>
      </x:c>
    </x:row>
    <x:row r="1158">
      <x:c r="A1158" s="7" t="str">
        <x:v>3521013</x:v>
      </x:c>
      <x:c r="B1158" s="7" t="str">
        <x:v>RS Umum Daerah Dr. Soeroto Ngawi</x:v>
      </x:c>
      <x:c r="C1158" s="7" t="str">
        <x:v>C</x:v>
      </x:c>
      <x:c r="D1158" s="7" t="str">
        <x:v>NGAWI</x:v>
      </x:c>
      <x:c r="E1158" s="8">
        <x:v>107601</x:v>
      </x:c>
      <x:c r="F1158" s="9">
        <x:v>64461298205</x:v>
      </x:c>
      <x:c r="G1158" s="9">
        <x:v>85097862024.74998</x:v>
      </x:c>
      <x:c r="H1158" s="10" t="n">
        <x:f>G1158-F1158</x:f>
        <x:v>20636563819.749985</x:v>
      </x:c>
    </x:row>
    <x:row r="1159">
      <x:c r="A1159" s="7" t="str">
        <x:v>3521014</x:v>
      </x:c>
      <x:c r="B1159" s="7" t="str">
        <x:v>RS Umum Widodo</x:v>
      </x:c>
      <x:c r="C1159" s="7" t="str">
        <x:v>C</x:v>
      </x:c>
      <x:c r="D1159" s="7" t="str">
        <x:v>NGAWI</x:v>
      </x:c>
      <x:c r="E1159" s="8">
        <x:v>58680</x:v>
      </x:c>
      <x:c r="F1159" s="9">
        <x:v>35589850050</x:v>
      </x:c>
      <x:c r="G1159" s="9">
        <x:v>44124859402.22001</x:v>
      </x:c>
      <x:c r="H1159" s="10" t="n">
        <x:f>G1159-F1159</x:f>
        <x:v>8535009352.220009</x:v>
      </x:c>
    </x:row>
    <x:row r="1160">
      <x:c r="A1160" s="7" t="str">
        <x:v>3521015</x:v>
      </x:c>
      <x:c r="B1160" s="7" t="str">
        <x:v>RS Umum At-Tin Husada</x:v>
      </x:c>
      <x:c r="C1160" s="7" t="str">
        <x:v>C</x:v>
      </x:c>
      <x:c r="D1160" s="7" t="str">
        <x:v>NGAWI</x:v>
      </x:c>
      <x:c r="E1160" s="8">
        <x:v>63158</x:v>
      </x:c>
      <x:c r="F1160" s="9">
        <x:v>48130205000</x:v>
      </x:c>
      <x:c r="G1160" s="9">
        <x:v>58954080230.86999</x:v>
      </x:c>
      <x:c r="H1160" s="10" t="n">
        <x:f>G1160-F1160</x:f>
        <x:v>10823875230.869987</x:v>
      </x:c>
    </x:row>
    <x:row r="1161">
      <x:c r="A1161" s="7" t="str">
        <x:v>3521027</x:v>
      </x:c>
      <x:c r="B1161" s="7" t="str">
        <x:v>RS Umum Daerah Geneng</x:v>
      </x:c>
      <x:c r="C1161" s="7" t="str">
        <x:v>D</x:v>
      </x:c>
      <x:c r="D1161" s="7" t="str">
        <x:v>NGAWI</x:v>
      </x:c>
      <x:c r="E1161" s="8">
        <x:v>6310</x:v>
      </x:c>
      <x:c r="F1161" s="9">
        <x:v>3765848100</x:v>
      </x:c>
      <x:c r="G1161" s="9">
        <x:v>5228773423.659999</x:v>
      </x:c>
      <x:c r="H1161" s="10" t="n">
        <x:f>G1161-F1161</x:f>
        <x:v>1462925323.659999</x:v>
      </x:c>
    </x:row>
    <x:row r="1162">
      <x:c r="A1162" s="7" t="str">
        <x:v>3521028</x:v>
      </x:c>
      <x:c r="B1162" s="7" t="str">
        <x:v>RS Umum Daerah Mantingan</x:v>
      </x:c>
      <x:c r="C1162" s="7" t="str">
        <x:v>D</x:v>
      </x:c>
      <x:c r="D1162" s="7" t="str">
        <x:v>NGAWI</x:v>
      </x:c>
      <x:c r="E1162" s="8">
        <x:v>7749</x:v>
      </x:c>
      <x:c r="F1162" s="9">
        <x:v>4471321000</x:v>
      </x:c>
      <x:c r="G1162" s="9">
        <x:v>6154653365.649997</x:v>
      </x:c>
      <x:c r="H1162" s="10" t="n">
        <x:f>G1162-F1162</x:f>
        <x:v>1683332365.6499968</x:v>
      </x:c>
    </x:row>
    <x:row r="1163">
      <x:c r="A1163" s="7" t="str">
        <x:v>3522014</x:v>
      </x:c>
      <x:c r="B1163" s="7" t="str">
        <x:v>RS Umum Daerah Dr. R. Sosodoro Djatikoesoemo</x:v>
      </x:c>
      <x:c r="C1163" s="7" t="str">
        <x:v>B</x:v>
      </x:c>
      <x:c r="D1163" s="7" t="str">
        <x:v>BOJONEGORO</x:v>
      </x:c>
      <x:c r="E1163" s="8">
        <x:v>154215</x:v>
      </x:c>
      <x:c r="F1163" s="9">
        <x:v>186860394465</x:v>
      </x:c>
      <x:c r="G1163" s="9">
        <x:v>221698518925.28983</x:v>
      </x:c>
      <x:c r="H1163" s="10" t="n">
        <x:f>G1163-F1163</x:f>
        <x:v>34838124460.289825</x:v>
      </x:c>
    </x:row>
    <x:row r="1164">
      <x:c r="A1164" s="7" t="str">
        <x:v>3522025</x:v>
      </x:c>
      <x:c r="B1164" s="7" t="str">
        <x:v>Rumah Sakit Aisyiyah Bojonegoro</x:v>
      </x:c>
      <x:c r="C1164" s="7" t="str">
        <x:v>C</x:v>
      </x:c>
      <x:c r="D1164" s="7" t="str">
        <x:v>BOJONEGORO</x:v>
      </x:c>
      <x:c r="E1164" s="8">
        <x:v>48040</x:v>
      </x:c>
      <x:c r="F1164" s="9">
        <x:v>59121544800</x:v>
      </x:c>
      <x:c r="G1164" s="9">
        <x:v>71760158181.72</x:v>
      </x:c>
      <x:c r="H1164" s="10" t="n">
        <x:f>G1164-F1164</x:f>
        <x:v>12638613381.720001</x:v>
      </x:c>
    </x:row>
    <x:row r="1165">
      <x:c r="A1165" s="7" t="str">
        <x:v>3522036</x:v>
      </x:c>
      <x:c r="B1165" s="7" t="str">
        <x:v>RSI Muhammadiyah Sumberrejo</x:v>
      </x:c>
      <x:c r="C1165" s="7" t="str">
        <x:v>D</x:v>
      </x:c>
      <x:c r="D1165" s="7" t="str">
        <x:v>BOJONEGORO</x:v>
      </x:c>
      <x:c r="E1165" s="8">
        <x:v>34617</x:v>
      </x:c>
      <x:c r="F1165" s="9">
        <x:v>29772077200</x:v>
      </x:c>
      <x:c r="G1165" s="9">
        <x:v>40369240949.479996</x:v>
      </x:c>
      <x:c r="H1165" s="10" t="n">
        <x:f>G1165-F1165</x:f>
        <x:v>10597163749.479996</x:v>
      </x:c>
    </x:row>
    <x:row r="1166">
      <x:c r="A1166" s="7" t="str">
        <x:v>3522047</x:v>
      </x:c>
      <x:c r="B1166" s="7" t="str">
        <x:v>RS Umum Daerah Sumberrejo</x:v>
      </x:c>
      <x:c r="C1166" s="7" t="str">
        <x:v>C</x:v>
      </x:c>
      <x:c r="D1166" s="7" t="str">
        <x:v>BOJONEGORO</x:v>
      </x:c>
      <x:c r="E1166" s="8">
        <x:v>25308</x:v>
      </x:c>
      <x:c r="F1166" s="9">
        <x:v>24487655200</x:v>
      </x:c>
      <x:c r="G1166" s="9">
        <x:v>33179079510.400005</x:v>
      </x:c>
      <x:c r="H1166" s="10" t="n">
        <x:f>G1166-F1166</x:f>
        <x:v>8691424310.400005</x:v>
      </x:c>
    </x:row>
    <x:row r="1167">
      <x:c r="A1167" s="7" t="str">
        <x:v>3522058</x:v>
      </x:c>
      <x:c r="B1167" s="7" t="str">
        <x:v>RS umum Daerah Padangan</x:v>
      </x:c>
      <x:c r="C1167" s="7" t="str">
        <x:v>C</x:v>
      </x:c>
      <x:c r="D1167" s="7" t="str">
        <x:v>BOJONEGORO</x:v>
      </x:c>
      <x:c r="E1167" s="8">
        <x:v>52650</x:v>
      </x:c>
      <x:c r="F1167" s="9">
        <x:v>40724506400</x:v>
      </x:c>
      <x:c r="G1167" s="9">
        <x:v>53398724786.44</x:v>
      </x:c>
      <x:c r="H1167" s="10" t="n">
        <x:f>G1167-F1167</x:f>
        <x:v>12674218386.440002</x:v>
      </x:c>
    </x:row>
    <x:row r="1168">
      <x:c r="A1168" s="7" t="str">
        <x:v>3522059</x:v>
      </x:c>
      <x:c r="B1168" s="7" t="str">
        <x:v>RS Bhayangkara Wahyu Tutuko Bojonegoro</x:v>
      </x:c>
      <x:c r="C1168" s="7" t="str">
        <x:v>C</x:v>
      </x:c>
      <x:c r="D1168" s="7" t="str">
        <x:v>BOJONEGORO</x:v>
      </x:c>
      <x:c r="E1168" s="8">
        <x:v>19850</x:v>
      </x:c>
      <x:c r="F1168" s="9">
        <x:v>22785069300</x:v>
      </x:c>
      <x:c r="G1168" s="9">
        <x:v>28389871369.589993</x:v>
      </x:c>
      <x:c r="H1168" s="10" t="n">
        <x:f>G1168-F1168</x:f>
        <x:v>5604802069.589993</x:v>
      </x:c>
    </x:row>
    <x:row r="1169">
      <x:c r="A1169" s="7" t="str">
        <x:v>3522060</x:v>
      </x:c>
      <x:c r="B1169" s="7" t="str">
        <x:v>RS Muhammadiyah Kalitidu</x:v>
      </x:c>
      <x:c r="C1169" s="7" t="str">
        <x:v>D</x:v>
      </x:c>
      <x:c r="D1169" s="7" t="str">
        <x:v>BOJONEGORO</x:v>
      </x:c>
      <x:c r="E1169" s="8">
        <x:v>12080</x:v>
      </x:c>
      <x:c r="F1169" s="9">
        <x:v>15634161200</x:v>
      </x:c>
      <x:c r="G1169" s="9">
        <x:v>22079587850.899998</x:v>
      </x:c>
      <x:c r="H1169" s="10" t="n">
        <x:f>G1169-F1169</x:f>
        <x:v>6445426650.899998</x:v>
      </x:c>
    </x:row>
    <x:row r="1170">
      <x:c r="A1170" s="7" t="str">
        <x:v>3522062</x:v>
      </x:c>
      <x:c r="B1170" s="7" t="str">
        <x:v>RS Muslimat NU Muna Anggita Bojonegoro</x:v>
      </x:c>
      <x:c r="C1170" s="7" t="str">
        <x:v>D</x:v>
      </x:c>
      <x:c r="D1170" s="7" t="str">
        <x:v>BOJONEGORO</x:v>
      </x:c>
      <x:c r="E1170" s="8">
        <x:v>2901</x:v>
      </x:c>
      <x:c r="F1170" s="9">
        <x:v>4620316800</x:v>
      </x:c>
      <x:c r="G1170" s="9">
        <x:v>6783470473.079999</x:v>
      </x:c>
      <x:c r="H1170" s="10" t="n">
        <x:f>G1170-F1170</x:f>
        <x:v>2163153673.079999</x:v>
      </x:c>
    </x:row>
    <x:row r="1171">
      <x:c r="A1171" s="7" t="str">
        <x:v>3522064</x:v>
      </x:c>
      <x:c r="B1171" s="7" t="str">
        <x:v>RS Ibu dan Anak Fatma</x:v>
      </x:c>
      <x:c r="C1171" s="7" t="str">
        <x:v>C</x:v>
      </x:c>
      <x:c r="D1171" s="7" t="str">
        <x:v>BOJONEGORO</x:v>
      </x:c>
      <x:c r="E1171" s="8">
        <x:v>10237</x:v>
      </x:c>
      <x:c r="F1171" s="9">
        <x:v>19160442900</x:v>
      </x:c>
      <x:c r="G1171" s="9">
        <x:v>26587843156.58001</x:v>
      </x:c>
      <x:c r="H1171" s="10" t="n">
        <x:f>G1171-F1171</x:f>
        <x:v>7427400256.580009</x:v>
      </x:c>
    </x:row>
    <x:row r="1172">
      <x:c r="A1172" s="7" t="str">
        <x:v>3522075</x:v>
      </x:c>
      <x:c r="B1172" s="7" t="str">
        <x:v>RS Umum Daerah Kepohbaru</x:v>
      </x:c>
      <x:c r="C1172" s="7" t="str">
        <x:v>D</x:v>
      </x:c>
      <x:c r="D1172" s="7" t="str">
        <x:v>BOJONEGORO</x:v>
      </x:c>
      <x:c r="E1172" s="8">
        <x:v>9257</x:v>
      </x:c>
      <x:c r="F1172" s="9">
        <x:v>7630395000</x:v>
      </x:c>
      <x:c r="G1172" s="9">
        <x:v>11158049126.96</x:v>
      </x:c>
      <x:c r="H1172" s="10" t="n">
        <x:f>G1172-F1172</x:f>
        <x:v>3527654126.959999</x:v>
      </x:c>
    </x:row>
    <x:row r="1173">
      <x:c r="A1173" s="7" t="str">
        <x:v>3523015</x:v>
      </x:c>
      <x:c r="B1173" s="7" t="str">
        <x:v>RS Umum Daerah Dr. R. Koesma Tuban</x:v>
      </x:c>
      <x:c r="C1173" s="7" t="str">
        <x:v>B</x:v>
      </x:c>
      <x:c r="D1173" s="7" t="str">
        <x:v>TUBAN</x:v>
      </x:c>
      <x:c r="E1173" s="8">
        <x:v>84284</x:v>
      </x:c>
      <x:c r="F1173" s="9">
        <x:v>96482311970</x:v>
      </x:c>
      <x:c r="G1173" s="9">
        <x:v>110002320742.17</x:v>
      </x:c>
      <x:c r="H1173" s="10" t="n">
        <x:f>G1173-F1173</x:f>
        <x:v>13520008772.169998</x:v>
      </x:c>
    </x:row>
    <x:row r="1174">
      <x:c r="A1174" s="7" t="str">
        <x:v>3523041</x:v>
      </x:c>
      <x:c r="B1174" s="7" t="str">
        <x:v>RS Medika Mulia Tuban</x:v>
      </x:c>
      <x:c r="C1174" s="7" t="str">
        <x:v>C</x:v>
      </x:c>
      <x:c r="D1174" s="7" t="str">
        <x:v>TUBAN</x:v>
      </x:c>
      <x:c r="E1174" s="8">
        <x:v>42660</x:v>
      </x:c>
      <x:c r="F1174" s="9">
        <x:v>31915828200</x:v>
      </x:c>
      <x:c r="G1174" s="9">
        <x:v>38735634218.24001</x:v>
      </x:c>
      <x:c r="H1174" s="10" t="n">
        <x:f>G1174-F1174</x:f>
        <x:v>6819806018.240013</x:v>
      </x:c>
    </x:row>
    <x:row r="1175">
      <x:c r="A1175" s="7" t="str">
        <x:v>3523052</x:v>
      </x:c>
      <x:c r="B1175" s="7" t="str">
        <x:v>RS Muhammadiyah Tuban</x:v>
      </x:c>
      <x:c r="C1175" s="7" t="str">
        <x:v>D</x:v>
      </x:c>
      <x:c r="D1175" s="7" t="str">
        <x:v>TUBAN</x:v>
      </x:c>
      <x:c r="E1175" s="8">
        <x:v>10801</x:v>
      </x:c>
      <x:c r="F1175" s="9">
        <x:v>10996531900</x:v>
      </x:c>
      <x:c r="G1175" s="9">
        <x:v>13584697418.66</x:v>
      </x:c>
      <x:c r="H1175" s="10" t="n">
        <x:f>G1175-F1175</x:f>
        <x:v>2588165518.66</x:v>
      </x:c>
    </x:row>
    <x:row r="1176">
      <x:c r="A1176" s="7" t="str">
        <x:v>3523053</x:v>
      </x:c>
      <x:c r="B1176" s="7" t="str">
        <x:v>RS Nahdlatul Ulama Tuban</x:v>
      </x:c>
      <x:c r="C1176" s="7" t="str">
        <x:v>C</x:v>
      </x:c>
      <x:c r="D1176" s="7" t="str">
        <x:v>TUBAN</x:v>
      </x:c>
      <x:c r="E1176" s="8">
        <x:v>47158</x:v>
      </x:c>
      <x:c r="F1176" s="9">
        <x:v>38810208150</x:v>
      </x:c>
      <x:c r="G1176" s="9">
        <x:v>44966486484.55</x:v>
      </x:c>
      <x:c r="H1176" s="10" t="n">
        <x:f>G1176-F1176</x:f>
        <x:v>6156278334.550003</x:v>
      </x:c>
    </x:row>
    <x:row r="1177">
      <x:c r="A1177" s="7" t="str">
        <x:v>3523055</x:v>
      </x:c>
      <x:c r="B1177" s="7" t="str">
        <x:v>RS Umum Daerah R. Ali Manshur</x:v>
      </x:c>
      <x:c r="C1177" s="7" t="str">
        <x:v>C</x:v>
      </x:c>
      <x:c r="D1177" s="7" t="str">
        <x:v>TUBAN</x:v>
      </x:c>
      <x:c r="E1177" s="8">
        <x:v>15693</x:v>
      </x:c>
      <x:c r="F1177" s="9">
        <x:v>14666355600</x:v>
      </x:c>
      <x:c r="G1177" s="9">
        <x:v>18853878314.789993</x:v>
      </x:c>
      <x:c r="H1177" s="10" t="n">
        <x:f>G1177-F1177</x:f>
        <x:v>4187522714.7899933</x:v>
      </x:c>
    </x:row>
    <x:row r="1178">
      <x:c r="A1178" s="7" t="str">
        <x:v>3523056</x:v>
      </x:c>
      <x:c r="B1178" s="7" t="str">
        <x:v>RS Graha Husada</x:v>
      </x:c>
      <x:c r="C1178" s="7" t="str">
        <x:v>D</x:v>
      </x:c>
      <x:c r="D1178" s="7" t="str">
        <x:v>TUBAN</x:v>
      </x:c>
      <x:c r="E1178" s="8">
        <x:v>10389</x:v>
      </x:c>
      <x:c r="F1178" s="9">
        <x:v>13009588700</x:v>
      </x:c>
      <x:c r="G1178" s="9">
        <x:v>18330255603.050007</x:v>
      </x:c>
      <x:c r="H1178" s="10" t="n">
        <x:f>G1178-F1178</x:f>
        <x:v>5320666903.050007</x:v>
      </x:c>
    </x:row>
    <x:row r="1179">
      <x:c r="A1179" s="7" t="str">
        <x:v>3524016</x:v>
      </x:c>
      <x:c r="B1179" s="7" t="str">
        <x:v>RS Umum Daerah Dr. Soegiri Lamongan</x:v>
      </x:c>
      <x:c r="C1179" s="7" t="str">
        <x:v>B</x:v>
      </x:c>
      <x:c r="D1179" s="7" t="str">
        <x:v>LAMONGAN</x:v>
      </x:c>
      <x:c r="E1179" s="8">
        <x:v>98434</x:v>
      </x:c>
      <x:c r="F1179" s="9">
        <x:v>106944182665</x:v>
      </x:c>
      <x:c r="G1179" s="9">
        <x:v>121648542085.52994</x:v>
      </x:c>
      <x:c r="H1179" s="10" t="n">
        <x:f>G1179-F1179</x:f>
        <x:v>14704359420.529938</x:v>
      </x:c>
    </x:row>
    <x:row r="1180">
      <x:c r="A1180" s="7" t="str">
        <x:v>3524020</x:v>
      </x:c>
      <x:c r="B1180" s="7" t="str">
        <x:v>RS Islam Nashrul Ummah</x:v>
      </x:c>
      <x:c r="C1180" s="7" t="str">
        <x:v>C</x:v>
      </x:c>
      <x:c r="D1180" s="7" t="str">
        <x:v>LAMONGAN</x:v>
      </x:c>
      <x:c r="E1180" s="8">
        <x:v>28701</x:v>
      </x:c>
      <x:c r="F1180" s="9">
        <x:v>31063892600</x:v>
      </x:c>
      <x:c r="G1180" s="9">
        <x:v>38221524442.960014</x:v>
      </x:c>
      <x:c r="H1180" s="10" t="n">
        <x:f>G1180-F1180</x:f>
        <x:v>7157631842.960014</x:v>
      </x:c>
    </x:row>
    <x:row r="1181">
      <x:c r="A1181" s="7" t="str">
        <x:v>3524031</x:v>
      </x:c>
      <x:c r="B1181" s="7" t="str">
        <x:v>RS Umum Muhammadiyah Lamongan</x:v>
      </x:c>
      <x:c r="C1181" s="7" t="str">
        <x:v>B</x:v>
      </x:c>
      <x:c r="D1181" s="7" t="str">
        <x:v>LAMONGAN</x:v>
      </x:c>
      <x:c r="E1181" s="8">
        <x:v>74905</x:v>
      </x:c>
      <x:c r="F1181" s="9">
        <x:v>92547920700</x:v>
      </x:c>
      <x:c r="G1181" s="9">
        <x:v>105266730110.36003</x:v>
      </x:c>
      <x:c r="H1181" s="10" t="n">
        <x:f>G1181-F1181</x:f>
        <x:v>12718809410.360031</x:v>
      </x:c>
    </x:row>
    <x:row r="1182">
      <x:c r="A1182" s="7" t="str">
        <x:v>3524042</x:v>
      </x:c>
      <x:c r="B1182" s="7" t="str">
        <x:v>RS Umum Daerah Ngimbang</x:v>
      </x:c>
      <x:c r="C1182" s="7" t="str">
        <x:v>C</x:v>
      </x:c>
      <x:c r="D1182" s="7" t="str">
        <x:v>LAMONGAN</x:v>
      </x:c>
      <x:c r="E1182" s="8">
        <x:v>19015</x:v>
      </x:c>
      <x:c r="F1182" s="9">
        <x:v>20141174300</x:v>
      </x:c>
      <x:c r="G1182" s="9">
        <x:v>25403451181.810005</x:v>
      </x:c>
      <x:c r="H1182" s="10" t="n">
        <x:f>G1182-F1182</x:f>
        <x:v>5262276881.810005</x:v>
      </x:c>
    </x:row>
    <x:row r="1183">
      <x:c r="A1183" s="7" t="str">
        <x:v>3524043</x:v>
      </x:c>
      <x:c r="B1183" s="7" t="str">
        <x:v>RS Bedah Mitra Sehat</x:v>
      </x:c>
      <x:c r="C1183" s="7" t="str">
        <x:v>C</x:v>
      </x:c>
      <x:c r="D1183" s="7" t="str">
        <x:v>LAMONGAN</x:v>
      </x:c>
      <x:c r="E1183" s="8">
        <x:v>1519</x:v>
      </x:c>
      <x:c r="F1183" s="9">
        <x:v>5177464100</x:v>
      </x:c>
      <x:c r="G1183" s="9">
        <x:v>6414770959.130001</x:v>
      </x:c>
      <x:c r="H1183" s="10" t="n">
        <x:f>G1183-F1183</x:f>
        <x:v>1237306859.130001</x:v>
      </x:c>
    </x:row>
    <x:row r="1184">
      <x:c r="A1184" s="7" t="str">
        <x:v>3524044</x:v>
      </x:c>
      <x:c r="B1184" s="7" t="str">
        <x:v>RS Abdurrahman Syamsuri (Arsy)</x:v>
      </x:c>
      <x:c r="C1184" s="7" t="str">
        <x:v>D</x:v>
      </x:c>
      <x:c r="D1184" s="7" t="str">
        <x:v>LAMONGAN</x:v>
      </x:c>
      <x:c r="E1184" s="8">
        <x:v>15967</x:v>
      </x:c>
      <x:c r="F1184" s="9">
        <x:v>11926635400</x:v>
      </x:c>
      <x:c r="G1184" s="9">
        <x:v>16757230033.369997</x:v>
      </x:c>
      <x:c r="H1184" s="10" t="n">
        <x:f>G1184-F1184</x:f>
        <x:v>4830594633.369997</x:v>
      </x:c>
    </x:row>
    <x:row r="1185">
      <x:c r="A1185" s="7" t="str">
        <x:v>3524045</x:v>
      </x:c>
      <x:c r="B1185" s="7" t="str">
        <x:v>RS Umum dr. Suyudi</x:v>
      </x:c>
      <x:c r="C1185" s="7" t="str">
        <x:v>C</x:v>
      </x:c>
      <x:c r="D1185" s="7" t="str">
        <x:v>LAMONGAN</x:v>
      </x:c>
      <x:c r="E1185" s="8">
        <x:v>24987</x:v>
      </x:c>
      <x:c r="F1185" s="9">
        <x:v>23948637800</x:v>
      </x:c>
      <x:c r="G1185" s="9">
        <x:v>27745423765.900005</x:v>
      </x:c>
      <x:c r="H1185" s="10" t="n">
        <x:f>G1185-F1185</x:f>
        <x:v>3796785965.9000053</x:v>
      </x:c>
    </x:row>
    <x:row r="1186">
      <x:c r="A1186" s="7" t="str">
        <x:v>3524046</x:v>
      </x:c>
      <x:c r="B1186" s="7" t="str">
        <x:v>RS Umum Intan Medika</x:v>
      </x:c>
      <x:c r="C1186" s="7" t="str">
        <x:v>C</x:v>
      </x:c>
      <x:c r="D1186" s="7" t="str">
        <x:v>LAMONGAN</x:v>
      </x:c>
      <x:c r="E1186" s="8">
        <x:v>26032</x:v>
      </x:c>
      <x:c r="F1186" s="9">
        <x:v>26702832200</x:v>
      </x:c>
      <x:c r="G1186" s="9">
        <x:v>35093859375.76</x:v>
      </x:c>
      <x:c r="H1186" s="10" t="n">
        <x:f>G1186-F1186</x:f>
        <x:v>8391027175.760002</x:v>
      </x:c>
    </x:row>
    <x:row r="1187">
      <x:c r="A1187" s="7" t="str">
        <x:v>3524047</x:v>
      </x:c>
      <x:c r="B1187" s="7" t="str">
        <x:v>RS Muhammadiyah Babat</x:v>
      </x:c>
      <x:c r="C1187" s="7" t="str">
        <x:v>D</x:v>
      </x:c>
      <x:c r="D1187" s="7" t="str">
        <x:v>LAMONGAN</x:v>
      </x:c>
      <x:c r="E1187" s="8">
        <x:v>19052</x:v>
      </x:c>
      <x:c r="F1187" s="9">
        <x:v>11832119800</x:v>
      </x:c>
      <x:c r="G1187" s="9">
        <x:v>16851606562.719995</x:v>
      </x:c>
      <x:c r="H1187" s="10" t="n">
        <x:f>G1187-F1187</x:f>
        <x:v>5019486762.7199955</x:v>
      </x:c>
    </x:row>
    <x:row r="1188">
      <x:c r="A1188" s="7" t="str">
        <x:v>3524048</x:v>
      </x:c>
      <x:c r="B1188" s="7" t="str">
        <x:v>RS Umum Citra Medika Lamongan</x:v>
      </x:c>
      <x:c r="C1188" s="7" t="str">
        <x:v>D</x:v>
      </x:c>
      <x:c r="D1188" s="7" t="str">
        <x:v>LAMONGAN</x:v>
      </x:c>
      <x:c r="E1188" s="8">
        <x:v>2084</x:v>
      </x:c>
      <x:c r="F1188" s="9">
        <x:v>5345426600</x:v>
      </x:c>
      <x:c r="G1188" s="9">
        <x:v>7308175528.02</x:v>
      </x:c>
      <x:c r="H1188" s="10" t="n">
        <x:f>G1188-F1188</x:f>
        <x:v>1962748928.0200005</x:v>
      </x:c>
    </x:row>
    <x:row r="1189">
      <x:c r="A1189" s="7" t="str">
        <x:v>3524049</x:v>
      </x:c>
      <x:c r="B1189" s="7" t="str">
        <x:v>RS Umum Muhammadiyah Babat</x:v>
      </x:c>
      <x:c r="C1189" s="7" t="str">
        <x:v>C</x:v>
      </x:c>
      <x:c r="D1189" s="7" t="str">
        <x:v>LAMONGAN</x:v>
      </x:c>
      <x:c r="E1189" s="8">
        <x:v>22592</x:v>
      </x:c>
      <x:c r="F1189" s="9">
        <x:v>22011533500</x:v>
      </x:c>
      <x:c r="G1189" s="9">
        <x:v>27619931046.530006</x:v>
      </x:c>
      <x:c r="H1189" s="10" t="n">
        <x:f>G1189-F1189</x:f>
        <x:v>5608397546.530006</x:v>
      </x:c>
    </x:row>
    <x:row r="1190">
      <x:c r="A1190" s="7" t="str">
        <x:v>3524050</x:v>
      </x:c>
      <x:c r="B1190" s="7" t="str">
        <x:v>RS Umum Permata Bunda</x:v>
      </x:c>
      <x:c r="C1190" s="7" t="str">
        <x:v>D</x:v>
      </x:c>
      <x:c r="D1190" s="7" t="str">
        <x:v>LAMONGAN</x:v>
      </x:c>
      <x:c r="E1190" s="8">
        <x:v>2692</x:v>
      </x:c>
      <x:c r="F1190" s="9">
        <x:v>5725929000</x:v>
      </x:c>
      <x:c r="G1190" s="9">
        <x:v>7581613978.43</x:v>
      </x:c>
      <x:c r="H1190" s="10" t="n">
        <x:f>G1190-F1190</x:f>
        <x:v>1855684978.4300003</x:v>
      </x:c>
    </x:row>
    <x:row r="1191">
      <x:c r="A1191" s="7" t="str">
        <x:v>3524052</x:v>
      </x:c>
      <x:c r="B1191" s="7" t="str">
        <x:v>RS Umum Daerah Karangkembang</x:v>
      </x:c>
      <x:c r="C1191" s="7" t="str">
        <x:v>D</x:v>
      </x:c>
      <x:c r="D1191" s="7" t="str">
        <x:v>LAMONGAN</x:v>
      </x:c>
      <x:c r="E1191" s="8">
        <x:v>2795</x:v>
      </x:c>
      <x:c r="F1191" s="9">
        <x:v>2623860800</x:v>
      </x:c>
      <x:c r="G1191" s="9">
        <x:v>4329911012.35</x:v>
      </x:c>
      <x:c r="H1191" s="10" t="n">
        <x:f>G1191-F1191</x:f>
        <x:v>1706050212.3500004</x:v>
      </x:c>
    </x:row>
    <x:row r="1192">
      <x:c r="A1192" s="7" t="str">
        <x:v>3524056</x:v>
      </x:c>
      <x:c r="B1192" s="7" t="str">
        <x:v>RS Muhammadiyah Kalikapas Lamongan</x:v>
      </x:c>
      <x:c r="C1192" s="7" t="str">
        <x:v>D</x:v>
      </x:c>
      <x:c r="D1192" s="7" t="str">
        <x:v>LAMONGAN</x:v>
      </x:c>
      <x:c r="E1192" s="8">
        <x:v>2583</x:v>
      </x:c>
      <x:c r="F1192" s="9">
        <x:v>2613709100</x:v>
      </x:c>
      <x:c r="G1192" s="9">
        <x:v>3383167924</x:v>
      </x:c>
      <x:c r="H1192" s="10" t="n">
        <x:f>G1192-F1192</x:f>
        <x:v>769458824</x:v>
      </x:c>
    </x:row>
    <x:row r="1193">
      <x:c r="A1193" s="7" t="str">
        <x:v>3524072</x:v>
      </x:c>
      <x:c r="B1193" s="7" t="str">
        <x:v>RS Permata Hati Lamongan</x:v>
      </x:c>
      <x:c r="C1193" s="7" t="str">
        <x:v>D</x:v>
      </x:c>
      <x:c r="D1193" s="7" t="str">
        <x:v>LAMONGAN</x:v>
      </x:c>
      <x:c r="E1193" s="8">
        <x:v>6188</x:v>
      </x:c>
      <x:c r="F1193" s="9">
        <x:v>10630993700</x:v>
      </x:c>
      <x:c r="G1193" s="9">
        <x:v>13291170683.030003</x:v>
      </x:c>
      <x:c r="H1193" s="10" t="n">
        <x:f>G1193-F1193</x:f>
        <x:v>2660176983.0300026</x:v>
      </x:c>
    </x:row>
    <x:row r="1194">
      <x:c r="A1194" s="7" t="str">
        <x:v>3524073</x:v>
      </x:c>
      <x:c r="B1194" s="7" t="str">
        <x:v>RS Nahdlatul Ulama Babat</x:v>
      </x:c>
      <x:c r="C1194" s="7" t="str">
        <x:v>D</x:v>
      </x:c>
      <x:c r="D1194" s="7" t="str">
        <x:v>LAMONGAN</x:v>
      </x:c>
      <x:c r="E1194" s="8">
        <x:v>4136</x:v>
      </x:c>
      <x:c r="F1194" s="9">
        <x:v>4375330600</x:v>
      </x:c>
      <x:c r="G1194" s="9">
        <x:v>5833748718.59</x:v>
      </x:c>
      <x:c r="H1194" s="10" t="n">
        <x:f>G1194-F1194</x:f>
        <x:v>1458418118.5900002</x:v>
      </x:c>
    </x:row>
    <x:row r="1195">
      <x:c r="A1195" s="7" t="str">
        <x:v>3524076</x:v>
      </x:c>
      <x:c r="B1195" s="7" t="str">
        <x:v>RS Umum Daerah Ki Ageng Brondong</x:v>
      </x:c>
      <x:c r="C1195" s="7" t="str">
        <x:v>D</x:v>
      </x:c>
      <x:c r="D1195" s="7" t="str">
        <x:v>LAMONGAN</x:v>
      </x:c>
      <x:c r="E1195" s="8">
        <x:v>288</x:v>
      </x:c>
      <x:c r="F1195" s="9">
        <x:v>382972800</x:v>
      </x:c>
      <x:c r="G1195" s="9">
        <x:v>564600675.8299998</x:v>
      </x:c>
      <x:c r="H1195" s="10" t="n">
        <x:f>G1195-F1195</x:f>
        <x:v>181627875.8299998</x:v>
      </x:c>
    </x:row>
    <x:row r="1196">
      <x:c r="A1196" s="7" t="str">
        <x:v>3525010</x:v>
      </x:c>
      <x:c r="B1196" s="7" t="str">
        <x:v>RS Umum Daerah Ibnu Sina Kab. Gresik</x:v>
      </x:c>
      <x:c r="C1196" s="7" t="str">
        <x:v>B</x:v>
      </x:c>
      <x:c r="D1196" s="7" t="str">
        <x:v>GRESIK</x:v>
      </x:c>
      <x:c r="E1196" s="8">
        <x:v>95632</x:v>
      </x:c>
      <x:c r="F1196" s="9">
        <x:v>96631084600</x:v>
      </x:c>
      <x:c r="G1196" s="9">
        <x:v>107580348025.09999</x:v>
      </x:c>
      <x:c r="H1196" s="10" t="n">
        <x:f>G1196-F1196</x:f>
        <x:v>10949263425.09999</x:v>
      </x:c>
    </x:row>
    <x:row r="1197">
      <x:c r="A1197" s="7" t="str">
        <x:v>3525021</x:v>
      </x:c>
      <x:c r="B1197" s="7" t="str">
        <x:v>RS Semen Gresik</x:v>
      </x:c>
      <x:c r="C1197" s="7" t="str">
        <x:v>B</x:v>
      </x:c>
      <x:c r="D1197" s="7" t="str">
        <x:v>GRESIK</x:v>
      </x:c>
      <x:c r="E1197" s="8">
        <x:v>99410</x:v>
      </x:c>
      <x:c r="F1197" s="9">
        <x:v>71837971300</x:v>
      </x:c>
      <x:c r="G1197" s="9">
        <x:v>74990901461.97997</x:v>
      </x:c>
      <x:c r="H1197" s="10" t="n">
        <x:f>G1197-F1197</x:f>
        <x:v>3152930161.979965</x:v>
      </x:c>
    </x:row>
    <x:row r="1198">
      <x:c r="A1198" s="7" t="str">
        <x:v>3525043</x:v>
      </x:c>
      <x:c r="B1198" s="7" t="str">
        <x:v>RS Umum Nyai Ageng Pinatih Gresik</x:v>
      </x:c>
      <x:c r="C1198" s="7" t="str">
        <x:v>C</x:v>
      </x:c>
      <x:c r="D1198" s="7" t="str">
        <x:v>GRESIK</x:v>
      </x:c>
      <x:c r="E1198" s="8">
        <x:v>12810</x:v>
      </x:c>
      <x:c r="F1198" s="9">
        <x:v>12748677000</x:v>
      </x:c>
      <x:c r="G1198" s="9">
        <x:v>15072403307.199999</x:v>
      </x:c>
      <x:c r="H1198" s="10" t="n">
        <x:f>G1198-F1198</x:f>
        <x:v>2323726307.199999</x:v>
      </x:c>
    </x:row>
    <x:row r="1199">
      <x:c r="A1199" s="7" t="str">
        <x:v>3525076</x:v>
      </x:c>
      <x:c r="B1199" s="7" t="str">
        <x:v>RS Petrokimia Gresik</x:v>
      </x:c>
      <x:c r="C1199" s="7" t="str">
        <x:v>C</x:v>
      </x:c>
      <x:c r="D1199" s="7" t="str">
        <x:v>GRESIK</x:v>
      </x:c>
      <x:c r="E1199" s="8">
        <x:v>107113</x:v>
      </x:c>
      <x:c r="F1199" s="9">
        <x:v>64196392100</x:v>
      </x:c>
      <x:c r="G1199" s="9">
        <x:v>75439203376.85002</x:v>
      </x:c>
      <x:c r="H1199" s="10" t="n">
        <x:f>G1199-F1199</x:f>
        <x:v>11242811276.850021</x:v>
      </x:c>
    </x:row>
    <x:row r="1200">
      <x:c r="A1200" s="7" t="str">
        <x:v>3525087</x:v>
      </x:c>
      <x:c r="B1200" s="7" t="str">
        <x:v>RS Denisa</x:v>
      </x:c>
      <x:c r="C1200" s="7" t="str">
        <x:v>D</x:v>
      </x:c>
      <x:c r="D1200" s="7" t="str">
        <x:v>GRESIK</x:v>
      </x:c>
      <x:c r="E1200" s="8">
        <x:v>6160</x:v>
      </x:c>
      <x:c r="F1200" s="9">
        <x:v>5880021400</x:v>
      </x:c>
      <x:c r="G1200" s="9">
        <x:v>7297648480.749997</x:v>
      </x:c>
      <x:c r="H1200" s="10" t="n">
        <x:f>G1200-F1200</x:f>
        <x:v>1417627080.7499971</x:v>
      </x:c>
    </x:row>
    <x:row r="1201">
      <x:c r="A1201" s="7" t="str">
        <x:v>3525088</x:v>
      </x:c>
      <x:c r="B1201" s="7" t="str">
        <x:v>RS Muhammadiyah Gresik</x:v>
      </x:c>
      <x:c r="C1201" s="7" t="str">
        <x:v>C</x:v>
      </x:c>
      <x:c r="D1201" s="7" t="str">
        <x:v>GRESIK</x:v>
      </x:c>
      <x:c r="E1201" s="8">
        <x:v>23566</x:v>
      </x:c>
      <x:c r="F1201" s="9">
        <x:v>22496885100</x:v>
      </x:c>
      <x:c r="G1201" s="9">
        <x:v>25491517200.290005</x:v>
      </x:c>
      <x:c r="H1201" s="10" t="n">
        <x:f>G1201-F1201</x:f>
        <x:v>2994632100.2900047</x:v>
      </x:c>
    </x:row>
    <x:row r="1202">
      <x:c r="A1202" s="7" t="str">
        <x:v>3525089</x:v>
      </x:c>
      <x:c r="B1202" s="7" t="str">
        <x:v>RS Umum Mabarrot MWC NU</x:v>
      </x:c>
      <x:c r="C1202" s="7" t="str">
        <x:v>D</x:v>
      </x:c>
      <x:c r="D1202" s="7" t="str">
        <x:v>GRESIK</x:v>
      </x:c>
      <x:c r="E1202" s="8">
        <x:v>7690</x:v>
      </x:c>
      <x:c r="F1202" s="9">
        <x:v>7944963400</x:v>
      </x:c>
      <x:c r="G1202" s="9">
        <x:v>10202013511.869995</x:v>
      </x:c>
      <x:c r="H1202" s="10" t="n">
        <x:f>G1202-F1202</x:f>
        <x:v>2257050111.869995</x:v>
      </x:c>
    </x:row>
    <x:row r="1203">
      <x:c r="A1203" s="7" t="str">
        <x:v>3525090</x:v>
      </x:c>
      <x:c r="B1203" s="7" t="str">
        <x:v>RS Umum Wates Husada</x:v>
      </x:c>
      <x:c r="C1203" s="7" t="str">
        <x:v>D</x:v>
      </x:c>
      <x:c r="D1203" s="7" t="str">
        <x:v>GRESIK</x:v>
      </x:c>
      <x:c r="E1203" s="8">
        <x:v>16108</x:v>
      </x:c>
      <x:c r="F1203" s="9">
        <x:v>12949480800</x:v>
      </x:c>
      <x:c r="G1203" s="9">
        <x:v>17430405936.45001</x:v>
      </x:c>
      <x:c r="H1203" s="10" t="n">
        <x:f>G1203-F1203</x:f>
        <x:v>4480925136.450008</x:v>
      </x:c>
    </x:row>
    <x:row r="1204">
      <x:c r="A1204" s="7" t="str">
        <x:v>3525091</x:v>
      </x:c>
      <x:c r="B1204" s="7" t="str">
        <x:v>RS Umum Wali Songo I</x:v>
      </x:c>
      <x:c r="C1204" s="7" t="str">
        <x:v>D</x:v>
      </x:c>
      <x:c r="D1204" s="7" t="str">
        <x:v>GRESIK</x:v>
      </x:c>
      <x:c r="E1204" s="8">
        <x:v>7182</x:v>
      </x:c>
      <x:c r="F1204" s="9">
        <x:v>9078371800</x:v>
      </x:c>
      <x:c r="G1204" s="9">
        <x:v>12965430168.390001</x:v>
      </x:c>
      <x:c r="H1204" s="10" t="n">
        <x:f>G1204-F1204</x:f>
        <x:v>3887058368.3900013</x:v>
      </x:c>
    </x:row>
    <x:row r="1205">
      <x:c r="A1205" s="7" t="str">
        <x:v>3525092</x:v>
      </x:c>
      <x:c r="B1205" s="7" t="str">
        <x:v>RS Grha Husada Gresik</x:v>
      </x:c>
      <x:c r="C1205" s="7" t="str">
        <x:v>D</x:v>
      </x:c>
      <x:c r="D1205" s="7" t="str">
        <x:v>GRESIK</x:v>
      </x:c>
      <x:c r="E1205" s="8">
        <x:v>32461</x:v>
      </x:c>
      <x:c r="F1205" s="9">
        <x:v>10820404100</x:v>
      </x:c>
      <x:c r="G1205" s="9">
        <x:v>13064357596.9</x:v>
      </x:c>
      <x:c r="H1205" s="10" t="n">
        <x:f>G1205-F1205</x:f>
        <x:v>2243953496.8999996</x:v>
      </x:c>
    </x:row>
    <x:row r="1206">
      <x:c r="A1206" s="7" t="str">
        <x:v>3525093</x:v>
      </x:c>
      <x:c r="B1206" s="7" t="str">
        <x:v>RS Fathma Medika</x:v>
      </x:c>
      <x:c r="C1206" s="7" t="str">
        <x:v>C</x:v>
      </x:c>
      <x:c r="D1206" s="7" t="str">
        <x:v>GRESIK</x:v>
      </x:c>
      <x:c r="E1206" s="8">
        <x:v>25758</x:v>
      </x:c>
      <x:c r="F1206" s="9">
        <x:v>20404390500</x:v>
      </x:c>
      <x:c r="G1206" s="9">
        <x:v>25463543821.99001</x:v>
      </x:c>
      <x:c r="H1206" s="10" t="n">
        <x:f>G1206-F1206</x:f>
        <x:v>5059153321.990009</x:v>
      </x:c>
    </x:row>
    <x:row r="1207">
      <x:c r="A1207" s="7" t="str">
        <x:v>3525095</x:v>
      </x:c>
      <x:c r="B1207" s="7" t="str">
        <x:v>RS PKU Muhammadiyah Sekapuk</x:v>
      </x:c>
      <x:c r="C1207" s="7" t="str">
        <x:v>D</x:v>
      </x:c>
      <x:c r="D1207" s="7" t="str">
        <x:v>GRESIK</x:v>
      </x:c>
      <x:c r="E1207" s="8">
        <x:v>17734</x:v>
      </x:c>
      <x:c r="F1207" s="9">
        <x:v>10740133600</x:v>
      </x:c>
      <x:c r="G1207" s="9">
        <x:v>14932773482.360003</x:v>
      </x:c>
      <x:c r="H1207" s="10" t="n">
        <x:f>G1207-F1207</x:f>
        <x:v>4192639882.3600025</x:v>
      </x:c>
    </x:row>
    <x:row r="1208">
      <x:c r="A1208" s="7" t="str">
        <x:v>3525096</x:v>
      </x:c>
      <x:c r="B1208" s="7" t="str">
        <x:v>RS Petrokimia Gresik Driyorejo</x:v>
      </x:c>
      <x:c r="C1208" s="7" t="str">
        <x:v>C</x:v>
      </x:c>
      <x:c r="D1208" s="7" t="str">
        <x:v>GRESIK</x:v>
      </x:c>
      <x:c r="E1208" s="8">
        <x:v>58301</x:v>
      </x:c>
      <x:c r="F1208" s="9">
        <x:v>43722514650</x:v>
      </x:c>
      <x:c r="G1208" s="9">
        <x:v>50721974096.70001</x:v>
      </x:c>
      <x:c r="H1208" s="10" t="n">
        <x:f>G1208-F1208</x:f>
        <x:v>6999459446.700012</x:v>
      </x:c>
    </x:row>
    <x:row r="1209">
      <x:c r="A1209" s="7" t="str">
        <x:v>3525097</x:v>
      </x:c>
      <x:c r="B1209" s="7" t="str">
        <x:v>RS Surya Medika</x:v>
      </x:c>
      <x:c r="C1209" s="7" t="str">
        <x:v>D</x:v>
      </x:c>
      <x:c r="D1209" s="7" t="str">
        <x:v>GRESIK</x:v>
      </x:c>
      <x:c r="E1209" s="8">
        <x:v>22892</x:v>
      </x:c>
      <x:c r="F1209" s="9">
        <x:v>18843386500</x:v>
      </x:c>
      <x:c r="G1209" s="9">
        <x:v>24932134123.57</x:v>
      </x:c>
      <x:c r="H1209" s="10" t="n">
        <x:f>G1209-F1209</x:f>
        <x:v>6088747623.57</x:v>
      </x:c>
    </x:row>
    <x:row r="1210">
      <x:c r="A1210" s="7" t="str">
        <x:v>3525098</x:v>
      </x:c>
      <x:c r="B1210" s="7" t="str">
        <x:v>RS Umum Islam Cahaya Giri Gresik</x:v>
      </x:c>
      <x:c r="C1210" s="7" t="str">
        <x:v>D</x:v>
      </x:c>
      <x:c r="D1210" s="7" t="str">
        <x:v>GRESIK</x:v>
      </x:c>
      <x:c r="E1210" s="8">
        <x:v>2932</x:v>
      </x:c>
      <x:c r="F1210" s="9">
        <x:v>4277917500</x:v>
      </x:c>
      <x:c r="G1210" s="9">
        <x:v>4907752779.189999</x:v>
      </x:c>
      <x:c r="H1210" s="10" t="n">
        <x:f>G1210-F1210</x:f>
        <x:v>629835279.1899986</x:v>
      </x:c>
    </x:row>
    <x:row r="1211">
      <x:c r="A1211" s="7" t="str">
        <x:v>3525099</x:v>
      </x:c>
      <x:c r="B1211" s="7" t="str">
        <x:v>RS Umum Rachmi Dewi</x:v>
      </x:c>
      <x:c r="C1211" s="7" t="str">
        <x:v>D</x:v>
      </x:c>
      <x:c r="D1211" s="7" t="str">
        <x:v>GRESIK</x:v>
      </x:c>
      <x:c r="E1211" s="8">
        <x:v>217</x:v>
      </x:c>
      <x:c r="F1211" s="9">
        <x:v>414651700</x:v>
      </x:c>
      <x:c r="G1211" s="9">
        <x:v>497815534.3200002</x:v>
      </x:c>
      <x:c r="H1211" s="10" t="n">
        <x:f>G1211-F1211</x:f>
        <x:v>83163834.32000017</x:v>
      </x:c>
    </x:row>
    <x:row r="1212">
      <x:c r="A1212" s="7" t="str">
        <x:v>3525101</x:v>
      </x:c>
      <x:c r="B1212" s="7" t="str">
        <x:v>RS Umum Daerah Umar Mas'ud Bawean</x:v>
      </x:c>
      <x:c r="C1212" s="7" t="str">
        <x:v>D</x:v>
      </x:c>
      <x:c r="D1212" s="7" t="str">
        <x:v>GRESIK</x:v>
      </x:c>
      <x:c r="E1212" s="8">
        <x:v>6577</x:v>
      </x:c>
      <x:c r="F1212" s="9">
        <x:v>5222193000</x:v>
      </x:c>
      <x:c r="G1212" s="9">
        <x:v>7780814026.859997</x:v>
      </x:c>
      <x:c r="H1212" s="10" t="n">
        <x:f>G1212-F1212</x:f>
        <x:v>2558621026.859997</x:v>
      </x:c>
    </x:row>
    <x:row r="1213">
      <x:c r="A1213" s="7" t="str">
        <x:v>3525102</x:v>
      </x:c>
      <x:c r="B1213" s="7" t="str">
        <x:v>RS Umum Randegansari Husada</x:v>
      </x:c>
      <x:c r="C1213" s="7" t="str">
        <x:v>D</x:v>
      </x:c>
      <x:c r="D1213" s="7" t="str">
        <x:v>GRESIK</x:v>
      </x:c>
      <x:c r="E1213" s="8">
        <x:v>15820</x:v>
      </x:c>
      <x:c r="F1213" s="9">
        <x:v>10890093200</x:v>
      </x:c>
      <x:c r="G1213" s="9">
        <x:v>14161735955.16</x:v>
      </x:c>
      <x:c r="H1213" s="10" t="n">
        <x:f>G1213-F1213</x:f>
        <x:v>3271642755.16</x:v>
      </x:c>
    </x:row>
    <x:row r="1214">
      <x:c r="A1214" s="7" t="str">
        <x:v>3525104</x:v>
      </x:c>
      <x:c r="B1214" s="7" t="str">
        <x:v>RS Ibu dan Anak Khodijah</x:v>
      </x:c>
      <x:c r="C1214" s="7" t="str">
        <x:v>C</x:v>
      </x:c>
      <x:c r="D1214" s="7" t="str">
        <x:v>GRESIK</x:v>
      </x:c>
      <x:c r="E1214" s="8">
        <x:v>2391</x:v>
      </x:c>
      <x:c r="F1214" s="9">
        <x:v>5675026700</x:v>
      </x:c>
      <x:c r="G1214" s="9">
        <x:v>6494858514.45</x:v>
      </x:c>
      <x:c r="H1214" s="10" t="n">
        <x:f>G1214-F1214</x:f>
        <x:v>819831814.4499998</x:v>
      </x:c>
    </x:row>
    <x:row r="1215">
      <x:c r="A1215" s="7" t="str">
        <x:v>3525105</x:v>
      </x:c>
      <x:c r="B1215" s="7" t="str">
        <x:v>RS Eka Husada</x:v>
      </x:c>
      <x:c r="C1215" s="7" t="str">
        <x:v>C</x:v>
      </x:c>
      <x:c r="D1215" s="7" t="str">
        <x:v>GRESIK</x:v>
      </x:c>
      <x:c r="E1215" s="8">
        <x:v>40626</x:v>
      </x:c>
      <x:c r="F1215" s="9">
        <x:v>24162838900</x:v>
      </x:c>
      <x:c r="G1215" s="9">
        <x:v>29970135267.109993</x:v>
      </x:c>
      <x:c r="H1215" s="10" t="n">
        <x:f>G1215-F1215</x:f>
        <x:v>5807296367.109993</x:v>
      </x:c>
    </x:row>
    <x:row r="1216">
      <x:c r="A1216" s="7" t="str">
        <x:v>3525116</x:v>
      </x:c>
      <x:c r="B1216" s="7" t="str">
        <x:v>RS Umum Daerah Gresik Sehati</x:v>
      </x:c>
      <x:c r="C1216" s="7" t="str">
        <x:v>C</x:v>
      </x:c>
      <x:c r="D1216" s="7" t="str">
        <x:v>GRESIK</x:v>
      </x:c>
      <x:c r="E1216" s="8">
        <x:v>460</x:v>
      </x:c>
      <x:c r="F1216" s="9">
        <x:v>614868400</x:v>
      </x:c>
      <x:c r="G1216" s="9">
        <x:v>780775151.4699997</x:v>
      </x:c>
      <x:c r="H1216" s="10" t="n">
        <x:f>G1216-F1216</x:f>
        <x:v>165906751.46999967</x:v>
      </x:c>
    </x:row>
    <x:row r="1217">
      <x:c r="A1217" s="7" t="str">
        <x:v>3526011</x:v>
      </x:c>
      <x:c r="B1217" s="7" t="str">
        <x:v>RS Umum Daerah Syarifah Ambami Rato Ebu</x:v>
      </x:c>
      <x:c r="C1217" s="7" t="str">
        <x:v>B</x:v>
      </x:c>
      <x:c r="D1217" s="7" t="str">
        <x:v>BANGKALAN</x:v>
      </x:c>
      <x:c r="E1217" s="8">
        <x:v>170423</x:v>
      </x:c>
      <x:c r="F1217" s="9">
        <x:v>165158700935</x:v>
      </x:c>
      <x:c r="G1217" s="9">
        <x:v>193914987521.05988</x:v>
      </x:c>
      <x:c r="H1217" s="10" t="n">
        <x:f>G1217-F1217</x:f>
        <x:v>28756286586.059875</x:v>
      </x:c>
    </x:row>
    <x:row r="1218">
      <x:c r="A1218" s="7" t="str">
        <x:v>3526027</x:v>
      </x:c>
      <x:c r="B1218" s="7" t="str">
        <x:v>RS Umum Lukas</x:v>
      </x:c>
      <x:c r="C1218" s="7" t="str">
        <x:v>D</x:v>
      </x:c>
      <x:c r="D1218" s="7" t="str">
        <x:v>BANGKALAN</x:v>
      </x:c>
      <x:c r="E1218" s="8">
        <x:v>4586</x:v>
      </x:c>
      <x:c r="F1218" s="9">
        <x:v>2371251100</x:v>
      </x:c>
      <x:c r="G1218" s="9">
        <x:v>3089516822.3300014</x:v>
      </x:c>
      <x:c r="H1218" s="10" t="n">
        <x:f>G1218-F1218</x:f>
        <x:v>718265722.3300014</x:v>
      </x:c>
    </x:row>
    <x:row r="1219">
      <x:c r="A1219" s="7" t="str">
        <x:v>3526029</x:v>
      </x:c>
      <x:c r="B1219" s="7" t="str">
        <x:v>RS Umum Anna Medika Madura</x:v>
      </x:c>
      <x:c r="C1219" s="7" t="str">
        <x:v>D</x:v>
      </x:c>
      <x:c r="D1219" s="7" t="str">
        <x:v>BANGKALAN</x:v>
      </x:c>
      <x:c r="E1219" s="8">
        <x:v>33425</x:v>
      </x:c>
      <x:c r="F1219" s="9">
        <x:v>21397730700</x:v>
      </x:c>
      <x:c r="G1219" s="9">
        <x:v>27322423916.550003</x:v>
      </x:c>
      <x:c r="H1219" s="10" t="n">
        <x:f>G1219-F1219</x:f>
        <x:v>5924693216.550003</x:v>
      </x:c>
    </x:row>
    <x:row r="1220">
      <x:c r="A1220" s="7" t="str">
        <x:v>3526030</x:v>
      </x:c>
      <x:c r="B1220" s="7" t="str">
        <x:v>RS Ibu dan Anak Aisyiyah</x:v>
      </x:c>
      <x:c r="C1220" s="7" t="str">
        <x:v>C</x:v>
      </x:c>
      <x:c r="D1220" s="7" t="str">
        <x:v>BANGKALAN</x:v>
      </x:c>
      <x:c r="E1220" s="8">
        <x:v>864</x:v>
      </x:c>
      <x:c r="F1220" s="9">
        <x:v>1472734900</x:v>
      </x:c>
      <x:c r="G1220" s="9">
        <x:v>1658308280.3199995</x:v>
      </x:c>
      <x:c r="H1220" s="10" t="n">
        <x:f>G1220-F1220</x:f>
        <x:v>185573380.31999946</x:v>
      </x:c>
    </x:row>
    <x:row r="1221">
      <x:c r="A1221" s="7" t="str">
        <x:v>3526031</x:v>
      </x:c>
      <x:c r="B1221" s="7" t="str">
        <x:v>RS Ibu Dan Anak Hikmah Sawi</x:v>
      </x:c>
      <x:c r="C1221" s="7" t="str">
        <x:v>C</x:v>
      </x:c>
      <x:c r="D1221" s="7" t="str">
        <x:v>BANGKALAN</x:v>
      </x:c>
      <x:c r="E1221" s="8">
        <x:v>6063</x:v>
      </x:c>
      <x:c r="F1221" s="9">
        <x:v>16199548100</x:v>
      </x:c>
      <x:c r="G1221" s="9">
        <x:v>19821675213.079998</x:v>
      </x:c>
      <x:c r="H1221" s="10" t="n">
        <x:f>G1221-F1221</x:f>
        <x:v>3622127113.079998</x:v>
      </x:c>
    </x:row>
    <x:row r="1222">
      <x:c r="A1222" s="7" t="str">
        <x:v>3526032</x:v>
      </x:c>
      <x:c r="B1222" s="7" t="str">
        <x:v>RS Khusus Bedah Al Ishaqiy</x:v>
      </x:c>
      <x:c r="C1222" s="7" t="str">
        <x:v>C</x:v>
      </x:c>
      <x:c r="D1222" s="7" t="str">
        <x:v>BANGKALAN</x:v>
      </x:c>
      <x:c r="E1222" s="8">
        <x:v>340</x:v>
      </x:c>
      <x:c r="F1222" s="9">
        <x:v>570039000</x:v>
      </x:c>
      <x:c r="G1222" s="9">
        <x:v>683947639.9099997</x:v>
      </x:c>
      <x:c r="H1222" s="10" t="n">
        <x:f>G1222-F1222</x:f>
        <x:v>113908639.90999973</x:v>
      </x:c>
    </x:row>
    <x:row r="1223">
      <x:c r="A1223" s="7" t="str">
        <x:v>3526045</x:v>
      </x:c>
      <x:c r="B1223" s="7" t="str">
        <x:v>RS Ibu dan Anak Glamour Husada Kebun</x:v>
      </x:c>
      <x:c r="C1223" s="7" t="str">
        <x:v>C</x:v>
      </x:c>
      <x:c r="D1223" s="7" t="str">
        <x:v>BANGKALAN</x:v>
      </x:c>
      <x:c r="E1223" s="8">
        <x:v>3113</x:v>
      </x:c>
      <x:c r="F1223" s="9">
        <x:v>8618345600</x:v>
      </x:c>
      <x:c r="G1223" s="9">
        <x:v>9907204716.810001</x:v>
      </x:c>
      <x:c r="H1223" s="10" t="n">
        <x:f>G1223-F1223</x:f>
        <x:v>1288859116.8100014</x:v>
      </x:c>
    </x:row>
    <x:row r="1224">
      <x:c r="A1224" s="7" t="str">
        <x:v>3527012</x:v>
      </x:c>
      <x:c r="B1224" s="7" t="str">
        <x:v>RS Umum Daerah dr. Mohammad Zyn Kab. Sampang</x:v>
      </x:c>
      <x:c r="C1224" s="7" t="str">
        <x:v>B</x:v>
      </x:c>
      <x:c r="D1224" s="7" t="str">
        <x:v>SAMPANG</x:v>
      </x:c>
      <x:c r="E1224" s="8">
        <x:v>101203</x:v>
      </x:c>
      <x:c r="F1224" s="9">
        <x:v>118380739885</x:v>
      </x:c>
      <x:c r="G1224" s="9">
        <x:v>129537543575.82004</x:v>
      </x:c>
      <x:c r="H1224" s="10" t="n">
        <x:f>G1224-F1224</x:f>
        <x:v>11156803690.820038</x:v>
      </x:c>
    </x:row>
    <x:row r="1225">
      <x:c r="A1225" s="7" t="str">
        <x:v>3527013</x:v>
      </x:c>
      <x:c r="B1225" s="7" t="str">
        <x:v>RS Nindhita</x:v>
      </x:c>
      <x:c r="C1225" s="7" t="str">
        <x:v>D</x:v>
      </x:c>
      <x:c r="D1225" s="7" t="str">
        <x:v>SAMPANG</x:v>
      </x:c>
      <x:c r="E1225" s="8">
        <x:v>9848</x:v>
      </x:c>
      <x:c r="F1225" s="9">
        <x:v>14542287900</x:v>
      </x:c>
      <x:c r="G1225" s="9">
        <x:v>19498973819.959995</x:v>
      </x:c>
      <x:c r="H1225" s="10" t="n">
        <x:f>G1225-F1225</x:f>
        <x:v>4956685919.959995</x:v>
      </x:c>
    </x:row>
    <x:row r="1226">
      <x:c r="A1226" s="7" t="str">
        <x:v>3527014</x:v>
      </x:c>
      <x:c r="B1226" s="7" t="str">
        <x:v>RS Umum Daerah Ketapang</x:v>
      </x:c>
      <x:c r="C1226" s="7" t="str">
        <x:v>D</x:v>
      </x:c>
      <x:c r="D1226" s="7" t="str">
        <x:v>SAMPANG</x:v>
      </x:c>
      <x:c r="E1226" s="8">
        <x:v>7151</x:v>
      </x:c>
      <x:c r="F1226" s="9">
        <x:v>9117314200</x:v>
      </x:c>
      <x:c r="G1226" s="9">
        <x:v>13380105268.769999</x:v>
      </x:c>
      <x:c r="H1226" s="10" t="n">
        <x:f>G1226-F1226</x:f>
        <x:v>4262791068.7699986</x:v>
      </x:c>
    </x:row>
    <x:row r="1227">
      <x:c r="A1227" s="7" t="str">
        <x:v>3527025</x:v>
      </x:c>
      <x:c r="B1227" s="7" t="str">
        <x:v>RS Sukma Wijaya</x:v>
      </x:c>
      <x:c r="C1227" s="7" t="str">
        <x:v>D</x:v>
      </x:c>
      <x:c r="D1227" s="7" t="str">
        <x:v>SAMPANG</x:v>
      </x:c>
      <x:c r="E1227" s="8">
        <x:v>9174</x:v>
      </x:c>
      <x:c r="F1227" s="9">
        <x:v>12856477300</x:v>
      </x:c>
      <x:c r="G1227" s="9">
        <x:v>16445105479.029999</x:v>
      </x:c>
      <x:c r="H1227" s="10" t="n">
        <x:f>G1227-F1227</x:f>
        <x:v>3588628179.029999</x:v>
      </x:c>
    </x:row>
    <x:row r="1228">
      <x:c r="A1228" s="7" t="str">
        <x:v>3527026</x:v>
      </x:c>
      <x:c r="B1228" s="7" t="str">
        <x:v>RS Qona'ah</x:v>
      </x:c>
      <x:c r="C1228" s="7" t="str">
        <x:v>D</x:v>
      </x:c>
      <x:c r="D1228" s="7" t="str">
        <x:v>SAMPANG</x:v>
      </x:c>
      <x:c r="E1228" s="8">
        <x:v>7034</x:v>
      </x:c>
      <x:c r="F1228" s="9">
        <x:v>17432525600</x:v>
      </x:c>
      <x:c r="G1228" s="9">
        <x:v>20390876374.86</x:v>
      </x:c>
      <x:c r="H1228" s="10" t="n">
        <x:f>G1228-F1228</x:f>
        <x:v>2958350774.8600006</x:v>
      </x:c>
    </x:row>
    <x:row r="1229">
      <x:c r="A1229" s="7" t="str">
        <x:v>3528013</x:v>
      </x:c>
      <x:c r="B1229" s="7" t="str">
        <x:v>RS Umum Daerah Dr. H. Slamet Martodirdjo Pamekasan</x:v>
      </x:c>
      <x:c r="C1229" s="7" t="str">
        <x:v>B</x:v>
      </x:c>
      <x:c r="D1229" s="7" t="str">
        <x:v>PAMEKASAN</x:v>
      </x:c>
      <x:c r="E1229" s="8">
        <x:v>58955</x:v>
      </x:c>
      <x:c r="F1229" s="9">
        <x:v>85127748095</x:v>
      </x:c>
      <x:c r="G1229" s="9">
        <x:v>91957283420.26999</x:v>
      </x:c>
      <x:c r="H1229" s="10" t="n">
        <x:f>G1229-F1229</x:f>
        <x:v>6829535325.269989</x:v>
      </x:c>
    </x:row>
    <x:row r="1230">
      <x:c r="A1230" s="7" t="str">
        <x:v>3528024</x:v>
      </x:c>
      <x:c r="B1230" s="7" t="str">
        <x:v>RS Umum Larasati Pamekasan</x:v>
      </x:c>
      <x:c r="C1230" s="7" t="str">
        <x:v>D</x:v>
      </x:c>
      <x:c r="D1230" s="7" t="str">
        <x:v>PAMEKASAN</x:v>
      </x:c>
      <x:c r="E1230" s="8">
        <x:v>9703</x:v>
      </x:c>
      <x:c r="F1230" s="9">
        <x:v>14185180100</x:v>
      </x:c>
      <x:c r="G1230" s="9">
        <x:v>17503641039.21</x:v>
      </x:c>
      <x:c r="H1230" s="10" t="n">
        <x:f>G1230-F1230</x:f>
        <x:v>3318460939.209999</x:v>
      </x:c>
    </x:row>
    <x:row r="1231">
      <x:c r="A1231" s="7" t="str">
        <x:v>3528026</x:v>
      </x:c>
      <x:c r="B1231" s="7" t="str">
        <x:v>RS Ibu dan Anak Mukti Husada</x:v>
      </x:c>
      <x:c r="C1231" s="7" t="str">
        <x:v>C</x:v>
      </x:c>
      <x:c r="D1231" s="7" t="str">
        <x:v>PAMEKASAN</x:v>
      </x:c>
      <x:c r="E1231" s="8">
        <x:v>79</x:v>
      </x:c>
      <x:c r="F1231" s="9">
        <x:v>84779300</x:v>
      </x:c>
      <x:c r="G1231" s="9">
        <x:v>89961496.18</x:v>
      </x:c>
      <x:c r="H1231" s="10" t="n">
        <x:f>G1231-F1231</x:f>
        <x:v>5182196.180000007</x:v>
      </x:c>
    </x:row>
    <x:row r="1232">
      <x:c r="A1232" s="7" t="str">
        <x:v>3528028</x:v>
      </x:c>
      <x:c r="B1232" s="7" t="str">
        <x:v>RS Umum Daerah Waru Pamekasan</x:v>
      </x:c>
      <x:c r="C1232" s="7" t="str">
        <x:v>D</x:v>
      </x:c>
      <x:c r="D1232" s="7" t="str">
        <x:v>PAMEKASAN</x:v>
      </x:c>
      <x:c r="E1232" s="8">
        <x:v>4758</x:v>
      </x:c>
      <x:c r="F1232" s="9">
        <x:v>5085033500</x:v>
      </x:c>
      <x:c r="G1232" s="9">
        <x:v>7433911094.380001</x:v>
      </x:c>
      <x:c r="H1232" s="10" t="n">
        <x:f>G1232-F1232</x:f>
        <x:v>2348877594.380001</x:v>
      </x:c>
    </x:row>
    <x:row r="1233">
      <x:c r="A1233" s="7" t="str">
        <x:v>3528029</x:v>
      </x:c>
      <x:c r="B1233" s="7" t="str">
        <x:v>RS Umum Kusuma Hospital</x:v>
      </x:c>
      <x:c r="C1233" s="7" t="str">
        <x:v>D</x:v>
      </x:c>
      <x:c r="D1233" s="7" t="str">
        <x:v>PAMEKASAN</x:v>
      </x:c>
      <x:c r="E1233" s="8">
        <x:v>4791</x:v>
      </x:c>
      <x:c r="F1233" s="9">
        <x:v>7469402900</x:v>
      </x:c>
      <x:c r="G1233" s="9">
        <x:v>10492158862.330004</x:v>
      </x:c>
      <x:c r="H1233" s="10" t="n">
        <x:f>G1233-F1233</x:f>
        <x:v>3022755962.3300037</x:v>
      </x:c>
    </x:row>
    <x:row r="1234">
      <x:c r="A1234" s="7" t="str">
        <x:v>3528038</x:v>
      </x:c>
      <x:c r="B1234" s="7" t="str">
        <x:v>RS 3528038</x:v>
      </x:c>
      <x:c r="C1234" s="7" t="str">
        <x:v>C</x:v>
      </x:c>
      <x:c r="D1234" s="7" t="str">
        <x:v>PAMEKASAN</x:v>
      </x:c>
      <x:c r="E1234" s="8">
        <x:v>35585</x:v>
      </x:c>
      <x:c r="F1234" s="9">
        <x:v>40872704600</x:v>
      </x:c>
      <x:c r="G1234" s="9">
        <x:v>55047151642.46999</x:v>
      </x:c>
      <x:c r="H1234" s="10" t="n">
        <x:f>G1234-F1234</x:f>
        <x:v>14174447042.469994</x:v>
      </x:c>
    </x:row>
    <x:row r="1235">
      <x:c r="A1235" s="7" t="str">
        <x:v>3528041</x:v>
      </x:c>
      <x:c r="B1235" s="7" t="str">
        <x:v>RS Ibu dan Anak Puri Bunda Madura</x:v>
      </x:c>
      <x:c r="C1235" s="7" t="str">
        <x:v>C</x:v>
      </x:c>
      <x:c r="D1235" s="7" t="str">
        <x:v>PAMEKASAN</x:v>
      </x:c>
      <x:c r="E1235" s="8">
        <x:v>2556</x:v>
      </x:c>
      <x:c r="F1235" s="9">
        <x:v>6812315800</x:v>
      </x:c>
      <x:c r="G1235" s="9">
        <x:v>7641957966.59</x:v>
      </x:c>
      <x:c r="H1235" s="10" t="n">
        <x:f>G1235-F1235</x:f>
        <x:v>829642166.5900002</x:v>
      </x:c>
    </x:row>
    <x:row r="1236">
      <x:c r="A1236" s="7" t="str">
        <x:v>3529014</x:v>
      </x:c>
      <x:c r="B1236" s="7" t="str">
        <x:v>RS Umum Daerah dr. H. Moh. Anwar</x:v>
      </x:c>
      <x:c r="C1236" s="7" t="str">
        <x:v>B</x:v>
      </x:c>
      <x:c r="D1236" s="7" t="str">
        <x:v>SUMENEP</x:v>
      </x:c>
      <x:c r="E1236" s="8">
        <x:v>74823</x:v>
      </x:c>
      <x:c r="F1236" s="9">
        <x:v>74470884970</x:v>
      </x:c>
      <x:c r="G1236" s="9">
        <x:v>89135056555.76996</x:v>
      </x:c>
      <x:c r="H1236" s="10" t="n">
        <x:f>G1236-F1236</x:f>
        <x:v>14664171585.769958</x:v>
      </x:c>
    </x:row>
    <x:row r="1237">
      <x:c r="A1237" s="7" t="str">
        <x:v>3529025</x:v>
      </x:c>
      <x:c r="B1237" s="7" t="str">
        <x:v>RS Islam Garam Kalianget</x:v>
      </x:c>
      <x:c r="C1237" s="7" t="str">
        <x:v>C</x:v>
      </x:c>
      <x:c r="D1237" s="7" t="str">
        <x:v>SUMENEP</x:v>
      </x:c>
      <x:c r="E1237" s="8">
        <x:v>38763</x:v>
      </x:c>
      <x:c r="F1237" s="9">
        <x:v>47219792400</x:v>
      </x:c>
      <x:c r="G1237" s="9">
        <x:v>56765031190.150024</x:v>
      </x:c>
      <x:c r="H1237" s="10" t="n">
        <x:f>G1237-F1237</x:f>
        <x:v>9545238790.150024</x:v>
      </x:c>
    </x:row>
    <x:row r="1238">
      <x:c r="A1238" s="7" t="str">
        <x:v>3529026</x:v>
      </x:c>
      <x:c r="B1238" s="7" t="str">
        <x:v>RS Esto Ebhu</x:v>
      </x:c>
      <x:c r="C1238" s="7" t="str">
        <x:v>C</x:v>
      </x:c>
      <x:c r="D1238" s="7" t="str">
        <x:v>SUMENEP</x:v>
      </x:c>
      <x:c r="E1238" s="8">
        <x:v>1195</x:v>
      </x:c>
      <x:c r="F1238" s="9">
        <x:v>2741569900</x:v>
      </x:c>
      <x:c r="G1238" s="9">
        <x:v>3288484468.250001</x:v>
      </x:c>
      <x:c r="H1238" s="10" t="n">
        <x:f>G1238-F1238</x:f>
        <x:v>546914568.250001</x:v>
      </x:c>
    </x:row>
    <x:row r="1239">
      <x:c r="A1239" s="7" t="str">
        <x:v>3529029</x:v>
      </x:c>
      <x:c r="B1239" s="7" t="str">
        <x:v>RS Umum Sumekar</x:v>
      </x:c>
      <x:c r="C1239" s="7" t="str">
        <x:v>C</x:v>
      </x:c>
      <x:c r="D1239" s="7" t="str">
        <x:v>SUMENEP</x:v>
      </x:c>
      <x:c r="E1239" s="8">
        <x:v>12318</x:v>
      </x:c>
      <x:c r="F1239" s="9">
        <x:v>16048197800</x:v>
      </x:c>
      <x:c r="G1239" s="9">
        <x:v>20092319127.639996</x:v>
      </x:c>
      <x:c r="H1239" s="10" t="n">
        <x:f>G1239-F1239</x:f>
        <x:v>4044121327.6399956</x:v>
      </x:c>
    </x:row>
    <x:row r="1240">
      <x:c r="A1240" s="7" t="str">
        <x:v>3529040</x:v>
      </x:c>
      <x:c r="B1240" s="7" t="str">
        <x:v>RS Umum Daerah Abuya Kangean</x:v>
      </x:c>
      <x:c r="C1240" s="7" t="str">
        <x:v>D</x:v>
      </x:c>
      <x:c r="D1240" s="7" t="str">
        <x:v>SUMENEP</x:v>
      </x:c>
      <x:c r="E1240" s="8">
        <x:v>3316</x:v>
      </x:c>
      <x:c r="F1240" s="9">
        <x:v>3945101700</x:v>
      </x:c>
      <x:c r="G1240" s="9">
        <x:v>6000358633.76</x:v>
      </x:c>
      <x:c r="H1240" s="10" t="n">
        <x:f>G1240-F1240</x:f>
        <x:v>2055256933.7600002</x:v>
      </x:c>
    </x:row>
    <x:row r="1241">
      <x:c r="A1241" s="7" t="str">
        <x:v>3529042</x:v>
      </x:c>
      <x:c r="B1241" s="7" t="str">
        <x:v>Rumah Sakit Baghraf Health Care</x:v>
      </x:c>
      <x:c r="C1241" s="7" t="str">
        <x:v>C</x:v>
      </x:c>
      <x:c r="D1241" s="7" t="str">
        <x:v>SUMENEP</x:v>
      </x:c>
      <x:c r="E1241" s="8">
        <x:v>4108</x:v>
      </x:c>
      <x:c r="F1241" s="9">
        <x:v>5589270900</x:v>
      </x:c>
      <x:c r="G1241" s="9">
        <x:v>6761809204.130001</x:v>
      </x:c>
      <x:c r="H1241" s="10" t="n">
        <x:f>G1241-F1241</x:f>
        <x:v>1172538304.130001</x:v>
      </x:c>
    </x:row>
    <x:row r="1242">
      <x:c r="A1242" s="7" t="str">
        <x:v>3571016</x:v>
      </x:c>
      <x:c r="B1242" s="7" t="str">
        <x:v>RS Umum Daerah Gambiran</x:v>
      </x:c>
      <x:c r="C1242" s="7" t="str">
        <x:v>B</x:v>
      </x:c>
      <x:c r="D1242" s="7" t="str">
        <x:v>KOTA KEDIRI</x:v>
      </x:c>
      <x:c r="E1242" s="8">
        <x:v>123575</x:v>
      </x:c>
      <x:c r="F1242" s="9">
        <x:v>103654621055</x:v>
      </x:c>
      <x:c r="G1242" s="9">
        <x:v>123350424153.86995</x:v>
      </x:c>
      <x:c r="H1242" s="10" t="n">
        <x:f>G1242-F1242</x:f>
        <x:v>19695803098.86995</x:v>
      </x:c>
    </x:row>
    <x:row r="1243">
      <x:c r="A1243" s="7" t="str">
        <x:v>3571020</x:v>
      </x:c>
      <x:c r="B1243" s="7" t="str">
        <x:v>RS TK. IV 05.07.02 Kediri</x:v>
      </x:c>
      <x:c r="C1243" s="7" t="str">
        <x:v>C</x:v>
      </x:c>
      <x:c r="D1243" s="7" t="str">
        <x:v>KOTA KEDIRI</x:v>
      </x:c>
      <x:c r="E1243" s="8">
        <x:v>11368</x:v>
      </x:c>
      <x:c r="F1243" s="9">
        <x:v>11693547500</x:v>
      </x:c>
      <x:c r="G1243" s="9">
        <x:v>13929358922.34</x:v>
      </x:c>
      <x:c r="H1243" s="10" t="n">
        <x:f>G1243-F1243</x:f>
        <x:v>2235811422.34</x:v>
      </x:c>
    </x:row>
    <x:row r="1244">
      <x:c r="A1244" s="7" t="str">
        <x:v>3571031</x:v>
      </x:c>
      <x:c r="B1244" s="7" t="str">
        <x:v>RS Umum Bhayangkara Kediri</x:v>
      </x:c>
      <x:c r="C1244" s="7" t="str">
        <x:v>B</x:v>
      </x:c>
      <x:c r="D1244" s="7" t="str">
        <x:v>KOTA KEDIRI</x:v>
      </x:c>
      <x:c r="E1244" s="8">
        <x:v>80766</x:v>
      </x:c>
      <x:c r="F1244" s="9">
        <x:v>92498005595</x:v>
      </x:c>
      <x:c r="G1244" s="9">
        <x:v>108609965415.09004</x:v>
      </x:c>
      <x:c r="H1244" s="10" t="n">
        <x:f>G1244-F1244</x:f>
        <x:v>16111959820.090042</x:v>
      </x:c>
    </x:row>
    <x:row r="1245">
      <x:c r="A1245" s="7" t="str">
        <x:v>3571042</x:v>
      </x:c>
      <x:c r="B1245" s="7" t="str">
        <x:v>RS Baptis Kediri</x:v>
      </x:c>
      <x:c r="C1245" s="7" t="str">
        <x:v>B</x:v>
      </x:c>
      <x:c r="D1245" s="7" t="str">
        <x:v>KOTA KEDIRI</x:v>
      </x:c>
      <x:c r="E1245" s="8">
        <x:v>39268</x:v>
      </x:c>
      <x:c r="F1245" s="9">
        <x:v>33052020600</x:v>
      </x:c>
      <x:c r="G1245" s="9">
        <x:v>33829883584.899998</x:v>
      </x:c>
      <x:c r="H1245" s="10" t="n">
        <x:f>G1245-F1245</x:f>
        <x:v>777862984.8999977</x:v>
      </x:c>
    </x:row>
    <x:row r="1246">
      <x:c r="A1246" s="7" t="str">
        <x:v>3571053</x:v>
      </x:c>
      <x:c r="B1246" s="7" t="str">
        <x:v>RS Umum Daha Husada</x:v>
      </x:c>
      <x:c r="C1246" s="7" t="str">
        <x:v>D</x:v>
      </x:c>
      <x:c r="D1246" s="7" t="str">
        <x:v>KOTA KEDIRI</x:v>
      </x:c>
      <x:c r="E1246" s="8">
        <x:v>19777</x:v>
      </x:c>
      <x:c r="F1246" s="9">
        <x:v>8972569800</x:v>
      </x:c>
      <x:c r="G1246" s="9">
        <x:v>12457226660.850006</x:v>
      </x:c>
      <x:c r="H1246" s="10" t="n">
        <x:f>G1246-F1246</x:f>
        <x:v>3484656860.850006</x:v>
      </x:c>
    </x:row>
    <x:row r="1247">
      <x:c r="A1247" s="7" t="str">
        <x:v>3571111</x:v>
      </x:c>
      <x:c r="B1247" s="7" t="str">
        <x:v>RS Ibu dan Anak Nirmala Kediri</x:v>
      </x:c>
      <x:c r="C1247" s="7" t="str">
        <x:v>C</x:v>
      </x:c>
      <x:c r="D1247" s="7" t="str">
        <x:v>KOTA KEDIRI</x:v>
      </x:c>
      <x:c r="E1247" s="8">
        <x:v>3995</x:v>
      </x:c>
      <x:c r="F1247" s="9">
        <x:v>9113888300</x:v>
      </x:c>
      <x:c r="G1247" s="9">
        <x:v>10554582073.959993</x:v>
      </x:c>
      <x:c r="H1247" s="10" t="n">
        <x:f>G1247-F1247</x:f>
        <x:v>1440693773.9599934</x:v>
      </x:c>
    </x:row>
    <x:row r="1248">
      <x:c r="A1248" s="7" t="str">
        <x:v>3571122</x:v>
      </x:c>
      <x:c r="B1248" s="7" t="str">
        <x:v>RS Muhammadiyah Ahmad Dahlan</x:v>
      </x:c>
      <x:c r="C1248" s="7" t="str">
        <x:v>C</x:v>
      </x:c>
      <x:c r="D1248" s="7" t="str">
        <x:v>KOTA KEDIRI</x:v>
      </x:c>
      <x:c r="E1248" s="8">
        <x:v>46387</x:v>
      </x:c>
      <x:c r="F1248" s="9">
        <x:v>43839062600</x:v>
      </x:c>
      <x:c r="G1248" s="9">
        <x:v>57423199216.81003</x:v>
      </x:c>
      <x:c r="H1248" s="10" t="n">
        <x:f>G1248-F1248</x:f>
        <x:v>13584136616.810028</x:v>
      </x:c>
    </x:row>
    <x:row r="1249">
      <x:c r="A1249" s="7" t="str">
        <x:v>3571145</x:v>
      </x:c>
      <x:c r="B1249" s="7" t="str">
        <x:v>RS Ibu dan Anak Citra Keluarga</x:v>
      </x:c>
      <x:c r="C1249" s="7" t="str">
        <x:v>C</x:v>
      </x:c>
      <x:c r="D1249" s="7" t="str">
        <x:v>KOTA KEDIRI</x:v>
      </x:c>
      <x:c r="E1249" s="8">
        <x:v>493</x:v>
      </x:c>
      <x:c r="F1249" s="9">
        <x:v>1054145600</x:v>
      </x:c>
      <x:c r="G1249" s="9">
        <x:v>1167266738.4499996</x:v>
      </x:c>
      <x:c r="H1249" s="10" t="n">
        <x:f>G1249-F1249</x:f>
        <x:v>113121138.44999957</x:v>
      </x:c>
    </x:row>
    <x:row r="1250">
      <x:c r="A1250" s="7" t="str">
        <x:v>3571146</x:v>
      </x:c>
      <x:c r="B1250" s="7" t="str">
        <x:v>RS Umum Lirboyo</x:v>
      </x:c>
      <x:c r="C1250" s="7" t="str">
        <x:v>D</x:v>
      </x:c>
      <x:c r="D1250" s="7" t="str">
        <x:v>KOTA KEDIRI</x:v>
      </x:c>
      <x:c r="E1250" s="8">
        <x:v>11125</x:v>
      </x:c>
      <x:c r="F1250" s="9">
        <x:v>10850126900</x:v>
      </x:c>
      <x:c r="G1250" s="9">
        <x:v>14488130572.859997</x:v>
      </x:c>
      <x:c r="H1250" s="10" t="n">
        <x:f>G1250-F1250</x:f>
        <x:v>3638003672.859997</x:v>
      </x:c>
    </x:row>
    <x:row r="1251">
      <x:c r="A1251" s="7" t="str">
        <x:v>3571147</x:v>
      </x:c>
      <x:c r="B1251" s="7" t="str">
        <x:v>RS Umum Ratih</x:v>
      </x:c>
      <x:c r="C1251" s="7" t="str">
        <x:v>D</x:v>
      </x:c>
      <x:c r="D1251" s="7" t="str">
        <x:v>KOTA KEDIRI</x:v>
      </x:c>
      <x:c r="E1251" s="8">
        <x:v>2530</x:v>
      </x:c>
      <x:c r="F1251" s="9">
        <x:v>3972434800</x:v>
      </x:c>
      <x:c r="G1251" s="9">
        <x:v>5289787448.340001</x:v>
      </x:c>
      <x:c r="H1251" s="10" t="n">
        <x:f>G1251-F1251</x:f>
        <x:v>1317352648.340001</x:v>
      </x:c>
    </x:row>
    <x:row r="1252">
      <x:c r="A1252" s="7" t="str">
        <x:v>3571148</x:v>
      </x:c>
      <x:c r="B1252" s="7" t="str">
        <x:v>RS Ibu dan Anak Melinda</x:v>
      </x:c>
      <x:c r="C1252" s="7" t="str">
        <x:v>C</x:v>
      </x:c>
      <x:c r="D1252" s="7" t="str">
        <x:v>KOTA KEDIRI</x:v>
      </x:c>
      <x:c r="E1252" s="8">
        <x:v>1395</x:v>
      </x:c>
      <x:c r="F1252" s="9">
        <x:v>3357880300</x:v>
      </x:c>
      <x:c r="G1252" s="9">
        <x:v>3693186790.339999</x:v>
      </x:c>
      <x:c r="H1252" s="10" t="n">
        <x:f>G1252-F1252</x:f>
        <x:v>335306490.3399992</x:v>
      </x:c>
    </x:row>
    <x:row r="1253">
      <x:c r="A1253" s="7" t="str">
        <x:v>3571150</x:v>
      </x:c>
      <x:c r="B1253" s="7" t="str">
        <x:v>RS Umum Daerah Kilisuci</x:v>
      </x:c>
      <x:c r="C1253" s="7" t="str">
        <x:v>C</x:v>
      </x:c>
      <x:c r="D1253" s="7" t="str">
        <x:v>KOTA KEDIRI</x:v>
      </x:c>
      <x:c r="E1253" s="8">
        <x:v>3254</x:v>
      </x:c>
      <x:c r="F1253" s="9">
        <x:v>4030760000</x:v>
      </x:c>
      <x:c r="G1253" s="9">
        <x:v>5579584089.080001</x:v>
      </x:c>
      <x:c r="H1253" s="10" t="n">
        <x:f>G1253-F1253</x:f>
        <x:v>1548824089.0800009</x:v>
      </x:c>
    </x:row>
    <x:row r="1254">
      <x:c r="A1254" s="7" t="str">
        <x:v>3572010</x:v>
      </x:c>
      <x:c r="B1254" s="7" t="str">
        <x:v>RS Umum Daerah Mardi Waluyo</x:v>
      </x:c>
      <x:c r="C1254" s="7" t="str">
        <x:v>B</x:v>
      </x:c>
      <x:c r="D1254" s="7" t="str">
        <x:v>KOTA BLITAR</x:v>
      </x:c>
      <x:c r="E1254" s="8">
        <x:v>51814</x:v>
      </x:c>
      <x:c r="F1254" s="9">
        <x:v>40175394395</x:v>
      </x:c>
      <x:c r="G1254" s="9">
        <x:v>44917863923.780014</x:v>
      </x:c>
      <x:c r="H1254" s="10" t="n">
        <x:f>G1254-F1254</x:f>
        <x:v>4742469528.780014</x:v>
      </x:c>
    </x:row>
    <x:row r="1255">
      <x:c r="A1255" s="7" t="str">
        <x:v>3572021</x:v>
      </x:c>
      <x:c r="B1255" s="7" t="str">
        <x:v>RS Katolik Budi Rahayu</x:v>
      </x:c>
      <x:c r="C1255" s="7" t="str">
        <x:v>C</x:v>
      </x:c>
      <x:c r="D1255" s="7" t="str">
        <x:v>BLITAR</x:v>
      </x:c>
      <x:c r="E1255" s="8">
        <x:v>4822</x:v>
      </x:c>
      <x:c r="F1255" s="9">
        <x:v>4236144300</x:v>
      </x:c>
      <x:c r="G1255" s="9">
        <x:v>5495592972.569997</x:v>
      </x:c>
      <x:c r="H1255" s="10" t="n">
        <x:f>G1255-F1255</x:f>
        <x:v>1259448672.5699968</x:v>
      </x:c>
    </x:row>
    <x:row r="1256">
      <x:c r="A1256" s="7" t="str">
        <x:v>3572043</x:v>
      </x:c>
      <x:c r="B1256" s="7" t="str">
        <x:v>RS Umum Syuhada Haji</x:v>
      </x:c>
      <x:c r="C1256" s="7" t="str">
        <x:v>C</x:v>
      </x:c>
      <x:c r="D1256" s="7" t="str">
        <x:v>KOTA BLITAR</x:v>
      </x:c>
      <x:c r="E1256" s="8">
        <x:v>10116</x:v>
      </x:c>
      <x:c r="F1256" s="9">
        <x:v>7551184700</x:v>
      </x:c>
      <x:c r="G1256" s="9">
        <x:v>9301495617.480003</x:v>
      </x:c>
      <x:c r="H1256" s="10" t="n">
        <x:f>G1256-F1256</x:f>
        <x:v>1750310917.4800034</x:v>
      </x:c>
    </x:row>
    <x:row r="1257">
      <x:c r="A1257" s="7" t="str">
        <x:v>3572065</x:v>
      </x:c>
      <x:c r="B1257" s="7" t="str">
        <x:v>RS Umum Aminah Blitar</x:v>
      </x:c>
      <x:c r="C1257" s="7" t="str">
        <x:v>C</x:v>
      </x:c>
      <x:c r="D1257" s="7" t="str">
        <x:v>KOTA BLITAR</x:v>
      </x:c>
      <x:c r="E1257" s="8">
        <x:v>37823</x:v>
      </x:c>
      <x:c r="F1257" s="9">
        <x:v>31350612800</x:v>
      </x:c>
      <x:c r="G1257" s="9">
        <x:v>38935839998.049995</x:v>
      </x:c>
      <x:c r="H1257" s="10" t="n">
        <x:f>G1257-F1257</x:f>
        <x:v>7585227198.049995</x:v>
      </x:c>
    </x:row>
    <x:row r="1258">
      <x:c r="A1258" s="7" t="str">
        <x:v>3572073</x:v>
      </x:c>
      <x:c r="B1258" s="7" t="str">
        <x:v>RS Islam Aminah</x:v>
      </x:c>
      <x:c r="C1258" s="7" t="str">
        <x:v>C</x:v>
      </x:c>
      <x:c r="D1258" s="7" t="str">
        <x:v>KOTA BLITAR</x:v>
      </x:c>
      <x:c r="E1258" s="8">
        <x:v>18503</x:v>
      </x:c>
      <x:c r="F1258" s="9">
        <x:v>15207449800</x:v>
      </x:c>
      <x:c r="G1258" s="9">
        <x:v>20084740886.410007</x:v>
      </x:c>
      <x:c r="H1258" s="10" t="n">
        <x:f>G1258-F1258</x:f>
        <x:v>4877291086.410007</x:v>
      </x:c>
    </x:row>
    <x:row r="1259">
      <x:c r="A1259" s="7" t="str">
        <x:v>3573011</x:v>
      </x:c>
      <x:c r="B1259" s="7" t="str">
        <x:v>RS Umum Daerah Dr. Saiful Anwar</x:v>
      </x:c>
      <x:c r="C1259" s="7" t="str">
        <x:v>A</x:v>
      </x:c>
      <x:c r="D1259" s="7" t="str">
        <x:v>KOTA MALANG</x:v>
      </x:c>
      <x:c r="E1259" s="8">
        <x:v>219356</x:v>
      </x:c>
      <x:c r="F1259" s="9">
        <x:v>496943995710</x:v>
      </x:c>
      <x:c r="G1259" s="9">
        <x:v>435850333820.23987</x:v>
      </x:c>
      <x:c r="H1259" s="10" t="n">
        <x:f>G1259-F1259</x:f>
        <x:v>-61093661889.76013</x:v>
      </x:c>
    </x:row>
    <x:row r="1260">
      <x:c r="A1260" s="7" t="str">
        <x:v>3573022</x:v>
      </x:c>
      <x:c r="B1260" s="7" t="str">
        <x:v>RS Tk. II Dr. Soepraoen</x:v>
      </x:c>
      <x:c r="C1260" s="7" t="str">
        <x:v>B</x:v>
      </x:c>
      <x:c r="D1260" s="7" t="str">
        <x:v>KOTA MALANG</x:v>
      </x:c>
      <x:c r="E1260" s="8">
        <x:v>79166</x:v>
      </x:c>
      <x:c r="F1260" s="9">
        <x:v>110015922280</x:v>
      </x:c>
      <x:c r="G1260" s="9">
        <x:v>130206249673.09001</x:v>
      </x:c>
      <x:c r="H1260" s="10" t="n">
        <x:f>G1260-F1260</x:f>
        <x:v>20190327393.09001</x:v>
      </x:c>
    </x:row>
    <x:row r="1261">
      <x:c r="A1261" s="7" t="str">
        <x:v>3573044</x:v>
      </x:c>
      <x:c r="B1261" s="7" t="str">
        <x:v>RS Umum Panti Nirmala</x:v>
      </x:c>
      <x:c r="C1261" s="7" t="str">
        <x:v>B</x:v>
      </x:c>
      <x:c r="D1261" s="7" t="str">
        <x:v>KOTA MALANG</x:v>
      </x:c>
      <x:c r="E1261" s="8">
        <x:v>60221</x:v>
      </x:c>
      <x:c r="F1261" s="9">
        <x:v>58219900400</x:v>
      </x:c>
      <x:c r="G1261" s="9">
        <x:v>60556444341.06999</x:v>
      </x:c>
      <x:c r="H1261" s="10" t="n">
        <x:f>G1261-F1261</x:f>
        <x:v>2336543941.069992</x:v>
      </x:c>
    </x:row>
    <x:row r="1262">
      <x:c r="A1262" s="7" t="str">
        <x:v>3573055</x:v>
      </x:c>
      <x:c r="B1262" s="7" t="str">
        <x:v>RS Umum Panti Waluya Sawahan Malang</x:v>
      </x:c>
      <x:c r="C1262" s="7" t="str">
        <x:v>B</x:v>
      </x:c>
      <x:c r="D1262" s="7" t="str">
        <x:v>KOTA MALANG</x:v>
      </x:c>
      <x:c r="E1262" s="8">
        <x:v>32324</x:v>
      </x:c>
      <x:c r="F1262" s="9">
        <x:v>30573926260</x:v>
      </x:c>
      <x:c r="G1262" s="9">
        <x:v>31125653269.220005</x:v>
      </x:c>
      <x:c r="H1262" s="10" t="n">
        <x:f>G1262-F1262</x:f>
        <x:v>551727009.220005</x:v>
      </x:c>
    </x:row>
    <x:row r="1263">
      <x:c r="A1263" s="7" t="str">
        <x:v>3573066</x:v>
      </x:c>
      <x:c r="B1263" s="7" t="str">
        <x:v>RS Umum Lavalette Malang</x:v>
      </x:c>
      <x:c r="C1263" s="7" t="str">
        <x:v>B</x:v>
      </x:c>
      <x:c r="D1263" s="7" t="str">
        <x:v>KOTA MALANG</x:v>
      </x:c>
      <x:c r="E1263" s="8">
        <x:v>155313</x:v>
      </x:c>
      <x:c r="F1263" s="9">
        <x:v>145982823180</x:v>
      </x:c>
      <x:c r="G1263" s="9">
        <x:v>153427210040.65</x:v>
      </x:c>
      <x:c r="H1263" s="10" t="n">
        <x:f>G1263-F1263</x:f>
        <x:v>7444386860.649994</x:v>
      </x:c>
    </x:row>
    <x:row r="1264">
      <x:c r="A1264" s="7" t="str">
        <x:v>3573135</x:v>
      </x:c>
      <x:c r="B1264" s="7" t="str">
        <x:v>RS Ibu dan Anak Muhammadiyah Malang</x:v>
      </x:c>
      <x:c r="C1264" s="7" t="str">
        <x:v>C</x:v>
      </x:c>
      <x:c r="D1264" s="7" t="str">
        <x:v>KOTA MALANG</x:v>
      </x:c>
      <x:c r="E1264" s="8">
        <x:v>2020</x:v>
      </x:c>
      <x:c r="F1264" s="9">
        <x:v>1437708700</x:v>
      </x:c>
      <x:c r="G1264" s="9">
        <x:v>1784105930.2999995</x:v>
      </x:c>
      <x:c r="H1264" s="10" t="n">
        <x:f>G1264-F1264</x:f>
        <x:v>346397230.2999995</x:v>
      </x:c>
    </x:row>
    <x:row r="1265">
      <x:c r="A1265" s="7" t="str">
        <x:v>3573215</x:v>
      </x:c>
      <x:c r="B1265" s="7" t="str">
        <x:v>RS Umum Islam Aisyiyah Malang</x:v>
      </x:c>
      <x:c r="C1265" s="7" t="str">
        <x:v>C</x:v>
      </x:c>
      <x:c r="D1265" s="7" t="str">
        <x:v>KOTA MALANG</x:v>
      </x:c>
      <x:c r="E1265" s="8">
        <x:v>148500</x:v>
      </x:c>
      <x:c r="F1265" s="9">
        <x:v>84718873800</x:v>
      </x:c>
      <x:c r="G1265" s="9">
        <x:v>106303680323.68001</x:v>
      </x:c>
      <x:c r="H1265" s="10" t="n">
        <x:f>G1265-F1265</x:f>
        <x:v>21584806523.680008</x:v>
      </x:c>
    </x:row>
    <x:row r="1266">
      <x:c r="A1266" s="7" t="str">
        <x:v>3573226</x:v>
      </x:c>
      <x:c r="B1266" s="7" t="str">
        <x:v>RS Islam Unisma Malang</x:v>
      </x:c>
      <x:c r="C1266" s="7" t="str">
        <x:v>C</x:v>
      </x:c>
      <x:c r="D1266" s="7" t="str">
        <x:v>KOTA MALANG</x:v>
      </x:c>
      <x:c r="E1266" s="8">
        <x:v>22711</x:v>
      </x:c>
      <x:c r="F1266" s="9">
        <x:v>15262919100</x:v>
      </x:c>
      <x:c r="G1266" s="9">
        <x:v>18074573062.890003</x:v>
      </x:c>
      <x:c r="H1266" s="10" t="n">
        <x:f>G1266-F1266</x:f>
        <x:v>2811653962.890003</x:v>
      </x:c>
    </x:row>
    <x:row r="1267">
      <x:c r="A1267" s="7" t="str">
        <x:v>3573243</x:v>
      </x:c>
      <x:c r="B1267" s="7" t="str">
        <x:v>RS Ibu dan Anak Mardi Waloeja Kauman Malang</x:v>
      </x:c>
      <x:c r="C1267" s="7" t="str">
        <x:v>C</x:v>
      </x:c>
      <x:c r="D1267" s="7" t="str">
        <x:v>KOTA MALANG</x:v>
      </x:c>
      <x:c r="E1267" s="8">
        <x:v>14</x:v>
      </x:c>
      <x:c r="F1267" s="9">
        <x:v>5987200</x:v>
      </x:c>
      <x:c r="G1267" s="9">
        <x:v>5917342.65</x:v>
      </x:c>
      <x:c r="H1267" s="10" t="n">
        <x:f>G1267-F1267</x:f>
        <x:v>-69857.34999999963</x:v>
      </x:c>
    </x:row>
    <x:row r="1268">
      <x:c r="A1268" s="7" t="str">
        <x:v>3573244</x:v>
      </x:c>
      <x:c r="B1268" s="7" t="str">
        <x:v>RS Puri Galeri</x:v>
      </x:c>
      <x:c r="C1268" s="7" t="str">
        <x:v>C</x:v>
      </x:c>
      <x:c r="D1268" s="7" t="str">
        <x:v>KOTA MALANG</x:v>
      </x:c>
      <x:c r="E1268" s="8">
        <x:v>2303</x:v>
      </x:c>
      <x:c r="F1268" s="9">
        <x:v>1183500700</x:v>
      </x:c>
      <x:c r="G1268" s="9">
        <x:v>1293167937.6100001</x:v>
      </x:c>
      <x:c r="H1268" s="10" t="n">
        <x:f>G1268-F1268</x:f>
        <x:v>109667237.61000013</x:v>
      </x:c>
    </x:row>
    <x:row r="1269">
      <x:c r="A1269" s="7" t="str">
        <x:v>3573246</x:v>
      </x:c>
      <x:c r="B1269" s="7" t="str">
        <x:v>RS Umum Hermina Tangkubanprahu</x:v>
      </x:c>
      <x:c r="C1269" s="7" t="str">
        <x:v>C</x:v>
      </x:c>
      <x:c r="D1269" s="7" t="str">
        <x:v>KOTA MALANG</x:v>
      </x:c>
      <x:c r="E1269" s="8">
        <x:v>72127</x:v>
      </x:c>
      <x:c r="F1269" s="9">
        <x:v>37628575800</x:v>
      </x:c>
      <x:c r="G1269" s="9">
        <x:v>45604140233.80998</x:v>
      </x:c>
      <x:c r="H1269" s="10" t="n">
        <x:f>G1269-F1269</x:f>
        <x:v>7975564433.809982</x:v>
      </x:c>
    </x:row>
    <x:row r="1270">
      <x:c r="A1270" s="7" t="str">
        <x:v>3573249</x:v>
      </x:c>
      <x:c r="B1270" s="7" t="str">
        <x:v>RS Umum Permata Bunda</x:v>
      </x:c>
      <x:c r="C1270" s="7" t="str">
        <x:v>D</x:v>
      </x:c>
      <x:c r="D1270" s="7" t="str">
        <x:v>KOTA MALANG</x:v>
      </x:c>
      <x:c r="E1270" s="8">
        <x:v>9538</x:v>
      </x:c>
      <x:c r="F1270" s="9">
        <x:v>6323248600</x:v>
      </x:c>
      <x:c r="G1270" s="9">
        <x:v>8021355159.670001</x:v>
      </x:c>
      <x:c r="H1270" s="10" t="n">
        <x:f>G1270-F1270</x:f>
        <x:v>1698106559.670001</x:v>
      </x:c>
    </x:row>
    <x:row r="1271">
      <x:c r="A1271" s="7" t="str">
        <x:v>3573250</x:v>
      </x:c>
      <x:c r="B1271" s="7" t="str">
        <x:v>RS Ibu dan Anak Puri Bunda</x:v>
      </x:c>
      <x:c r="C1271" s="7" t="str">
        <x:v>C</x:v>
      </x:c>
      <x:c r="D1271" s="7" t="str">
        <x:v>KOTA MALANG</x:v>
      </x:c>
      <x:c r="E1271" s="8">
        <x:v>17033</x:v>
      </x:c>
      <x:c r="F1271" s="9">
        <x:v>15429758200</x:v>
      </x:c>
      <x:c r="G1271" s="9">
        <x:v>17709250237.01</x:v>
      </x:c>
      <x:c r="H1271" s="10" t="n">
        <x:f>G1271-F1271</x:f>
        <x:v>2279492037.0099983</x:v>
      </x:c>
    </x:row>
    <x:row r="1272">
      <x:c r="A1272" s="7" t="str">
        <x:v>3573252</x:v>
      </x:c>
      <x:c r="B1272" s="7" t="str">
        <x:v>RS Ibu dan Anak Mutiara Bunda</x:v>
      </x:c>
      <x:c r="C1272" s="7" t="str">
        <x:v>C</x:v>
      </x:c>
      <x:c r="D1272" s="7" t="str">
        <x:v>KOTA MALANG</x:v>
      </x:c>
      <x:c r="E1272" s="8">
        <x:v>2652</x:v>
      </x:c>
      <x:c r="F1272" s="9">
        <x:v>5060140200</x:v>
      </x:c>
      <x:c r="G1272" s="9">
        <x:v>5775412804.740004</x:v>
      </x:c>
      <x:c r="H1272" s="10" t="n">
        <x:f>G1272-F1272</x:f>
        <x:v>715272604.7400036</x:v>
      </x:c>
    </x:row>
    <x:row r="1273">
      <x:c r="A1273" s="7" t="str">
        <x:v>3573253</x:v>
      </x:c>
      <x:c r="B1273" s="7" t="str">
        <x:v>RS Ibu dan Anak Melati Husada</x:v>
      </x:c>
      <x:c r="C1273" s="7" t="str">
        <x:v>C</x:v>
      </x:c>
      <x:c r="D1273" s="7" t="str">
        <x:v>KOTA MALANG</x:v>
      </x:c>
      <x:c r="E1273" s="8">
        <x:v>8569</x:v>
      </x:c>
      <x:c r="F1273" s="9">
        <x:v>17438416500</x:v>
      </x:c>
      <x:c r="G1273" s="9">
        <x:v>18549470547.17</x:v>
      </x:c>
      <x:c r="H1273" s="10" t="n">
        <x:f>G1273-F1273</x:f>
        <x:v>1111054047.1699982</x:v>
      </x:c>
    </x:row>
    <x:row r="1274">
      <x:c r="A1274" s="7" t="str">
        <x:v>3573254</x:v>
      </x:c>
      <x:c r="B1274" s="7" t="str">
        <x:v>RS Ibu dan Anak Galeri Candra Malang</x:v>
      </x:c>
      <x:c r="C1274" s="7" t="str">
        <x:v>C</x:v>
      </x:c>
      <x:c r="D1274" s="7" t="str">
        <x:v>KOTA MALANG</x:v>
      </x:c>
      <x:c r="E1274" s="8">
        <x:v>4975</x:v>
      </x:c>
      <x:c r="F1274" s="9">
        <x:v>7746678300</x:v>
      </x:c>
      <x:c r="G1274" s="9">
        <x:v>9098616351.259996</x:v>
      </x:c>
      <x:c r="H1274" s="10" t="n">
        <x:f>G1274-F1274</x:f>
        <x:v>1351938051.2599964</x:v>
      </x:c>
    </x:row>
    <x:row r="1275">
      <x:c r="A1275" s="7" t="str">
        <x:v>3573256</x:v>
      </x:c>
      <x:c r="B1275" s="7" t="str">
        <x:v>RS Bantuan 05.08.04 Lawang</x:v>
      </x:c>
      <x:c r="C1275" s="7" t="str">
        <x:v>D</x:v>
      </x:c>
      <x:c r="D1275" s="7" t="str">
        <x:v>KOTA MALANG</x:v>
      </x:c>
      <x:c r="E1275" s="8">
        <x:v>6324</x:v>
      </x:c>
      <x:c r="F1275" s="9">
        <x:v>3645892600</x:v>
      </x:c>
      <x:c r="G1275" s="9">
        <x:v>4604673862.19</x:v>
      </x:c>
      <x:c r="H1275" s="10" t="n">
        <x:f>G1275-F1275</x:f>
        <x:v>958781262.1899996</x:v>
      </x:c>
    </x:row>
    <x:row r="1276">
      <x:c r="A1276" s="7" t="str">
        <x:v>3573258</x:v>
      </x:c>
      <x:c r="B1276" s="7" t="str">
        <x:v>RS Umum Daerah Kota Malang</x:v>
      </x:c>
      <x:c r="C1276" s="7" t="str">
        <x:v>C</x:v>
      </x:c>
      <x:c r="D1276" s="7" t="str">
        <x:v>KOTA MALANG</x:v>
      </x:c>
      <x:c r="E1276" s="8">
        <x:v>20869</x:v>
      </x:c>
      <x:c r="F1276" s="9">
        <x:v>11162874700</x:v>
      </x:c>
      <x:c r="G1276" s="9">
        <x:v>14673907507.970001</x:v>
      </x:c>
      <x:c r="H1276" s="10" t="n">
        <x:f>G1276-F1276</x:f>
        <x:v>3511032807.970001</x:v>
      </x:c>
    </x:row>
    <x:row r="1277">
      <x:c r="A1277" s="7" t="str">
        <x:v>3573261</x:v>
      </x:c>
      <x:c r="B1277" s="7" t="str">
        <x:v>RS Bhirawa Bhakti</x:v>
      </x:c>
      <x:c r="C1277" s="7" t="str">
        <x:v>D</x:v>
      </x:c>
      <x:c r="D1277" s="7" t="str">
        <x:v>KOTA MALANG</x:v>
      </x:c>
      <x:c r="E1277" s="8">
        <x:v>11168</x:v>
      </x:c>
      <x:c r="F1277" s="9">
        <x:v>6900744200</x:v>
      </x:c>
      <x:c r="G1277" s="9">
        <x:v>9088608725.690002</x:v>
      </x:c>
      <x:c r="H1277" s="10" t="n">
        <x:f>G1277-F1277</x:f>
        <x:v>2187864525.6900024</x:v>
      </x:c>
    </x:row>
    <x:row r="1278">
      <x:c r="A1278" s="7" t="str">
        <x:v>3573262</x:v>
      </x:c>
      <x:c r="B1278" s="7" t="str">
        <x:v>RS Universitas Brawijaya</x:v>
      </x:c>
      <x:c r="C1278" s="7" t="str">
        <x:v>C</x:v>
      </x:c>
      <x:c r="D1278" s="7" t="str">
        <x:v>KOTA MALANG</x:v>
      </x:c>
      <x:c r="E1278" s="8">
        <x:v>40416</x:v>
      </x:c>
      <x:c r="F1278" s="9">
        <x:v>25609109950</x:v>
      </x:c>
      <x:c r="G1278" s="9">
        <x:v>31559795407.73</x:v>
      </x:c>
      <x:c r="H1278" s="10" t="n">
        <x:f>G1278-F1278</x:f>
        <x:v>5950685457.73</x:v>
      </x:c>
    </x:row>
    <x:row r="1279">
      <x:c r="A1279" s="7" t="str">
        <x:v>3573276</x:v>
      </x:c>
      <x:c r="B1279" s="7" t="str">
        <x:v>RS Umum BRI Medika Malang</x:v>
      </x:c>
      <x:c r="C1279" s="7" t="str">
        <x:v>D</x:v>
      </x:c>
      <x:c r="D1279" s="7" t="str">
        <x:v>MALANG</x:v>
      </x:c>
      <x:c r="E1279" s="8">
        <x:v>5185</x:v>
      </x:c>
      <x:c r="F1279" s="9">
        <x:v>4760109800</x:v>
      </x:c>
      <x:c r="G1279" s="9">
        <x:v>6202179469.100003</x:v>
      </x:c>
      <x:c r="H1279" s="10" t="n">
        <x:f>G1279-F1279</x:f>
        <x:v>1442069669.1000032</x:v>
      </x:c>
    </x:row>
    <x:row r="1280">
      <x:c r="A1280" s="7" t="str">
        <x:v>3574012</x:v>
      </x:c>
      <x:c r="B1280" s="7" t="str">
        <x:v>RS Umum Daerah dr. Mohamad Saleh Kota Probolinggo</x:v>
      </x:c>
      <x:c r="C1280" s="7" t="str">
        <x:v>B</x:v>
      </x:c>
      <x:c r="D1280" s="7" t="str">
        <x:v>KOTA PROBOLINGGO</x:v>
      </x:c>
      <x:c r="E1280" s="8">
        <x:v>56636</x:v>
      </x:c>
      <x:c r="F1280" s="9">
        <x:v>57952567255</x:v>
      </x:c>
      <x:c r="G1280" s="9">
        <x:v>66848243064.12</x:v>
      </x:c>
      <x:c r="H1280" s="10" t="n">
        <x:f>G1280-F1280</x:f>
        <x:v>8895675809.120003</x:v>
      </x:c>
    </x:row>
    <x:row r="1281">
      <x:c r="A1281" s="7" t="str">
        <x:v>3574023</x:v>
      </x:c>
      <x:c r="B1281" s="7" t="str">
        <x:v>RS Umum Dharma Husada</x:v>
      </x:c>
      <x:c r="C1281" s="7" t="str">
        <x:v>D</x:v>
      </x:c>
      <x:c r="D1281" s="7" t="str">
        <x:v>KOTA PROBOLINGGO</x:v>
      </x:c>
      <x:c r="E1281" s="8">
        <x:v>7053</x:v>
      </x:c>
      <x:c r="F1281" s="9">
        <x:v>6944686300</x:v>
      </x:c>
      <x:c r="G1281" s="9">
        <x:v>9144717942.67</x:v>
      </x:c>
      <x:c r="H1281" s="10" t="n">
        <x:f>G1281-F1281</x:f>
        <x:v>2200031642.67</x:v>
      </x:c>
    </x:row>
    <x:row r="1282">
      <x:c r="A1282" s="7" t="str">
        <x:v>3574068</x:v>
      </x:c>
      <x:c r="B1282" s="7" t="str">
        <x:v>RS Umum Amanah</x:v>
      </x:c>
      <x:c r="C1282" s="7" t="str">
        <x:v>C</x:v>
      </x:c>
      <x:c r="D1282" s="7" t="str">
        <x:v>KOTA PROBOLINGGO</x:v>
      </x:c>
      <x:c r="E1282" s="8">
        <x:v>4468</x:v>
      </x:c>
      <x:c r="F1282" s="9">
        <x:v>8790849600</x:v>
      </x:c>
      <x:c r="G1282" s="9">
        <x:v>10029172467.430008</x:v>
      </x:c>
      <x:c r="H1282" s="10" t="n">
        <x:f>G1282-F1282</x:f>
        <x:v>1238322867.430008</x:v>
      </x:c>
    </x:row>
    <x:row r="1283">
      <x:c r="A1283" s="7" t="str">
        <x:v>3574069</x:v>
      </x:c>
      <x:c r="B1283" s="7" t="str">
        <x:v>RS Ibu dan Anak Muhammadiyah Kota Probolinggo</x:v>
      </x:c>
      <x:c r="C1283" s="7" t="str">
        <x:v>C</x:v>
      </x:c>
      <x:c r="D1283" s="7" t="str">
        <x:v>KOTA PROBOLINGGO</x:v>
      </x:c>
      <x:c r="E1283" s="8">
        <x:v>7134</x:v>
      </x:c>
      <x:c r="F1283" s="9">
        <x:v>13918469300</x:v>
      </x:c>
      <x:c r="G1283" s="9">
        <x:v>16195629674.86</x:v>
      </x:c>
      <x:c r="H1283" s="10" t="n">
        <x:f>G1283-F1283</x:f>
        <x:v>2277160374.8600006</x:v>
      </x:c>
    </x:row>
    <x:row r="1284">
      <x:c r="A1284" s="7" t="str">
        <x:v>3574080</x:v>
      </x:c>
      <x:c r="B1284" s="7" t="str">
        <x:v>RS Umum Daerah Ar Rozy</x:v>
      </x:c>
      <x:c r="C1284" s="7" t="str">
        <x:v>C</x:v>
      </x:c>
      <x:c r="D1284" s="7" t="str">
        <x:v>KOTA PROBOLINGGO</x:v>
      </x:c>
      <x:c r="E1284" s="8">
        <x:v>7739</x:v>
      </x:c>
      <x:c r="F1284" s="9">
        <x:v>9658081200</x:v>
      </x:c>
      <x:c r="G1284" s="9">
        <x:v>12839419365.63</x:v>
      </x:c>
      <x:c r="H1284" s="10" t="n">
        <x:f>G1284-F1284</x:f>
        <x:v>3181338165.629999</x:v>
      </x:c>
    </x:row>
    <x:row r="1285">
      <x:c r="A1285" s="7" t="str">
        <x:v>3575013</x:v>
      </x:c>
      <x:c r="B1285" s="7" t="str">
        <x:v>RS Umum Daerah Dr. R. Soedarsono Kota Pasuruan</x:v>
      </x:c>
      <x:c r="C1285" s="7" t="str">
        <x:v>C</x:v>
      </x:c>
      <x:c r="D1285" s="7" t="str">
        <x:v>KOTA PASURUAN</x:v>
      </x:c>
      <x:c r="E1285" s="8">
        <x:v>47585</x:v>
      </x:c>
      <x:c r="F1285" s="9">
        <x:v>40072989700</x:v>
      </x:c>
      <x:c r="G1285" s="9">
        <x:v>53493050935.58999</x:v>
      </x:c>
      <x:c r="H1285" s="10" t="n">
        <x:f>G1285-F1285</x:f>
        <x:v>13420061235.589989</x:v>
      </x:c>
    </x:row>
    <x:row r="1286">
      <x:c r="A1286" s="7" t="str">
        <x:v>3575016</x:v>
      </x:c>
      <x:c r="B1286" s="7" t="str">
        <x:v>RS Asih Abyakta</x:v>
      </x:c>
      <x:c r="C1286" s="7" t="str">
        <x:v>D</x:v>
      </x:c>
      <x:c r="D1286" s="7" t="str">
        <x:v>KOTA PASURUAN</x:v>
      </x:c>
      <x:c r="E1286" s="8">
        <x:v>11041</x:v>
      </x:c>
      <x:c r="F1286" s="9">
        <x:v>11395485200</x:v>
      </x:c>
      <x:c r="G1286" s="9">
        <x:v>14308569925.219994</x:v>
      </x:c>
      <x:c r="H1286" s="10" t="n">
        <x:f>G1286-F1286</x:f>
        <x:v>2913084725.2199936</x:v>
      </x:c>
    </x:row>
    <x:row r="1287">
      <x:c r="A1287" s="7" t="str">
        <x:v>3576014</x:v>
      </x:c>
      <x:c r="B1287" s="7" t="str">
        <x:v>RSUD dr. Wahidin Sudiro Husodo Kota Mojokerto</x:v>
      </x:c>
      <x:c r="C1287" s="7" t="str">
        <x:v>B</x:v>
      </x:c>
      <x:c r="D1287" s="7" t="str">
        <x:v>KOTA MOJOKERTO</x:v>
      </x:c>
      <x:c r="E1287" s="8">
        <x:v>94712</x:v>
      </x:c>
      <x:c r="F1287" s="9">
        <x:v>72873620925</x:v>
      </x:c>
      <x:c r="G1287" s="9">
        <x:v>82261283537.52995</x:v>
      </x:c>
      <x:c r="H1287" s="10" t="n">
        <x:f>G1287-F1287</x:f>
        <x:v>9387662612.529953</x:v>
      </x:c>
    </x:row>
    <x:row r="1288">
      <x:c r="A1288" s="7" t="str">
        <x:v>3576036</x:v>
      </x:c>
      <x:c r="B1288" s="7" t="str">
        <x:v>RS Gatoel</x:v>
      </x:c>
      <x:c r="C1288" s="7" t="str">
        <x:v>C</x:v>
      </x:c>
      <x:c r="D1288" s="7" t="str">
        <x:v>KOTA MOJOKERTO</x:v>
      </x:c>
      <x:c r="E1288" s="8">
        <x:v>74332</x:v>
      </x:c>
      <x:c r="F1288" s="9">
        <x:v>55497286900</x:v>
      </x:c>
      <x:c r="G1288" s="9">
        <x:v>64317513317.61001</x:v>
      </x:c>
      <x:c r="H1288" s="10" t="n">
        <x:f>G1288-F1288</x:f>
        <x:v>8820226417.610008</x:v>
      </x:c>
    </x:row>
    <x:row r="1289">
      <x:c r="A1289" s="7" t="str">
        <x:v>3576040</x:v>
      </x:c>
      <x:c r="B1289" s="7" t="str">
        <x:v>RS Reksa Waluya</x:v>
      </x:c>
      <x:c r="C1289" s="7" t="str">
        <x:v>C</x:v>
      </x:c>
      <x:c r="D1289" s="7" t="str">
        <x:v>KOTA MOJOKERTO</x:v>
      </x:c>
      <x:c r="E1289" s="8">
        <x:v>22322</x:v>
      </x:c>
      <x:c r="F1289" s="9">
        <x:v>14872020200</x:v>
      </x:c>
      <x:c r="G1289" s="9">
        <x:v>18174754811.130005</x:v>
      </x:c>
      <x:c r="H1289" s="10" t="n">
        <x:f>G1289-F1289</x:f>
        <x:v>3302734611.130005</x:v>
      </x:c>
    </x:row>
    <x:row r="1290">
      <x:c r="A1290" s="7" t="str">
        <x:v>3576051</x:v>
      </x:c>
      <x:c r="B1290" s="7" t="str">
        <x:v>RS Islam Hasanah Muhammadiyah</x:v>
      </x:c>
      <x:c r="C1290" s="7" t="str">
        <x:v>C</x:v>
      </x:c>
      <x:c r="D1290" s="7" t="str">
        <x:v>KOTA MOJOKERTO</x:v>
      </x:c>
      <x:c r="E1290" s="8">
        <x:v>16993</x:v>
      </x:c>
      <x:c r="F1290" s="9">
        <x:v>12796758100</x:v>
      </x:c>
      <x:c r="G1290" s="9">
        <x:v>15125228157.020002</x:v>
      </x:c>
      <x:c r="H1290" s="10" t="n">
        <x:f>G1290-F1290</x:f>
        <x:v>2328470057.0200024</x:v>
      </x:c>
    </x:row>
    <x:row r="1291">
      <x:c r="A1291" s="7" t="str">
        <x:v>3576074</x:v>
      </x:c>
      <x:c r="B1291" s="7" t="str">
        <x:v>RS Kamar Medika</x:v>
      </x:c>
      <x:c r="C1291" s="7" t="str">
        <x:v>D</x:v>
      </x:c>
      <x:c r="D1291" s="7" t="str">
        <x:v>KOTA MOJOKERTO</x:v>
      </x:c>
      <x:c r="E1291" s="8">
        <x:v>20610</x:v>
      </x:c>
      <x:c r="F1291" s="9">
        <x:v>13661285800</x:v>
      </x:c>
      <x:c r="G1291" s="9">
        <x:v>16901098842.939997</x:v>
      </x:c>
      <x:c r="H1291" s="10" t="n">
        <x:f>G1291-F1291</x:f>
        <x:v>3239813042.9399967</x:v>
      </x:c>
    </x:row>
    <x:row r="1292">
      <x:c r="A1292" s="7" t="str">
        <x:v>3576076</x:v>
      </x:c>
      <x:c r="B1292" s="7" t="str">
        <x:v>RS Emma</x:v>
      </x:c>
      <x:c r="C1292" s="7" t="str">
        <x:v>C</x:v>
      </x:c>
      <x:c r="D1292" s="7" t="str">
        <x:v>KOTA MOJOKERTO</x:v>
      </x:c>
      <x:c r="E1292" s="8">
        <x:v>10306</x:v>
      </x:c>
      <x:c r="F1292" s="9">
        <x:v>13342428500</x:v>
      </x:c>
      <x:c r="G1292" s="9">
        <x:v>16478461853.890003</x:v>
      </x:c>
      <x:c r="H1292" s="10" t="n">
        <x:f>G1292-F1292</x:f>
        <x:v>3136033353.890003</x:v>
      </x:c>
    </x:row>
    <x:row r="1293">
      <x:c r="A1293" s="7" t="str">
        <x:v>3577015</x:v>
      </x:c>
      <x:c r="B1293" s="7" t="str">
        <x:v>RS Umum Daerah Dr. Soedono Madiun</x:v>
      </x:c>
      <x:c r="C1293" s="7" t="str">
        <x:v>B</x:v>
      </x:c>
      <x:c r="D1293" s="7" t="str">
        <x:v>KOTA MADIUN</x:v>
      </x:c>
      <x:c r="E1293" s="8">
        <x:v>178261</x:v>
      </x:c>
      <x:c r="F1293" s="9">
        <x:v>171493757800</x:v>
      </x:c>
      <x:c r="G1293" s="9">
        <x:v>197187420548.7399</x:v>
      </x:c>
      <x:c r="H1293" s="10" t="n">
        <x:f>G1293-F1293</x:f>
        <x:v>25693662748.7399</x:v>
      </x:c>
    </x:row>
    <x:row r="1294">
      <x:c r="A1294" s="7" t="str">
        <x:v>3577026</x:v>
      </x:c>
      <x:c r="B1294" s="7" t="str">
        <x:v>RS Umum Santa Clara</x:v>
      </x:c>
      <x:c r="C1294" s="7" t="str">
        <x:v>C</x:v>
      </x:c>
      <x:c r="D1294" s="7" t="str">
        <x:v>KOTA MADIUN</x:v>
      </x:c>
      <x:c r="E1294" s="8">
        <x:v>17474</x:v>
      </x:c>
      <x:c r="F1294" s="9">
        <x:v>11113643700</x:v>
      </x:c>
      <x:c r="G1294" s="9">
        <x:v>13502121723.360004</x:v>
      </x:c>
      <x:c r="H1294" s="10" t="n">
        <x:f>G1294-F1294</x:f>
        <x:v>2388478023.3600044</x:v>
      </x:c>
    </x:row>
    <x:row r="1295">
      <x:c r="A1295" s="7" t="str">
        <x:v>3577030</x:v>
      </x:c>
      <x:c r="B1295" s="7" t="str">
        <x:v>RS Umum TNI AD Tk. IV 05.04.01 Kota Madiun</x:v>
      </x:c>
      <x:c r="C1295" s="7" t="str">
        <x:v>D</x:v>
      </x:c>
      <x:c r="D1295" s="7" t="str">
        <x:v>KOTA MADIUN</x:v>
      </x:c>
      <x:c r="E1295" s="8">
        <x:v>3784</x:v>
      </x:c>
      <x:c r="F1295" s="9">
        <x:v>2590131800</x:v>
      </x:c>
      <x:c r="G1295" s="9">
        <x:v>3396716801.14</x:v>
      </x:c>
      <x:c r="H1295" s="10" t="n">
        <x:f>G1295-F1295</x:f>
        <x:v>806585001.1399999</x:v>
      </x:c>
    </x:row>
    <x:row r="1296">
      <x:c r="A1296" s="7" t="str">
        <x:v>3577052</x:v>
      </x:c>
      <x:c r="B1296" s="7" t="str">
        <x:v>RS Ibu dan Anak Al Hasanah</x:v>
      </x:c>
      <x:c r="C1296" s="7" t="str">
        <x:v>C</x:v>
      </x:c>
      <x:c r="D1296" s="7" t="str">
        <x:v>KOTA MADIUN</x:v>
      </x:c>
      <x:c r="E1296" s="8">
        <x:v>1047</x:v>
      </x:c>
      <x:c r="F1296" s="9">
        <x:v>2264240000</x:v>
      </x:c>
      <x:c r="G1296" s="9">
        <x:v>2460534451.109999</x:v>
      </x:c>
      <x:c r="H1296" s="10" t="n">
        <x:f>G1296-F1296</x:f>
        <x:v>196294451.10999918</x:v>
      </x:c>
    </x:row>
    <x:row r="1297">
      <x:c r="A1297" s="7" t="str">
        <x:v>3577074</x:v>
      </x:c>
      <x:c r="B1297" s="7" t="str">
        <x:v>RS Umum Islam Siti Aisyah</x:v>
      </x:c>
      <x:c r="C1297" s="7" t="str">
        <x:v>C</x:v>
      </x:c>
      <x:c r="D1297" s="7" t="str">
        <x:v>KOTA MADIUN</x:v>
      </x:c>
      <x:c r="E1297" s="8">
        <x:v>79927</x:v>
      </x:c>
      <x:c r="F1297" s="9">
        <x:v>48224038500</x:v>
      </x:c>
      <x:c r="G1297" s="9">
        <x:v>58205285448.26999</x:v>
      </x:c>
      <x:c r="H1297" s="10" t="n">
        <x:f>G1297-F1297</x:f>
        <x:v>9981246948.269989</x:v>
      </x:c>
    </x:row>
    <x:row r="1298">
      <x:c r="A1298" s="7" t="str">
        <x:v>3577085</x:v>
      </x:c>
      <x:c r="B1298" s="7" t="str">
        <x:v>RS Umum Daerah Kota Madiun</x:v>
      </x:c>
      <x:c r="C1298" s="7" t="str">
        <x:v>C</x:v>
      </x:c>
      <x:c r="D1298" s="7" t="str">
        <x:v>KOTA MADIUN</x:v>
      </x:c>
      <x:c r="E1298" s="8">
        <x:v>111794</x:v>
      </x:c>
      <x:c r="F1298" s="9">
        <x:v>52879989415</x:v>
      </x:c>
      <x:c r="G1298" s="9">
        <x:v>67979086608.679985</x:v>
      </x:c>
      <x:c r="H1298" s="10" t="n">
        <x:f>G1298-F1298</x:f>
        <x:v>15099097193.679985</x:v>
      </x:c>
    </x:row>
    <x:row r="1299">
      <x:c r="A1299" s="7" t="str">
        <x:v>3577086</x:v>
      </x:c>
      <x:c r="B1299" s="7" t="str">
        <x:v>RS Umum Griya Husada Madiun</x:v>
      </x:c>
      <x:c r="C1299" s="7" t="str">
        <x:v>C</x:v>
      </x:c>
      <x:c r="D1299" s="7" t="str">
        <x:v>KOTA MADIUN</x:v>
      </x:c>
      <x:c r="E1299" s="8">
        <x:v>59165</x:v>
      </x:c>
      <x:c r="F1299" s="9">
        <x:v>28434454000</x:v>
      </x:c>
      <x:c r="G1299" s="9">
        <x:v>32180094553.840004</x:v>
      </x:c>
      <x:c r="H1299" s="10" t="n">
        <x:f>G1299-F1299</x:f>
        <x:v>3745640553.840004</x:v>
      </x:c>
    </x:row>
    <x:row r="1300">
      <x:c r="A1300" s="7" t="str">
        <x:v>3577098</x:v>
      </x:c>
      <x:c r="B1300" s="7" t="str">
        <x:v>RS Umum Darmayu Madiun</x:v>
      </x:c>
      <x:c r="C1300" s="7" t="str">
        <x:v>C</x:v>
      </x:c>
      <x:c r="D1300" s="7" t="str">
        <x:v>KOTA MADIUN</x:v>
      </x:c>
      <x:c r="E1300" s="8">
        <x:v>29587</x:v>
      </x:c>
      <x:c r="F1300" s="9">
        <x:v>23532518150</x:v>
      </x:c>
      <x:c r="G1300" s="9">
        <x:v>30235392442.760014</x:v>
      </x:c>
      <x:c r="H1300" s="10" t="n">
        <x:f>G1300-F1300</x:f>
        <x:v>6702874292.760014</x:v>
      </x:c>
    </x:row>
    <x:row r="1301">
      <x:c r="A1301" s="7" t="str">
        <x:v>3577099</x:v>
      </x:c>
      <x:c r="B1301" s="7" t="str">
        <x:v>RS Hermina Madiun</x:v>
      </x:c>
      <x:c r="C1301" s="7" t="str">
        <x:v>C</x:v>
      </x:c>
      <x:c r="D1301" s="7" t="str">
        <x:v>KOTA MADIUN</x:v>
      </x:c>
      <x:c r="E1301" s="8">
        <x:v>14918</x:v>
      </x:c>
      <x:c r="F1301" s="9">
        <x:v>15946881100</x:v>
      </x:c>
      <x:c r="G1301" s="9">
        <x:v>23583612491.129997</x:v>
      </x:c>
      <x:c r="H1301" s="10" t="n">
        <x:f>G1301-F1301</x:f>
        <x:v>7636731391.129997</x:v>
      </x:c>
    </x:row>
    <x:row r="1302">
      <x:c r="A1302" s="7" t="str">
        <x:v>3578016</x:v>
      </x:c>
      <x:c r="B1302" s="7" t="str">
        <x:v>RS Umum Daerah Dr. Soetomo</x:v>
      </x:c>
      <x:c r="C1302" s="7" t="str">
        <x:v>A</x:v>
      </x:c>
      <x:c r="D1302" s="7" t="str">
        <x:v>KOTA SURABAYA</x:v>
      </x:c>
      <x:c r="E1302" s="8">
        <x:v>373638</x:v>
      </x:c>
      <x:c r="F1302" s="9">
        <x:v>782916527000</x:v>
      </x:c>
      <x:c r="G1302" s="9">
        <x:v>670806805101.0804</x:v>
      </x:c>
      <x:c r="H1302" s="10" t="n">
        <x:f>G1302-F1302</x:f>
        <x:v>-112109721898.91956</x:v>
      </x:c>
    </x:row>
    <x:row r="1303">
      <x:c r="A1303" s="7" t="str">
        <x:v>3578020</x:v>
      </x:c>
      <x:c r="B1303" s="7" t="str">
        <x:v>RSPAL dr. Ramelan</x:v>
      </x:c>
      <x:c r="C1303" s="7" t="str">
        <x:v>A</x:v>
      </x:c>
      <x:c r="D1303" s="7" t="str">
        <x:v>KOTA SURABAYA</x:v>
      </x:c>
      <x:c r="E1303" s="8">
        <x:v>197212</x:v>
      </x:c>
      <x:c r="F1303" s="9">
        <x:v>399519449255</x:v>
      </x:c>
      <x:c r="G1303" s="9">
        <x:v>330169136107.87</x:v>
      </x:c>
      <x:c r="H1303" s="10" t="n">
        <x:f>G1303-F1303</x:f>
        <x:v>-69350313147.13</x:v>
      </x:c>
    </x:row>
    <x:row r="1304">
      <x:c r="A1304" s="7" t="str">
        <x:v>3578031</x:v>
      </x:c>
      <x:c r="B1304" s="7" t="str">
        <x:v>RS William Booth Surabaya</x:v>
      </x:c>
      <x:c r="C1304" s="7" t="str">
        <x:v>C</x:v>
      </x:c>
      <x:c r="D1304" s="7" t="str">
        <x:v>KOTA SURABAYA</x:v>
      </x:c>
      <x:c r="E1304" s="8">
        <x:v>119936</x:v>
      </x:c>
      <x:c r="F1304" s="9">
        <x:v>54533110100</x:v>
      </x:c>
      <x:c r="G1304" s="9">
        <x:v>65564334019.159996</x:v>
      </x:c>
      <x:c r="H1304" s="10" t="n">
        <x:f>G1304-F1304</x:f>
        <x:v>11031223919.159996</x:v>
      </x:c>
    </x:row>
    <x:row r="1305">
      <x:c r="A1305" s="7" t="str">
        <x:v>3578086</x:v>
      </x:c>
      <x:c r="B1305" s="7" t="str">
        <x:v>RS Primasatya Husada Citra (PHC) Surabaya</x:v>
      </x:c>
      <x:c r="C1305" s="7" t="str">
        <x:v>B</x:v>
      </x:c>
      <x:c r="D1305" s="7" t="str">
        <x:v>KOTA SURABAYA</x:v>
      </x:c>
      <x:c r="E1305" s="8">
        <x:v>126009</x:v>
      </x:c>
      <x:c r="F1305" s="9">
        <x:v>98520415380</x:v>
      </x:c>
      <x:c r="G1305" s="9">
        <x:v>102756712151.60999</x:v>
      </x:c>
      <x:c r="H1305" s="10" t="n">
        <x:f>G1305-F1305</x:f>
        <x:v>4236296771.6099854</x:v>
      </x:c>
    </x:row>
    <x:row r="1306">
      <x:c r="A1306" s="7" t="str">
        <x:v>3578090</x:v>
      </x:c>
      <x:c r="B1306" s="7" t="str">
        <x:v>RS TNI AL Dr. Oepomo</x:v>
      </x:c>
      <x:c r="C1306" s="7" t="str">
        <x:v>D</x:v>
      </x:c>
      <x:c r="D1306" s="7" t="str">
        <x:v>KOTA SURABAYA</x:v>
      </x:c>
      <x:c r="E1306" s="8">
        <x:v>2852</x:v>
      </x:c>
      <x:c r="F1306" s="9">
        <x:v>1084100400</x:v>
      </x:c>
      <x:c r="G1306" s="9">
        <x:v>1384836751.1599994</x:v>
      </x:c>
      <x:c r="H1306" s="10" t="n">
        <x:f>G1306-F1306</x:f>
        <x:v>300736351.1599994</x:v>
      </x:c>
    </x:row>
    <x:row r="1307">
      <x:c r="A1307" s="7" t="str">
        <x:v>3578100</x:v>
      </x:c>
      <x:c r="B1307" s="7" t="str">
        <x:v>RS Umum Adi Husada Kapasari</x:v>
      </x:c>
      <x:c r="C1307" s="7" t="str">
        <x:v>C</x:v>
      </x:c>
      <x:c r="D1307" s="7" t="str">
        <x:v>KOTA SURABAYA</x:v>
      </x:c>
      <x:c r="E1307" s="8">
        <x:v>67551</x:v>
      </x:c>
      <x:c r="F1307" s="9">
        <x:v>26635653800</x:v>
      </x:c>
      <x:c r="G1307" s="9">
        <x:v>30669582851.200005</x:v>
      </x:c>
      <x:c r="H1307" s="10" t="n">
        <x:f>G1307-F1307</x:f>
        <x:v>4033929051.2000046</x:v>
      </x:c>
    </x:row>
    <x:row r="1308">
      <x:c r="A1308" s="7" t="str">
        <x:v>3578111</x:v>
      </x:c>
      <x:c r="B1308" s="7" t="str">
        <x:v>RS Islam Surabaya</x:v>
      </x:c>
      <x:c r="C1308" s="7" t="str">
        <x:v>B</x:v>
      </x:c>
      <x:c r="D1308" s="7" t="str">
        <x:v>KOTA SURABAYA</x:v>
      </x:c>
      <x:c r="E1308" s="8">
        <x:v>150233</x:v>
      </x:c>
      <x:c r="F1308" s="9">
        <x:v>107479927240</x:v>
      </x:c>
      <x:c r="G1308" s="9">
        <x:v>111282597567.56003</x:v>
      </x:c>
      <x:c r="H1308" s="10" t="n">
        <x:f>G1308-F1308</x:f>
        <x:v>3802670327.560028</x:v>
      </x:c>
    </x:row>
    <x:row r="1309">
      <x:c r="A1309" s="7" t="str">
        <x:v>3578122</x:v>
      </x:c>
      <x:c r="B1309" s="7" t="str">
        <x:v>RS Umum Tk. III Brawijaya</x:v>
      </x:c>
      <x:c r="C1309" s="7" t="str">
        <x:v>C</x:v>
      </x:c>
      <x:c r="D1309" s="7" t="str">
        <x:v>KOTA SURABAYA</x:v>
      </x:c>
      <x:c r="E1309" s="8">
        <x:v>47143</x:v>
      </x:c>
      <x:c r="F1309" s="9">
        <x:v>22778904600</x:v>
      </x:c>
      <x:c r="G1309" s="9">
        <x:v>27776800547.45001</x:v>
      </x:c>
      <x:c r="H1309" s="10" t="n">
        <x:f>G1309-F1309</x:f>
        <x:v>4997895947.450008</x:v>
      </x:c>
    </x:row>
    <x:row r="1310">
      <x:c r="A1310" s="7" t="str">
        <x:v>3578144</x:v>
      </x:c>
      <x:c r="B1310" s="7" t="str">
        <x:v>RS Marinir Ewa Pangalila Gunungsari</x:v>
      </x:c>
      <x:c r="C1310" s="7" t="str">
        <x:v>C</x:v>
      </x:c>
      <x:c r="D1310" s="7" t="str">
        <x:v>KOTA SURABAYA</x:v>
      </x:c>
      <x:c r="E1310" s="8">
        <x:v>17623</x:v>
      </x:c>
      <x:c r="F1310" s="9">
        <x:v>11580492800</x:v>
      </x:c>
      <x:c r="G1310" s="9">
        <x:v>14092292978.980003</x:v>
      </x:c>
      <x:c r="H1310" s="10" t="n">
        <x:f>G1310-F1310</x:f>
        <x:v>2511800178.9800034</x:v>
      </x:c>
    </x:row>
    <x:row r="1311">
      <x:c r="A1311" s="7" t="str">
        <x:v>3578166</x:v>
      </x:c>
      <x:c r="B1311" s="7" t="str">
        <x:v>RS Soemitro Lanud Moeljono Surabaya</x:v>
      </x:c>
      <x:c r="C1311" s="7" t="str">
        <x:v>D</x:v>
      </x:c>
      <x:c r="D1311" s="7" t="str">
        <x:v>KOTA SURABAYA</x:v>
      </x:c>
      <x:c r="E1311" s="8">
        <x:v>2829</x:v>
      </x:c>
      <x:c r="F1311" s="9">
        <x:v>1319653600</x:v>
      </x:c>
      <x:c r="G1311" s="9">
        <x:v>1784036193.6600006</x:v>
      </x:c>
      <x:c r="H1311" s="10" t="n">
        <x:f>G1311-F1311</x:f>
        <x:v>464382593.66000056</x:v>
      </x:c>
    </x:row>
    <x:row r="1312">
      <x:c r="A1312" s="7" t="str">
        <x:v>3578192</x:v>
      </x:c>
      <x:c r="B1312" s="7" t="str">
        <x:v>RS Jiwa Menur</x:v>
      </x:c>
      <x:c r="C1312" s="7" t="str">
        <x:v>A</x:v>
      </x:c>
      <x:c r="D1312" s="7" t="str">
        <x:v>KOTA SURABAYA</x:v>
      </x:c>
      <x:c r="E1312" s="8">
        <x:v>37073</x:v>
      </x:c>
      <x:c r="F1312" s="9">
        <x:v>40370938500</x:v>
      </x:c>
      <x:c r="G1312" s="9">
        <x:v>42208044175.669975</x:v>
      </x:c>
      <x:c r="H1312" s="10" t="n">
        <x:f>G1312-F1312</x:f>
        <x:v>1837105675.6699753</x:v>
      </x:c>
    </x:row>
    <x:row r="1313">
      <x:c r="A1313" s="7" t="str">
        <x:v>3578202</x:v>
      </x:c>
      <x:c r="B1313" s="7" t="str">
        <x:v>RS Mata Undaan</x:v>
      </x:c>
      <x:c r="C1313" s="7" t="str">
        <x:v>B</x:v>
      </x:c>
      <x:c r="D1313" s="7" t="str">
        <x:v>KOTA SURABAYA</x:v>
      </x:c>
      <x:c r="E1313" s="8">
        <x:v>69365</x:v>
      </x:c>
      <x:c r="F1313" s="9">
        <x:v>81932261500</x:v>
      </x:c>
      <x:c r="G1313" s="9">
        <x:v>83315113106.86998</x:v>
      </x:c>
      <x:c r="H1313" s="10" t="n">
        <x:f>G1313-F1313</x:f>
        <x:v>1382851606.8699799</x:v>
      </x:c>
    </x:row>
    <x:row r="1314">
      <x:c r="A1314" s="7" t="str">
        <x:v>3578213</x:v>
      </x:c>
      <x:c r="B1314" s="7" t="str">
        <x:v>RS Umum Daerah Bhakti Dharma Husada</x:v>
      </x:c>
      <x:c r="C1314" s="7" t="str">
        <x:v>B</x:v>
      </x:c>
      <x:c r="D1314" s="7" t="str">
        <x:v>KOTA SURABAYA</x:v>
      </x:c>
      <x:c r="E1314" s="8">
        <x:v>206189</x:v>
      </x:c>
      <x:c r="F1314" s="9">
        <x:v>116206337200</x:v>
      </x:c>
      <x:c r="G1314" s="9">
        <x:v>130408902580.05998</x:v>
      </x:c>
      <x:c r="H1314" s="10" t="n">
        <x:f>G1314-F1314</x:f>
        <x:v>14202565380.059982</x:v>
      </x:c>
    </x:row>
    <x:row r="1315">
      <x:c r="A1315" s="7" t="str">
        <x:v>3578224</x:v>
      </x:c>
      <x:c r="B1315" s="7" t="str">
        <x:v>RS Umum Islam Surabaya Jemursari</x:v>
      </x:c>
      <x:c r="C1315" s="7" t="str">
        <x:v>B</x:v>
      </x:c>
      <x:c r="D1315" s="7" t="str">
        <x:v>KOTA SURABAYA</x:v>
      </x:c>
      <x:c r="E1315" s="8">
        <x:v>134652</x:v>
      </x:c>
      <x:c r="F1315" s="9">
        <x:v>86200198900</x:v>
      </x:c>
      <x:c r="G1315" s="9">
        <x:v>89922971831.85999</x:v>
      </x:c>
      <x:c r="H1315" s="10" t="n">
        <x:f>G1315-F1315</x:f>
        <x:v>3722772931.8599854</x:v>
      </x:c>
    </x:row>
    <x:row r="1316">
      <x:c r="A1316" s="7" t="str">
        <x:v>3578235</x:v>
      </x:c>
      <x:c r="B1316" s="7" t="str">
        <x:v>RS Bunda</x:v>
      </x:c>
      <x:c r="C1316" s="7" t="str">
        <x:v>D</x:v>
      </x:c>
      <x:c r="D1316" s="7" t="str">
        <x:v>KOTA SURABAYA</x:v>
      </x:c>
      <x:c r="E1316" s="8">
        <x:v>18602</x:v>
      </x:c>
      <x:c r="F1316" s="9">
        <x:v>13237349900</x:v>
      </x:c>
      <x:c r="G1316" s="9">
        <x:v>15897037200.060001</x:v>
      </x:c>
      <x:c r="H1316" s="10" t="n">
        <x:f>G1316-F1316</x:f>
        <x:v>2659687300.0600014</x:v>
      </x:c>
    </x:row>
    <x:row r="1317">
      <x:c r="A1317" s="7" t="str">
        <x:v>3578246</x:v>
      </x:c>
      <x:c r="B1317" s="7" t="str">
        <x:v>RS Muji Rahayu</x:v>
      </x:c>
      <x:c r="C1317" s="7" t="str">
        <x:v>D</x:v>
      </x:c>
      <x:c r="D1317" s="7" t="str">
        <x:v>KOTA SURABAYA</x:v>
      </x:c>
      <x:c r="E1317" s="8">
        <x:v>6955</x:v>
      </x:c>
      <x:c r="F1317" s="9">
        <x:v>4432522900</x:v>
      </x:c>
      <x:c r="G1317" s="9">
        <x:v>6032987493.95</x:v>
      </x:c>
      <x:c r="H1317" s="10" t="n">
        <x:f>G1317-F1317</x:f>
        <x:v>1600464593.9499998</x:v>
      </x:c>
    </x:row>
    <x:row r="1318">
      <x:c r="A1318" s="7" t="str">
        <x:v>3578261</x:v>
      </x:c>
      <x:c r="B1318" s="7" t="str">
        <x:v>RS Ibu dan Anak IBI Surabaya</x:v>
      </x:c>
      <x:c r="C1318" s="7" t="str">
        <x:v>C</x:v>
      </x:c>
      <x:c r="D1318" s="7" t="str">
        <x:v>KOTA SURABAYA</x:v>
      </x:c>
      <x:c r="E1318" s="8">
        <x:v>2306</x:v>
      </x:c>
      <x:c r="F1318" s="9">
        <x:v>3772769500</x:v>
      </x:c>
      <x:c r="G1318" s="9">
        <x:v>4435545206.209999</x:v>
      </x:c>
      <x:c r="H1318" s="10" t="n">
        <x:f>G1318-F1318</x:f>
        <x:v>662775706.2099991</x:v>
      </x:c>
    </x:row>
    <x:row r="1319">
      <x:c r="A1319" s="7" t="str">
        <x:v>3578322</x:v>
      </x:c>
      <x:c r="B1319" s="7" t="str">
        <x:v>RS Umum Daerah Husada Prima</x:v>
      </x:c>
      <x:c r="C1319" s="7" t="str">
        <x:v>C</x:v>
      </x:c>
      <x:c r="D1319" s="7" t="str">
        <x:v>KOTA SURABAYA</x:v>
      </x:c>
      <x:c r="E1319" s="8">
        <x:v>38585</x:v>
      </x:c>
      <x:c r="F1319" s="9">
        <x:v>19914436600</x:v>
      </x:c>
      <x:c r="G1319" s="9">
        <x:v>26031210976.19999</x:v>
      </x:c>
      <x:c r="H1319" s="10" t="n">
        <x:f>G1319-F1319</x:f>
        <x:v>6116774376.199989</x:v>
      </x:c>
    </x:row>
    <x:row r="1320">
      <x:c r="A1320" s="7" t="str">
        <x:v>3578443</x:v>
      </x:c>
      <x:c r="B1320" s="7" t="str">
        <x:v>RS Umum Siloam Hospitals Surabaya</x:v>
      </x:c>
      <x:c r="C1320" s="7" t="str">
        <x:v>B</x:v>
      </x:c>
      <x:c r="D1320" s="7" t="str">
        <x:v>KOTA SURABAYA</x:v>
      </x:c>
      <x:c r="E1320" s="8">
        <x:v>32062</x:v>
      </x:c>
      <x:c r="F1320" s="9">
        <x:v>35183736200</x:v>
      </x:c>
      <x:c r="G1320" s="9">
        <x:v>37243360132.63001</x:v>
      </x:c>
      <x:c r="H1320" s="10" t="n">
        <x:f>G1320-F1320</x:f>
        <x:v>2059623932.6300125</x:v>
      </x:c>
    </x:row>
    <x:row r="1321">
      <x:c r="A1321" s="7" t="str">
        <x:v>3578476</x:v>
      </x:c>
      <x:c r="B1321" s="7" t="str">
        <x:v>RS Al Irsyad Surabaya</x:v>
      </x:c>
      <x:c r="C1321" s="7" t="str">
        <x:v>C</x:v>
      </x:c>
      <x:c r="D1321" s="7" t="str">
        <x:v>KOTA SURABAYA</x:v>
      </x:c>
      <x:c r="E1321" s="8">
        <x:v>109060</x:v>
      </x:c>
      <x:c r="F1321" s="9">
        <x:v>57862367200</x:v>
      </x:c>
      <x:c r="G1321" s="9">
        <x:v>67907046512.40001</x:v>
      </x:c>
      <x:c r="H1321" s="10" t="n">
        <x:f>G1321-F1321</x:f>
        <x:v>10044679312.40001</x:v>
      </x:c>
    </x:row>
    <x:row r="1322">
      <x:c r="A1322" s="7" t="str">
        <x:v>3578523</x:v>
      </x:c>
      <x:c r="B1322" s="7" t="str">
        <x:v>RS Umum Daerah Haji Provinsi Jawa Timur</x:v>
      </x:c>
      <x:c r="C1322" s="7" t="str">
        <x:v>B</x:v>
      </x:c>
      <x:c r="D1322" s="7" t="str">
        <x:v>KOTA SURABAYA</x:v>
      </x:c>
      <x:c r="E1322" s="8">
        <x:v>156086</x:v>
      </x:c>
      <x:c r="F1322" s="9">
        <x:v>114893571345</x:v>
      </x:c>
      <x:c r="G1322" s="9">
        <x:v>125179244285.62</x:v>
      </x:c>
      <x:c r="H1322" s="10" t="n">
        <x:f>G1322-F1322</x:f>
        <x:v>10285672940.619995</x:v>
      </x:c>
    </x:row>
    <x:row r="1323">
      <x:c r="A1323" s="7" t="str">
        <x:v>3578560</x:v>
      </x:c>
      <x:c r="B1323" s="7" t="str">
        <x:v>RS Husada Utama Surabaya</x:v>
      </x:c>
      <x:c r="C1323" s="7" t="str">
        <x:v>B</x:v>
      </x:c>
      <x:c r="D1323" s="7" t="str">
        <x:v>KOTA SURABAYA</x:v>
      </x:c>
      <x:c r="E1323" s="8">
        <x:v>68020</x:v>
      </x:c>
      <x:c r="F1323" s="9">
        <x:v>84790201100</x:v>
      </x:c>
      <x:c r="G1323" s="9">
        <x:v>87648564701.81001</x:v>
      </x:c>
      <x:c r="H1323" s="10" t="n">
        <x:f>G1323-F1323</x:f>
        <x:v>2858363601.810013</x:v>
      </x:c>
    </x:row>
    <x:row r="1324">
      <x:c r="A1324" s="7" t="str">
        <x:v>3578571</x:v>
      </x:c>
      <x:c r="B1324" s="7" t="str">
        <x:v>RS Umum Daerah dr. Mohamad Soewandhie</x:v>
      </x:c>
      <x:c r="C1324" s="7" t="str">
        <x:v>B</x:v>
      </x:c>
      <x:c r="D1324" s="7" t="str">
        <x:v>KOTA SURABAYA</x:v>
      </x:c>
      <x:c r="E1324" s="8">
        <x:v>209762</x:v>
      </x:c>
      <x:c r="F1324" s="9">
        <x:v>155581374250</x:v>
      </x:c>
      <x:c r="G1324" s="9">
        <x:v>179313319241.63007</x:v>
      </x:c>
      <x:c r="H1324" s="10" t="n">
        <x:f>G1324-F1324</x:f>
        <x:v>23731944991.630066</x:v>
      </x:c>
    </x:row>
    <x:row r="1325">
      <x:c r="A1325" s="7" t="str">
        <x:v>3578593</x:v>
      </x:c>
      <x:c r="B1325" s="7" t="str">
        <x:v>RS Ibu dan Anak Pura Raharja</x:v>
      </x:c>
      <x:c r="C1325" s="7" t="str">
        <x:v>C</x:v>
      </x:c>
      <x:c r="D1325" s="7" t="str">
        <x:v>KOTA SURABAYA</x:v>
      </x:c>
      <x:c r="E1325" s="8">
        <x:v>17980</x:v>
      </x:c>
      <x:c r="F1325" s="9">
        <x:v>15655664900</x:v>
      </x:c>
      <x:c r="G1325" s="9">
        <x:v>17640359726.79</x:v>
      </x:c>
      <x:c r="H1325" s="10" t="n">
        <x:f>G1325-F1325</x:f>
        <x:v>1984694826.790001</x:v>
      </x:c>
    </x:row>
    <x:row r="1326">
      <x:c r="A1326" s="7" t="str">
        <x:v>3578603</x:v>
      </x:c>
      <x:c r="B1326" s="7" t="str">
        <x:v>RS Gotong Royong</x:v>
      </x:c>
      <x:c r="C1326" s="7" t="str">
        <x:v>C</x:v>
      </x:c>
      <x:c r="D1326" s="7" t="str">
        <x:v>KOTA SURABAYA</x:v>
      </x:c>
      <x:c r="E1326" s="8">
        <x:v>70020</x:v>
      </x:c>
      <x:c r="F1326" s="9">
        <x:v>32238249500</x:v>
      </x:c>
      <x:c r="G1326" s="9">
        <x:v>38927850771.09999</x:v>
      </x:c>
      <x:c r="H1326" s="10" t="n">
        <x:f>G1326-F1326</x:f>
        <x:v>6689601271.099991</x:v>
      </x:c>
    </x:row>
    <x:row r="1327">
      <x:c r="A1327" s="7" t="str">
        <x:v>3578614</x:v>
      </x:c>
      <x:c r="B1327" s="7" t="str">
        <x:v>RS Bhakti Rahayu</x:v>
      </x:c>
      <x:c r="C1327" s="7" t="str">
        <x:v>C</x:v>
      </x:c>
      <x:c r="D1327" s="7" t="str">
        <x:v>KOTA SURABAYA</x:v>
      </x:c>
      <x:c r="E1327" s="8">
        <x:v>14053</x:v>
      </x:c>
      <x:c r="F1327" s="9">
        <x:v>8947398400</x:v>
      </x:c>
      <x:c r="G1327" s="9">
        <x:v>10398215951.679996</x:v>
      </x:c>
      <x:c r="H1327" s="10" t="n">
        <x:f>G1327-F1327</x:f>
        <x:v>1450817551.6799965</x:v>
      </x:c>
    </x:row>
    <x:row r="1328">
      <x:c r="A1328" s="7" t="str">
        <x:v>3578625</x:v>
      </x:c>
      <x:c r="B1328" s="7" t="str">
        <x:v>RS Gigi dan Mulut FKG Universitas Airlangga</x:v>
      </x:c>
      <x:c r="C1328" s="7" t="str">
        <x:v>B</x:v>
      </x:c>
      <x:c r="D1328" s="7" t="str">
        <x:v>KOTA SURABAYA</x:v>
      </x:c>
      <x:c r="E1328" s="8">
        <x:v>17699</x:v>
      </x:c>
      <x:c r="F1328" s="9">
        <x:v>6762117000</x:v>
      </x:c>
      <x:c r="G1328" s="9">
        <x:v>7469068692.470002</x:v>
      </x:c>
      <x:c r="H1328" s="10" t="n">
        <x:f>G1328-F1328</x:f>
        <x:v>706951692.4700022</x:v>
      </x:c>
    </x:row>
    <x:row r="1329">
      <x:c r="A1329" s="7" t="str">
        <x:v>3578742</x:v>
      </x:c>
      <x:c r="B1329" s="7" t="str">
        <x:v>RS Islam Darus Syifa</x:v>
      </x:c>
      <x:c r="C1329" s="7" t="str">
        <x:v>C</x:v>
      </x:c>
      <x:c r="D1329" s="7" t="str">
        <x:v>KOTA SURABAYA</x:v>
      </x:c>
      <x:c r="E1329" s="8">
        <x:v>62751</x:v>
      </x:c>
      <x:c r="F1329" s="9">
        <x:v>36437935900</x:v>
      </x:c>
      <x:c r="G1329" s="9">
        <x:v>42921938416.84</x:v>
      </x:c>
      <x:c r="H1329" s="10" t="n">
        <x:f>G1329-F1329</x:f>
        <x:v>6484002516.839996</x:v>
      </x:c>
    </x:row>
    <x:row r="1330">
      <x:c r="A1330" s="7" t="str">
        <x:v>3578764</x:v>
      </x:c>
      <x:c r="B1330" s="7" t="str">
        <x:v>RS Bhayangkara TK II HS. Samsoeri Mertojoso</x:v>
      </x:c>
      <x:c r="C1330" s="7" t="str">
        <x:v>B</x:v>
      </x:c>
      <x:c r="D1330" s="7" t="str">
        <x:v>KOTA SURABAYA</x:v>
      </x:c>
      <x:c r="E1330" s="8">
        <x:v>83563</x:v>
      </x:c>
      <x:c r="F1330" s="9">
        <x:v>71745108490</x:v>
      </x:c>
      <x:c r="G1330" s="9">
        <x:v>76246141653.94002</x:v>
      </x:c>
      <x:c r="H1330" s="10" t="n">
        <x:f>G1330-F1330</x:f>
        <x:v>4501033163.940018</x:v>
      </x:c>
    </x:row>
    <x:row r="1331">
      <x:c r="A1331" s="7" t="str">
        <x:v>3578766</x:v>
      </x:c>
      <x:c r="B1331" s="7" t="str">
        <x:v>RS Wiyung Sejahtera</x:v>
      </x:c>
      <x:c r="C1331" s="7" t="str">
        <x:v>C</x:v>
      </x:c>
      <x:c r="D1331" s="7" t="str">
        <x:v>KOTA SURABAYA</x:v>
      </x:c>
      <x:c r="E1331" s="8">
        <x:v>70469</x:v>
      </x:c>
      <x:c r="F1331" s="9">
        <x:v>44063271100</x:v>
      </x:c>
      <x:c r="G1331" s="9">
        <x:v>51286628918.17998</x:v>
      </x:c>
      <x:c r="H1331" s="10" t="n">
        <x:f>G1331-F1331</x:f>
        <x:v>7223357818.179977</x:v>
      </x:c>
    </x:row>
    <x:row r="1332">
      <x:c r="A1332" s="7" t="str">
        <x:v>3578770</x:v>
      </x:c>
      <x:c r="B1332" s="7" t="str">
        <x:v>RS Wijaya Surabaya</x:v>
      </x:c>
      <x:c r="C1332" s="7" t="str">
        <x:v>D</x:v>
      </x:c>
      <x:c r="D1332" s="7" t="str">
        <x:v>KOTA SURABAYA</x:v>
      </x:c>
      <x:c r="E1332" s="8">
        <x:v>21848</x:v>
      </x:c>
      <x:c r="F1332" s="9">
        <x:v>12219129800</x:v>
      </x:c>
      <x:c r="G1332" s="9">
        <x:v>15313918093.450003</x:v>
      </x:c>
      <x:c r="H1332" s="10" t="n">
        <x:f>G1332-F1332</x:f>
        <x:v>3094788293.4500027</x:v>
      </x:c>
    </x:row>
    <x:row r="1333">
      <x:c r="A1333" s="7" t="str">
        <x:v>3578771</x:v>
      </x:c>
      <x:c r="B1333" s="7" t="str">
        <x:v>RS Ibu dan Anak Putri Surabaya</x:v>
      </x:c>
      <x:c r="C1333" s="7" t="str">
        <x:v>C</x:v>
      </x:c>
      <x:c r="D1333" s="7" t="str">
        <x:v>KOTA SURABAYA</x:v>
      </x:c>
      <x:c r="E1333" s="8">
        <x:v>5672</x:v>
      </x:c>
      <x:c r="F1333" s="9">
        <x:v>8622575600</x:v>
      </x:c>
      <x:c r="G1333" s="9">
        <x:v>8766659553.990002</x:v>
      </x:c>
      <x:c r="H1333" s="10" t="n">
        <x:f>G1333-F1333</x:f>
        <x:v>144083953.99000168</x:v>
      </x:c>
    </x:row>
    <x:row r="1334">
      <x:c r="A1334" s="7" t="str">
        <x:v>3578772</x:v>
      </x:c>
      <x:c r="B1334" s="7" t="str">
        <x:v>RS Manyar Medical Centre</x:v>
      </x:c>
      <x:c r="C1334" s="7" t="str">
        <x:v>C</x:v>
      </x:c>
      <x:c r="D1334" s="7" t="str">
        <x:v>KOTA SURABAYA</x:v>
      </x:c>
      <x:c r="E1334" s="8">
        <x:v>29634</x:v>
      </x:c>
      <x:c r="F1334" s="9">
        <x:v>16154441700</x:v>
      </x:c>
      <x:c r="G1334" s="9">
        <x:v>19454967348.16001</x:v>
      </x:c>
      <x:c r="H1334" s="10" t="n">
        <x:f>G1334-F1334</x:f>
        <x:v>3300525648.1600113</x:v>
      </x:c>
    </x:row>
    <x:row r="1335">
      <x:c r="A1335" s="7" t="str">
        <x:v>3578773</x:v>
      </x:c>
      <x:c r="B1335" s="7" t="str">
        <x:v>RS Ibu dan Anak Bantuan 05.08.05 Surabaya</x:v>
      </x:c>
      <x:c r="C1335" s="7" t="str">
        <x:v>C</x:v>
      </x:c>
      <x:c r="D1335" s="7" t="str">
        <x:v>KOTA SURABAYA</x:v>
      </x:c>
      <x:c r="E1335" s="8">
        <x:v>4828</x:v>
      </x:c>
      <x:c r="F1335" s="9">
        <x:v>6887130800</x:v>
      </x:c>
      <x:c r="G1335" s="9">
        <x:v>8087813309.749999</x:v>
      </x:c>
      <x:c r="H1335" s="10" t="n">
        <x:f>G1335-F1335</x:f>
        <x:v>1200682509.749999</x:v>
      </x:c>
    </x:row>
    <x:row r="1336">
      <x:c r="A1336" s="7" t="str">
        <x:v>3578774</x:v>
      </x:c>
      <x:c r="B1336" s="7" t="str">
        <x:v>RS Ibu dan Anak Nur Ummi Numbi</x:v>
      </x:c>
      <x:c r="C1336" s="7" t="str">
        <x:v>C</x:v>
      </x:c>
      <x:c r="D1336" s="7" t="str">
        <x:v>KOTA SURABAYA</x:v>
      </x:c>
      <x:c r="E1336" s="8">
        <x:v>1556</x:v>
      </x:c>
      <x:c r="F1336" s="9">
        <x:v>2525427700</x:v>
      </x:c>
      <x:c r="G1336" s="9">
        <x:v>2655955296.2900014</x:v>
      </x:c>
      <x:c r="H1336" s="10" t="n">
        <x:f>G1336-F1336</x:f>
        <x:v>130527596.29000139</x:v>
      </x:c>
    </x:row>
    <x:row r="1337">
      <x:c r="A1337" s="7" t="str">
        <x:v>3578777</x:v>
      </x:c>
      <x:c r="B1337" s="7" t="str">
        <x:v>RS Universitas Airlangga</x:v>
      </x:c>
      <x:c r="C1337" s="7" t="str">
        <x:v>B</x:v>
      </x:c>
      <x:c r="D1337" s="7" t="str">
        <x:v>KOTA SURABAYA</x:v>
      </x:c>
      <x:c r="E1337" s="8">
        <x:v>210120</x:v>
      </x:c>
      <x:c r="F1337" s="9">
        <x:v>184419809380</x:v>
      </x:c>
      <x:c r="G1337" s="9">
        <x:v>209526652755.24</x:v>
      </x:c>
      <x:c r="H1337" s="10" t="n">
        <x:f>G1337-F1337</x:f>
        <x:v>25106843375.23999</x:v>
      </x:c>
    </x:row>
    <x:row r="1338">
      <x:c r="A1338" s="7" t="str">
        <x:v>3578781</x:v>
      </x:c>
      <x:c r="B1338" s="7" t="str">
        <x:v>RS Umum Royal Surabaya</x:v>
      </x:c>
      <x:c r="C1338" s="7" t="str">
        <x:v>B</x:v>
      </x:c>
      <x:c r="D1338" s="7" t="str">
        <x:v>KOTA SURABAYA</x:v>
      </x:c>
      <x:c r="E1338" s="8">
        <x:v>59221</x:v>
      </x:c>
      <x:c r="F1338" s="9">
        <x:v>46318200800</x:v>
      </x:c>
      <x:c r="G1338" s="9">
        <x:v>46115415628.41999</x:v>
      </x:c>
      <x:c r="H1338" s="10" t="n">
        <x:f>G1338-F1338</x:f>
        <x:v>-202785171.58000946</x:v>
      </x:c>
    </x:row>
    <x:row r="1339">
      <x:c r="A1339" s="7" t="str">
        <x:v>3578782</x:v>
      </x:c>
      <x:c r="B1339" s="7" t="str">
        <x:v>RS Surabaya Medical Service</x:v>
      </x:c>
      <x:c r="C1339" s="7" t="str">
        <x:v>D</x:v>
      </x:c>
      <x:c r="D1339" s="7" t="str">
        <x:v>KOTA SURABAYA</x:v>
      </x:c>
      <x:c r="E1339" s="8">
        <x:v>7299</x:v>
      </x:c>
      <x:c r="F1339" s="9">
        <x:v>14980291600</x:v>
      </x:c>
      <x:c r="G1339" s="9">
        <x:v>21053208935.370003</x:v>
      </x:c>
      <x:c r="H1339" s="10" t="n">
        <x:f>G1339-F1339</x:f>
        <x:v>6072917335.370003</x:v>
      </x:c>
    </x:row>
    <x:row r="1340">
      <x:c r="A1340" s="7" t="str">
        <x:v>3578784</x:v>
      </x:c>
      <x:c r="B1340" s="7" t="str">
        <x:v>RS Ibu dan Anak Perdana Medica</x:v>
      </x:c>
      <x:c r="C1340" s="7" t="str">
        <x:v>C</x:v>
      </x:c>
      <x:c r="D1340" s="7" t="str">
        <x:v>KOTA SURABAYA</x:v>
      </x:c>
      <x:c r="E1340" s="8">
        <x:v>1222</x:v>
      </x:c>
      <x:c r="F1340" s="9">
        <x:v>785233000</x:v>
      </x:c>
      <x:c r="G1340" s="9">
        <x:v>864508948.5200001</x:v>
      </x:c>
      <x:c r="H1340" s="10" t="n">
        <x:f>G1340-F1340</x:f>
        <x:v>79275948.5200001</x:v>
      </x:c>
    </x:row>
    <x:row r="1341">
      <x:c r="A1341" s="7" t="str">
        <x:v>3578785</x:v>
      </x:c>
      <x:c r="B1341" s="7" t="str">
        <x:v>RS Mitra Keluarga Kenjeran</x:v>
      </x:c>
      <x:c r="C1341" s="7" t="str">
        <x:v>C</x:v>
      </x:c>
      <x:c r="D1341" s="7" t="str">
        <x:v>KOTA SURABAYA</x:v>
      </x:c>
      <x:c r="E1341" s="8">
        <x:v>28495</x:v>
      </x:c>
      <x:c r="F1341" s="9">
        <x:v>10212328400</x:v>
      </x:c>
      <x:c r="G1341" s="9">
        <x:v>11418270127.649998</x:v>
      </x:c>
      <x:c r="H1341" s="10" t="n">
        <x:f>G1341-F1341</x:f>
        <x:v>1205941727.6499977</x:v>
      </x:c>
    </x:row>
    <x:row r="1342">
      <x:c r="A1342" s="7" t="str">
        <x:v>3578786</x:v>
      </x:c>
      <x:c r="B1342" s="7" t="str">
        <x:v>RS Mata Masyarakat Jawa Timur</x:v>
      </x:c>
      <x:c r="C1342" s="7" t="str">
        <x:v>B</x:v>
      </x:c>
      <x:c r="D1342" s="7" t="str">
        <x:v>KOTA SURABAYA</x:v>
      </x:c>
      <x:c r="E1342" s="8">
        <x:v>32635</x:v>
      </x:c>
      <x:c r="F1342" s="9">
        <x:v>29599517500</x:v>
      </x:c>
      <x:c r="G1342" s="9">
        <x:v>30768505577.210003</x:v>
      </x:c>
      <x:c r="H1342" s="10" t="n">
        <x:f>G1342-F1342</x:f>
        <x:v>1168988077.210003</x:v>
      </x:c>
    </x:row>
    <x:row r="1343">
      <x:c r="A1343" s="7" t="str">
        <x:v>3578791</x:v>
      </x:c>
      <x:c r="B1343" s="7" t="str">
        <x:v>RS Ibu dan Anak Graha Medika</x:v>
      </x:c>
      <x:c r="C1343" s="7" t="str">
        <x:v>C</x:v>
      </x:c>
      <x:c r="D1343" s="7" t="str">
        <x:v>KOTA SURABAYA</x:v>
      </x:c>
      <x:c r="E1343" s="8">
        <x:v>3670</x:v>
      </x:c>
      <x:c r="F1343" s="9">
        <x:v>8118241200</x:v>
      </x:c>
      <x:c r="G1343" s="9">
        <x:v>9157557096.850002</x:v>
      </x:c>
      <x:c r="H1343" s="10" t="n">
        <x:f>G1343-F1343</x:f>
        <x:v>1039315896.8500023</x:v>
      </x:c>
    </x:row>
    <x:row r="1344">
      <x:c r="A1344" s="7" t="str">
        <x:v>3578793</x:v>
      </x:c>
      <x:c r="B1344" s="7" t="str">
        <x:v>RS PKU Muhammadiyah Surabaya</x:v>
      </x:c>
      <x:c r="C1344" s="7" t="str">
        <x:v>D</x:v>
      </x:c>
      <x:c r="D1344" s="7" t="str">
        <x:v>KOTA SURABAYA</x:v>
      </x:c>
      <x:c r="E1344" s="8">
        <x:v>5226</x:v>
      </x:c>
      <x:c r="F1344" s="9">
        <x:v>7279180200</x:v>
      </x:c>
      <x:c r="G1344" s="9">
        <x:v>9503432975.259998</x:v>
      </x:c>
      <x:c r="H1344" s="10" t="n">
        <x:f>G1344-F1344</x:f>
        <x:v>2224252775.2599983</x:v>
      </x:c>
    </x:row>
    <x:row r="1345">
      <x:c r="A1345" s="7" t="str">
        <x:v>3578808</x:v>
      </x:c>
      <x:c r="B1345" s="7" t="str">
        <x:v>Mayapada Hospital Surabaya</x:v>
      </x:c>
      <x:c r="C1345" s="7" t="str">
        <x:v>C</x:v>
      </x:c>
      <x:c r="D1345" s="7" t="str">
        <x:v>KOTA SURABAYA</x:v>
      </x:c>
      <x:c r="E1345" s="8">
        <x:v>13325</x:v>
      </x:c>
      <x:c r="F1345" s="9">
        <x:v>7106088200</x:v>
      </x:c>
      <x:c r="G1345" s="9">
        <x:v>8037720289.720002</x:v>
      </x:c>
      <x:c r="H1345" s="10" t="n">
        <x:f>G1345-F1345</x:f>
        <x:v>931632089.7200022</x:v>
      </x:c>
    </x:row>
    <x:row r="1346">
      <x:c r="A1346" s="7" t="str">
        <x:v>3578810</x:v>
      </x:c>
      <x:c r="B1346" s="7" t="str">
        <x:v>RS Ubaya</x:v>
      </x:c>
      <x:c r="C1346" s="7" t="str">
        <x:v>B</x:v>
      </x:c>
      <x:c r="D1346" s="7" t="str">
        <x:v>KOTA SURABAYA</x:v>
      </x:c>
      <x:c r="E1346" s="8">
        <x:v>86070</x:v>
      </x:c>
      <x:c r="F1346" s="9">
        <x:v>65969624000</x:v>
      </x:c>
      <x:c r="G1346" s="9">
        <x:v>69290872793.48997</x:v>
      </x:c>
      <x:c r="H1346" s="10" t="n">
        <x:f>G1346-F1346</x:f>
        <x:v>3321248793.489975</x:v>
      </x:c>
    </x:row>
    <x:row r="1347">
      <x:c r="A1347" s="7" t="str">
        <x:v>3578811</x:v>
      </x:c>
      <x:c r="B1347" s="7" t="str">
        <x:v>RS Umum Pusat Surabaya</x:v>
      </x:c>
      <x:c r="C1347" s="7" t="str">
        <x:v>A</x:v>
      </x:c>
      <x:c r="D1347" s="7" t="str">
        <x:v>KOTA SURABAYA</x:v>
      </x:c>
      <x:c r="E1347" s="8">
        <x:v>17446</x:v>
      </x:c>
      <x:c r="F1347" s="9">
        <x:v>78034446700</x:v>
      </x:c>
      <x:c r="G1347" s="9">
        <x:v>62182459075.700005</x:v>
      </x:c>
      <x:c r="H1347" s="10" t="n">
        <x:f>G1347-F1347</x:f>
        <x:v>-15851987624.299995</x:v>
      </x:c>
    </x:row>
    <x:row r="1348">
      <x:c r="A1348" s="7" t="str">
        <x:v>3578815</x:v>
      </x:c>
      <x:c r="B1348" s="7" t="str">
        <x:v>RS Umum Daerah Eka Candrarini</x:v>
      </x:c>
      <x:c r="C1348" s="7" t="str">
        <x:v>C</x:v>
      </x:c>
      <x:c r="D1348" s="7" t="str">
        <x:v>KOTA SURABAYA</x:v>
      </x:c>
      <x:c r="E1348" s="8">
        <x:v>50562</x:v>
      </x:c>
      <x:c r="F1348" s="9">
        <x:v>27664200700</x:v>
      </x:c>
      <x:c r="G1348" s="9">
        <x:v>34870429096.42</x:v>
      </x:c>
      <x:c r="H1348" s="10" t="n">
        <x:f>G1348-F1348</x:f>
        <x:v>7206228396.419998</x:v>
      </x:c>
    </x:row>
    <x:row r="1349">
      <x:c r="A1349" s="7" t="str">
        <x:v>3579002</x:v>
      </x:c>
      <x:c r="B1349" s="7" t="str">
        <x:v>RS Umum dr. Etty Asharto Batu</x:v>
      </x:c>
      <x:c r="C1349" s="7" t="str">
        <x:v>D</x:v>
      </x:c>
      <x:c r="D1349" s="7" t="str">
        <x:v>KOTA BATU</x:v>
      </x:c>
      <x:c r="E1349" s="8">
        <x:v>23769</x:v>
      </x:c>
      <x:c r="F1349" s="9">
        <x:v>13139393500</x:v>
      </x:c>
      <x:c r="G1349" s="9">
        <x:v>17174272970.310001</x:v>
      </x:c>
      <x:c r="H1349" s="10" t="n">
        <x:f>G1349-F1349</x:f>
        <x:v>4034879470.3100014</x:v>
      </x:c>
    </x:row>
    <x:row r="1350">
      <x:c r="A1350" s="7" t="str">
        <x:v>3579003</x:v>
      </x:c>
      <x:c r="B1350" s="7" t="str">
        <x:v>RS Bhayangkara Hasta Brata Batu</x:v>
      </x:c>
      <x:c r="C1350" s="7" t="str">
        <x:v>C</x:v>
      </x:c>
      <x:c r="D1350" s="7" t="str">
        <x:v>KOTA BATU</x:v>
      </x:c>
      <x:c r="E1350" s="8">
        <x:v>37879</x:v>
      </x:c>
      <x:c r="F1350" s="9">
        <x:v>34759569000</x:v>
      </x:c>
      <x:c r="G1350" s="9">
        <x:v>45788714803.01999</x:v>
      </x:c>
      <x:c r="H1350" s="10" t="n">
        <x:f>G1350-F1350</x:f>
        <x:v>11029145803.019989</x:v>
      </x:c>
    </x:row>
    <x:row r="1351">
      <x:c r="A1351" s="7" t="str">
        <x:v>3579004</x:v>
      </x:c>
      <x:c r="B1351" s="7" t="str">
        <x:v>RS Punten</x:v>
      </x:c>
      <x:c r="C1351" s="7" t="str">
        <x:v>D</x:v>
      </x:c>
      <x:c r="D1351" s="7" t="str">
        <x:v>KOTA BATU</x:v>
      </x:c>
      <x:c r="E1351" s="8">
        <x:v>6441</x:v>
      </x:c>
      <x:c r="F1351" s="9">
        <x:v>5583842200</x:v>
      </x:c>
      <x:c r="G1351" s="9">
        <x:v>7706459818.790002</x:v>
      </x:c>
      <x:c r="H1351" s="10" t="n">
        <x:f>G1351-F1351</x:f>
        <x:v>2122617618.7900019</x:v>
      </x:c>
    </x:row>
    <x:row r="1352">
      <x:c r="A1352" s="7" t="str">
        <x:v>3579030</x:v>
      </x:c>
      <x:c r="B1352" s="7" t="str">
        <x:v>RS Umum Karsa Husada Kota Batu</x:v>
      </x:c>
      <x:c r="C1352" s="7" t="str">
        <x:v>B</x:v>
      </x:c>
      <x:c r="D1352" s="7" t="str">
        <x:v>KOTA BATU</x:v>
      </x:c>
      <x:c r="E1352" s="8">
        <x:v>55129</x:v>
      </x:c>
      <x:c r="F1352" s="9">
        <x:v>82345805785</x:v>
      </x:c>
      <x:c r="G1352" s="9">
        <x:v>88715993091.74998</x:v>
      </x:c>
      <x:c r="H1352" s="10" t="n">
        <x:f>G1352-F1352</x:f>
        <x:v>6370187306.749985</x:v>
      </x:c>
    </x:row>
    <x:row r="1353">
      <x:c r="A1353" s="7" t="str">
        <x:v>3579074</x:v>
      </x:c>
      <x:c r="B1353" s="7" t="str">
        <x:v>RS Baptis Batu</x:v>
      </x:c>
      <x:c r="C1353" s="7" t="str">
        <x:v>C</x:v>
      </x:c>
      <x:c r="D1353" s="7" t="str">
        <x:v>KOTA BATU</x:v>
      </x:c>
      <x:c r="E1353" s="8">
        <x:v>31176</x:v>
      </x:c>
      <x:c r="F1353" s="9">
        <x:v>20601592600</x:v>
      </x:c>
      <x:c r="G1353" s="9">
        <x:v>25122725662.19998</x:v>
      </x:c>
      <x:c r="H1353" s="10" t="n">
        <x:f>G1353-F1353</x:f>
        <x:v>4521133062.199982</x:v>
      </x:c>
    </x:row>
    <x:row r="1354">
      <x:c r="A1354" s="7" t="str">
        <x:v>5101016</x:v>
      </x:c>
      <x:c r="B1354" s="7" t="str">
        <x:v>RS Umum Negara</x:v>
      </x:c>
      <x:c r="C1354" s="7" t="str">
        <x:v>C</x:v>
      </x:c>
      <x:c r="D1354" s="7" t="str">
        <x:v>JEMBRANA</x:v>
      </x:c>
      <x:c r="E1354" s="8">
        <x:v>64941</x:v>
      </x:c>
      <x:c r="F1354" s="9">
        <x:v>43077620590</x:v>
      </x:c>
      <x:c r="G1354" s="9">
        <x:v>54646261845.16001</x:v>
      </x:c>
      <x:c r="H1354" s="10" t="n">
        <x:f>G1354-F1354</x:f>
        <x:v>11568641255.160011</x:v>
      </x:c>
    </x:row>
    <x:row r="1355">
      <x:c r="A1355" s="7" t="str">
        <x:v>5101053</x:v>
      </x:c>
      <x:c r="B1355" s="7" t="str">
        <x:v>RS Umum Kertayasa</x:v>
      </x:c>
      <x:c r="C1355" s="7" t="str">
        <x:v>D</x:v>
      </x:c>
      <x:c r="D1355" s="7" t="str">
        <x:v>JEMBRANA</x:v>
      </x:c>
      <x:c r="E1355" s="8">
        <x:v>3826</x:v>
      </x:c>
      <x:c r="F1355" s="9">
        <x:v>3236967200</x:v>
      </x:c>
      <x:c r="G1355" s="9">
        <x:v>4367227616.890002</x:v>
      </x:c>
      <x:c r="H1355" s="10" t="n">
        <x:f>G1355-F1355</x:f>
        <x:v>1130260416.8900023</x:v>
      </x:c>
    </x:row>
    <x:row r="1356">
      <x:c r="A1356" s="7" t="str">
        <x:v>5101054</x:v>
      </x:c>
      <x:c r="B1356" s="7" t="str">
        <x:v>RS Umum Bunda</x:v>
      </x:c>
      <x:c r="C1356" s="7" t="str">
        <x:v>C</x:v>
      </x:c>
      <x:c r="D1356" s="7" t="str">
        <x:v>JEMBRANA</x:v>
      </x:c>
      <x:c r="E1356" s="8">
        <x:v>32938</x:v>
      </x:c>
      <x:c r="F1356" s="9">
        <x:v>19381691600</x:v>
      </x:c>
      <x:c r="G1356" s="9">
        <x:v>22404282763.760002</x:v>
      </x:c>
      <x:c r="H1356" s="10" t="n">
        <x:f>G1356-F1356</x:f>
        <x:v>3022591163.760002</x:v>
      </x:c>
    </x:row>
    <x:row r="1357">
      <x:c r="A1357" s="7" t="str">
        <x:v>5101055</x:v>
      </x:c>
      <x:c r="B1357" s="7" t="str">
        <x:v>RS Umum Balimed Negara</x:v>
      </x:c>
      <x:c r="C1357" s="7" t="str">
        <x:v>C</x:v>
      </x:c>
      <x:c r="D1357" s="7" t="str">
        <x:v>JEMBRANA</x:v>
      </x:c>
      <x:c r="E1357" s="8">
        <x:v>38337</x:v>
      </x:c>
      <x:c r="F1357" s="9">
        <x:v>32424441600</x:v>
      </x:c>
      <x:c r="G1357" s="9">
        <x:v>37596584723.40002</x:v>
      </x:c>
      <x:c r="H1357" s="10" t="n">
        <x:f>G1357-F1357</x:f>
        <x:v>5172143123.400017</x:v>
      </x:c>
    </x:row>
    <x:row r="1358">
      <x:c r="A1358" s="7" t="str">
        <x:v>5102010</x:v>
      </x:c>
      <x:c r="B1358" s="7" t="str">
        <x:v>RS Umum Daerah Tabanan</x:v>
      </x:c>
      <x:c r="C1358" s="7" t="str">
        <x:v>B</x:v>
      </x:c>
      <x:c r="D1358" s="7" t="str">
        <x:v>TABANAN</x:v>
      </x:c>
      <x:c r="E1358" s="8">
        <x:v>68772</x:v>
      </x:c>
      <x:c r="F1358" s="9">
        <x:v>56181610600</x:v>
      </x:c>
      <x:c r="G1358" s="9">
        <x:v>62213132417.25</x:v>
      </x:c>
      <x:c r="H1358" s="10" t="n">
        <x:f>G1358-F1358</x:f>
        <x:v>6031521817.25</x:v>
      </x:c>
    </x:row>
    <x:row r="1359">
      <x:c r="A1359" s="7" t="str">
        <x:v>5102021</x:v>
      </x:c>
      <x:c r="B1359" s="7" t="str">
        <x:v>RS Umum Dharma Kerti</x:v>
      </x:c>
      <x:c r="C1359" s="7" t="str">
        <x:v>D</x:v>
      </x:c>
      <x:c r="D1359" s="7" t="str">
        <x:v>TABANAN</x:v>
      </x:c>
      <x:c r="E1359" s="8">
        <x:v>63240</x:v>
      </x:c>
      <x:c r="F1359" s="9">
        <x:v>24361159400</x:v>
      </x:c>
      <x:c r="G1359" s="9">
        <x:v>30670960454.909996</x:v>
      </x:c>
      <x:c r="H1359" s="10" t="n">
        <x:f>G1359-F1359</x:f>
        <x:v>6309801054.909996</x:v>
      </x:c>
    </x:row>
    <x:row r="1360">
      <x:c r="A1360" s="7" t="str">
        <x:v>5102043</x:v>
      </x:c>
      <x:c r="B1360" s="7" t="str">
        <x:v>RS Umum Bhakti Rahayu Tabanan</x:v>
      </x:c>
      <x:c r="C1360" s="7" t="str">
        <x:v>D</x:v>
      </x:c>
      <x:c r="D1360" s="7" t="str">
        <x:v>TABANAN</x:v>
      </x:c>
      <x:c r="E1360" s="8">
        <x:v>49794</x:v>
      </x:c>
      <x:c r="F1360" s="9">
        <x:v>19517600200</x:v>
      </x:c>
      <x:c r="G1360" s="9">
        <x:v>25330533336.789997</x:v>
      </x:c>
      <x:c r="H1360" s="10" t="n">
        <x:f>G1360-F1360</x:f>
        <x:v>5812933136.789997</x:v>
      </x:c>
    </x:row>
    <x:row r="1361">
      <x:c r="A1361" s="7" t="str">
        <x:v>5102044</x:v>
      </x:c>
      <x:c r="B1361" s="7" t="str">
        <x:v>RS Umum Wisma Prashanti</x:v>
      </x:c>
      <x:c r="C1361" s="7" t="str">
        <x:v>C</x:v>
      </x:c>
      <x:c r="D1361" s="7" t="str">
        <x:v>TABANAN</x:v>
      </x:c>
      <x:c r="E1361" s="8">
        <x:v>90110</x:v>
      </x:c>
      <x:c r="F1361" s="9">
        <x:v>43542907300</x:v>
      </x:c>
      <x:c r="G1361" s="9">
        <x:v>50596534738.31999</x:v>
      </x:c>
      <x:c r="H1361" s="10" t="n">
        <x:f>G1361-F1361</x:f>
        <x:v>7053627438.319992</x:v>
      </x:c>
    </x:row>
    <x:row r="1362">
      <x:c r="A1362" s="7" t="str">
        <x:v>5102046</x:v>
      </x:c>
      <x:c r="B1362" s="7" t="str">
        <x:v>RS Umum Kasih Ibu Tabanan</x:v>
      </x:c>
      <x:c r="C1362" s="7" t="str">
        <x:v>C</x:v>
      </x:c>
      <x:c r="D1362" s="7" t="str">
        <x:v>TABANAN</x:v>
      </x:c>
      <x:c r="E1362" s="8">
        <x:v>63588</x:v>
      </x:c>
      <x:c r="F1362" s="9">
        <x:v>35823150100</x:v>
      </x:c>
      <x:c r="G1362" s="9">
        <x:v>39644574318.869995</x:v>
      </x:c>
      <x:c r="H1362" s="10" t="n">
        <x:f>G1362-F1362</x:f>
        <x:v>3821424218.869995</x:v>
      </x:c>
    </x:row>
    <x:row r="1363">
      <x:c r="A1363" s="7" t="str">
        <x:v>5102047</x:v>
      </x:c>
      <x:c r="B1363" s="7" t="str">
        <x:v>RS Umum Daerah Singasana</x:v>
      </x:c>
      <x:c r="C1363" s="7" t="str">
        <x:v>C</x:v>
      </x:c>
      <x:c r="D1363" s="7" t="str">
        <x:v>TABANAN</x:v>
      </x:c>
      <x:c r="E1363" s="8">
        <x:v>32283</x:v>
      </x:c>
      <x:c r="F1363" s="9">
        <x:v>20132258600</x:v>
      </x:c>
      <x:c r="G1363" s="9">
        <x:v>27113256554.690018</x:v>
      </x:c>
      <x:c r="H1363" s="10" t="n">
        <x:f>G1363-F1363</x:f>
        <x:v>6980997954.690018</x:v>
      </x:c>
    </x:row>
    <x:row r="1364">
      <x:c r="A1364" s="7" t="str">
        <x:v>5102049</x:v>
      </x:c>
      <x:c r="B1364" s="7" t="str">
        <x:v>RS Umum Semara Ratih</x:v>
      </x:c>
      <x:c r="C1364" s="7" t="str">
        <x:v>C</x:v>
      </x:c>
      <x:c r="D1364" s="7" t="str">
        <x:v>TABANAN</x:v>
      </x:c>
      <x:c r="E1364" s="8">
        <x:v>22108</x:v>
      </x:c>
      <x:c r="F1364" s="9">
        <x:v>18216801200</x:v>
      </x:c>
      <x:c r="G1364" s="9">
        <x:v>22668358976.05</x:v>
      </x:c>
      <x:c r="H1364" s="10" t="n">
        <x:f>G1364-F1364</x:f>
        <x:v>4451557776.049999</x:v>
      </x:c>
    </x:row>
    <x:row r="1365">
      <x:c r="A1365" s="7" t="str">
        <x:v>5102051</x:v>
      </x:c>
      <x:c r="B1365" s="7" t="str">
        <x:v>RS Ibu dan Anak Cahaya Bunda</x:v>
      </x:c>
      <x:c r="C1365" s="7" t="str">
        <x:v>C</x:v>
      </x:c>
      <x:c r="D1365" s="7" t="str">
        <x:v>TABANAN</x:v>
      </x:c>
      <x:c r="E1365" s="8">
        <x:v>4144</x:v>
      </x:c>
      <x:c r="F1365" s="9">
        <x:v>8969027600</x:v>
      </x:c>
      <x:c r="G1365" s="9">
        <x:v>9954341968.130007</x:v>
      </x:c>
      <x:c r="H1365" s="10" t="n">
        <x:f>G1365-F1365</x:f>
        <x:v>985314368.1300068</x:v>
      </x:c>
    </x:row>
    <x:row r="1366">
      <x:c r="A1366" s="7" t="str">
        <x:v>5102052</x:v>
      </x:c>
      <x:c r="B1366" s="7" t="str">
        <x:v>RS Ibu dan Anak Puri Bunda Tabanan</x:v>
      </x:c>
      <x:c r="C1366" s="7" t="str">
        <x:v>C</x:v>
      </x:c>
      <x:c r="D1366" s="7" t="str">
        <x:v>TABANAN</x:v>
      </x:c>
      <x:c r="E1366" s="8">
        <x:v>12693</x:v>
      </x:c>
      <x:c r="F1366" s="9">
        <x:v>18354152400</x:v>
      </x:c>
      <x:c r="G1366" s="9">
        <x:v>19508776710.47</x:v>
      </x:c>
      <x:c r="H1366" s="10" t="n">
        <x:f>G1366-F1366</x:f>
        <x:v>1154624310.4700012</x:v>
      </x:c>
    </x:row>
    <x:row r="1367">
      <x:c r="A1367" s="7" t="str">
        <x:v>5103032</x:v>
      </x:c>
      <x:c r="B1367" s="7" t="str">
        <x:v>RS Daerah Mangusada</x:v>
      </x:c>
      <x:c r="C1367" s="7" t="str">
        <x:v>B</x:v>
      </x:c>
      <x:c r="D1367" s="7" t="str">
        <x:v>BADUNG</x:v>
      </x:c>
      <x:c r="E1367" s="8">
        <x:v>125525</x:v>
      </x:c>
      <x:c r="F1367" s="9">
        <x:v>115434896500</x:v>
      </x:c>
      <x:c r="G1367" s="9">
        <x:v>130762246524.18999</x:v>
      </x:c>
      <x:c r="H1367" s="10" t="n">
        <x:f>G1367-F1367</x:f>
        <x:v>15327350024.189987</x:v>
      </x:c>
    </x:row>
    <x:row r="1368">
      <x:c r="A1368" s="7" t="str">
        <x:v>5103033</x:v>
      </x:c>
      <x:c r="B1368" s="7" t="str">
        <x:v>RS Umum Kasih Ibu Kedonganan</x:v>
      </x:c>
      <x:c r="C1368" s="7" t="str">
        <x:v>C</x:v>
      </x:c>
      <x:c r="D1368" s="7" t="str">
        <x:v>BADUNG</x:v>
      </x:c>
      <x:c r="E1368" s="8">
        <x:v>29470</x:v>
      </x:c>
      <x:c r="F1368" s="9">
        <x:v>18177356300</x:v>
      </x:c>
      <x:c r="G1368" s="9">
        <x:v>20519324682.329998</x:v>
      </x:c>
      <x:c r="H1368" s="10" t="n">
        <x:f>G1368-F1368</x:f>
        <x:v>2341968382.329998</x:v>
      </x:c>
    </x:row>
    <x:row r="1369">
      <x:c r="A1369" s="7" t="str">
        <x:v>5103035</x:v>
      </x:c>
      <x:c r="B1369" s="7" t="str">
        <x:v>RS Umum Siloam Bali</x:v>
      </x:c>
      <x:c r="C1369" s="7" t="str">
        <x:v>B</x:v>
      </x:c>
      <x:c r="D1369" s="7" t="str">
        <x:v>BADUNG</x:v>
      </x:c>
      <x:c r="E1369" s="8">
        <x:v>36386</x:v>
      </x:c>
      <x:c r="F1369" s="9">
        <x:v>35365927165</x:v>
      </x:c>
      <x:c r="G1369" s="9">
        <x:v>38516456304.07001</x:v>
      </x:c>
      <x:c r="H1369" s="10" t="n">
        <x:f>G1369-F1369</x:f>
        <x:v>3150529139.0700073</x:v>
      </x:c>
    </x:row>
    <x:row r="1370">
      <x:c r="A1370" s="7" t="str">
        <x:v>5103036</x:v>
      </x:c>
      <x:c r="B1370" s="7" t="str">
        <x:v>RS Umum Surya Husadha Nusa Dua</x:v>
      </x:c>
      <x:c r="C1370" s="7" t="str">
        <x:v>C</x:v>
      </x:c>
      <x:c r="D1370" s="7" t="str">
        <x:v>BADUNG</x:v>
      </x:c>
      <x:c r="E1370" s="8">
        <x:v>57431</x:v>
      </x:c>
      <x:c r="F1370" s="9">
        <x:v>31053537900</x:v>
      </x:c>
      <x:c r="G1370" s="9">
        <x:v>35386136351.46</x:v>
      </x:c>
      <x:c r="H1370" s="10" t="n">
        <x:f>G1370-F1370</x:f>
        <x:v>4332598451.459999</x:v>
      </x:c>
    </x:row>
    <x:row r="1371">
      <x:c r="A1371" s="7" t="str">
        <x:v>5103038</x:v>
      </x:c>
      <x:c r="B1371" s="7" t="str">
        <x:v>RS Bali Jimbaran</x:v>
      </x:c>
      <x:c r="C1371" s="7" t="str">
        <x:v>C</x:v>
      </x:c>
      <x:c r="D1371" s="7" t="str">
        <x:v>BADUNG</x:v>
      </x:c>
      <x:c r="E1371" s="8">
        <x:v>59202</x:v>
      </x:c>
      <x:c r="F1371" s="9">
        <x:v>34030703800</x:v>
      </x:c>
      <x:c r="G1371" s="9">
        <x:v>40712400893.050026</x:v>
      </x:c>
      <x:c r="H1371" s="10" t="n">
        <x:f>G1371-F1371</x:f>
        <x:v>6681697093.050026</x:v>
      </x:c>
    </x:row>
    <x:row r="1372">
      <x:c r="A1372" s="7" t="str">
        <x:v>5103040</x:v>
      </x:c>
      <x:c r="B1372" s="7" t="str">
        <x:v>RS Universitas Udayana</x:v>
      </x:c>
      <x:c r="C1372" s="7" t="str">
        <x:v>B</x:v>
      </x:c>
      <x:c r="D1372" s="7" t="str">
        <x:v>BADUNG</x:v>
      </x:c>
      <x:c r="E1372" s="8">
        <x:v>3761</x:v>
      </x:c>
      <x:c r="F1372" s="9">
        <x:v>5204146300</x:v>
      </x:c>
      <x:c r="G1372" s="9">
        <x:v>6136270809.599999</x:v>
      </x:c>
      <x:c r="H1372" s="10" t="n">
        <x:f>G1372-F1372</x:f>
        <x:v>932124509.5999994</x:v>
      </x:c>
    </x:row>
    <x:row r="1373">
      <x:c r="A1373" s="7" t="str">
        <x:v>5103041</x:v>
      </x:c>
      <x:c r="B1373" s="7" t="str">
        <x:v>RS Umum Garba Med</x:v>
      </x:c>
      <x:c r="C1373" s="7" t="str">
        <x:v>C</x:v>
      </x:c>
      <x:c r="D1373" s="7" t="str">
        <x:v>BADUNG</x:v>
      </x:c>
      <x:c r="E1373" s="8">
        <x:v>40286</x:v>
      </x:c>
      <x:c r="F1373" s="9">
        <x:v>23759910700</x:v>
      </x:c>
      <x:c r="G1373" s="9">
        <x:v>27149578777.480003</x:v>
      </x:c>
      <x:c r="H1373" s="10" t="n">
        <x:f>G1373-F1373</x:f>
        <x:v>3389668077.4800034</x:v>
      </x:c>
    </x:row>
    <x:row r="1374">
      <x:c r="A1374" s="7" t="str">
        <x:v>5103052</x:v>
      </x:c>
      <x:c r="B1374" s="7" t="str">
        <x:v>RS Umum Murni Teguh Tuban Bali</x:v>
      </x:c>
      <x:c r="C1374" s="7" t="str">
        <x:v>C</x:v>
      </x:c>
      <x:c r="D1374" s="7" t="str">
        <x:v>BADUNG</x:v>
      </x:c>
      <x:c r="E1374" s="8">
        <x:v>54943</x:v>
      </x:c>
      <x:c r="F1374" s="9">
        <x:v>36199238200</x:v>
      </x:c>
      <x:c r="G1374" s="9">
        <x:v>42149339215.380005</x:v>
      </x:c>
      <x:c r="H1374" s="10" t="n">
        <x:f>G1374-F1374</x:f>
        <x:v>5950101015.380005</x:v>
      </x:c>
    </x:row>
    <x:row r="1375">
      <x:c r="A1375" s="7" t="str">
        <x:v>5103053</x:v>
      </x:c>
      <x:c r="B1375" s="7" t="str">
        <x:v>RS Windu Husada</x:v>
      </x:c>
      <x:c r="C1375" s="7" t="str">
        <x:v>C</x:v>
      </x:c>
      <x:c r="D1375" s="7" t="str">
        <x:v>BADUNG</x:v>
      </x:c>
      <x:c r="E1375" s="8">
        <x:v>63794</x:v>
      </x:c>
      <x:c r="F1375" s="9">
        <x:v>44052165800</x:v>
      </x:c>
      <x:c r="G1375" s="9">
        <x:v>52405796581.270004</x:v>
      </x:c>
      <x:c r="H1375" s="10" t="n">
        <x:f>G1375-F1375</x:f>
        <x:v>8353630781.270004</x:v>
      </x:c>
    </x:row>
    <x:row r="1376">
      <x:c r="A1376" s="7" t="str">
        <x:v>5104012</x:v>
      </x:c>
      <x:c r="B1376" s="7" t="str">
        <x:v>RS Umum Daerah Sanjiwani Gianyar</x:v>
      </x:c>
      <x:c r="C1376" s="7" t="str">
        <x:v>B</x:v>
      </x:c>
      <x:c r="D1376" s="7" t="str">
        <x:v>GIANYAR</x:v>
      </x:c>
      <x:c r="E1376" s="8">
        <x:v>89858</x:v>
      </x:c>
      <x:c r="F1376" s="9">
        <x:v>73569249800</x:v>
      </x:c>
      <x:c r="G1376" s="9">
        <x:v>84804985279.79002</x:v>
      </x:c>
      <x:c r="H1376" s="10" t="n">
        <x:f>G1376-F1376</x:f>
        <x:v>11235735479.790024</x:v>
      </x:c>
    </x:row>
    <x:row r="1377">
      <x:c r="A1377" s="7" t="str">
        <x:v>5104023</x:v>
      </x:c>
      <x:c r="B1377" s="7" t="str">
        <x:v>RS Umum Premagana</x:v>
      </x:c>
      <x:c r="C1377" s="7" t="str">
        <x:v>C</x:v>
      </x:c>
      <x:c r="D1377" s="7" t="str">
        <x:v>GIANYAR</x:v>
      </x:c>
      <x:c r="E1377" s="8">
        <x:v>27370</x:v>
      </x:c>
      <x:c r="F1377" s="9">
        <x:v>14362535500</x:v>
      </x:c>
      <x:c r="G1377" s="9">
        <x:v>16959618247.119993</x:v>
      </x:c>
      <x:c r="H1377" s="10" t="n">
        <x:f>G1377-F1377</x:f>
        <x:v>2597082747.119993</x:v>
      </x:c>
    </x:row>
    <x:row r="1378">
      <x:c r="A1378" s="7" t="str">
        <x:v>5104034</x:v>
      </x:c>
      <x:c r="B1378" s="7" t="str">
        <x:v>RS Umum Ganesha</x:v>
      </x:c>
      <x:c r="C1378" s="7" t="str">
        <x:v>C</x:v>
      </x:c>
      <x:c r="D1378" s="7" t="str">
        <x:v>GIANYAR</x:v>
      </x:c>
      <x:c r="E1378" s="8">
        <x:v>56143</x:v>
      </x:c>
      <x:c r="F1378" s="9">
        <x:v>26711149800</x:v>
      </x:c>
      <x:c r="G1378" s="9">
        <x:v>32945691621.30998</x:v>
      </x:c>
      <x:c r="H1378" s="10" t="n">
        <x:f>G1378-F1378</x:f>
        <x:v>6234541821.3099785</x:v>
      </x:c>
    </x:row>
    <x:row r="1379">
      <x:c r="A1379" s="7" t="str">
        <x:v>5104035</x:v>
      </x:c>
      <x:c r="B1379" s="7" t="str">
        <x:v>RS Umum Ari Canti</x:v>
      </x:c>
      <x:c r="C1379" s="7" t="str">
        <x:v>C</x:v>
      </x:c>
      <x:c r="D1379" s="7" t="str">
        <x:v>GIANYAR</x:v>
      </x:c>
      <x:c r="E1379" s="8">
        <x:v>150837</x:v>
      </x:c>
      <x:c r="F1379" s="9">
        <x:v>89893772900</x:v>
      </x:c>
      <x:c r="G1379" s="9">
        <x:v>110931654723.39001</x:v>
      </x:c>
      <x:c r="H1379" s="10" t="n">
        <x:f>G1379-F1379</x:f>
        <x:v>21037881823.390015</x:v>
      </x:c>
    </x:row>
    <x:row r="1380">
      <x:c r="A1380" s="7" t="str">
        <x:v>5104036</x:v>
      </x:c>
      <x:c r="B1380" s="7" t="str">
        <x:v>RS Umum Famili Husada</x:v>
      </x:c>
      <x:c r="C1380" s="7" t="str">
        <x:v>C</x:v>
      </x:c>
      <x:c r="D1380" s="7" t="str">
        <x:v>GIANYAR</x:v>
      </x:c>
      <x:c r="E1380" s="8">
        <x:v>75308</x:v>
      </x:c>
      <x:c r="F1380" s="9">
        <x:v>36417456900</x:v>
      </x:c>
      <x:c r="G1380" s="9">
        <x:v>42797992019.41002</x:v>
      </x:c>
      <x:c r="H1380" s="10" t="n">
        <x:f>G1380-F1380</x:f>
        <x:v>6380535119.410019</x:v>
      </x:c>
    </x:row>
    <x:row r="1381">
      <x:c r="A1381" s="7" t="str">
        <x:v>5104037</x:v>
      </x:c>
      <x:c r="B1381" s="7" t="str">
        <x:v>RS Umum Kasih Ibu Saba</x:v>
      </x:c>
      <x:c r="C1381" s="7" t="str">
        <x:v>C</x:v>
      </x:c>
      <x:c r="D1381" s="7" t="str">
        <x:v>GIANYAR</x:v>
      </x:c>
      <x:c r="E1381" s="8">
        <x:v>37805</x:v>
      </x:c>
      <x:c r="F1381" s="9">
        <x:v>21770653600</x:v>
      </x:c>
      <x:c r="G1381" s="9">
        <x:v>25410628541.560005</x:v>
      </x:c>
      <x:c r="H1381" s="10" t="n">
        <x:f>G1381-F1381</x:f>
        <x:v>3639974941.560005</x:v>
      </x:c>
    </x:row>
    <x:row r="1382">
      <x:c r="A1382" s="7" t="str">
        <x:v>5104039</x:v>
      </x:c>
      <x:c r="B1382" s="7" t="str">
        <x:v>RS Umum Payangan</x:v>
      </x:c>
      <x:c r="C1382" s="7" t="str">
        <x:v>C</x:v>
      </x:c>
      <x:c r="D1382" s="7" t="str">
        <x:v>GIANYAR</x:v>
      </x:c>
      <x:c r="E1382" s="8">
        <x:v>22223</x:v>
      </x:c>
      <x:c r="F1382" s="9">
        <x:v>14405823900</x:v>
      </x:c>
      <x:c r="G1382" s="9">
        <x:v>19041768278.89999</x:v>
      </x:c>
      <x:c r="H1382" s="10" t="n">
        <x:f>G1382-F1382</x:f>
        <x:v>4635944378.89999</x:v>
      </x:c>
    </x:row>
    <x:row r="1383">
      <x:c r="A1383" s="7" t="str">
        <x:v>5104050</x:v>
      </x:c>
      <x:c r="B1383" s="7" t="str">
        <x:v>RS Kenak Medika</x:v>
      </x:c>
      <x:c r="C1383" s="7" t="str">
        <x:v>D</x:v>
      </x:c>
      <x:c r="D1383" s="7" t="str">
        <x:v>GIANYAR</x:v>
      </x:c>
      <x:c r="E1383" s="8">
        <x:v>11082</x:v>
      </x:c>
      <x:c r="F1383" s="9">
        <x:v>6667730600</x:v>
      </x:c>
      <x:c r="G1383" s="9">
        <x:v>8350668011.720004</x:v>
      </x:c>
      <x:c r="H1383" s="10" t="n">
        <x:f>G1383-F1383</x:f>
        <x:v>1682937411.720004</x:v>
      </x:c>
    </x:row>
    <x:row r="1384">
      <x:c r="A1384" s="7" t="str">
        <x:v>5105013</x:v>
      </x:c>
      <x:c r="B1384" s="7" t="str">
        <x:v>RS Umum Daerah Klungkung</x:v>
      </x:c>
      <x:c r="C1384" s="7" t="str">
        <x:v>B</x:v>
      </x:c>
      <x:c r="D1384" s="7" t="str">
        <x:v>KLUNGKUNG</x:v>
      </x:c>
      <x:c r="E1384" s="8">
        <x:v>103503</x:v>
      </x:c>
      <x:c r="F1384" s="9">
        <x:v>95740351400</x:v>
      </x:c>
      <x:c r="G1384" s="9">
        <x:v>107147261732.73999</x:v>
      </x:c>
      <x:c r="H1384" s="10" t="n">
        <x:f>G1384-F1384</x:f>
        <x:v>11406910332.73999</x:v>
      </x:c>
    </x:row>
    <x:row r="1385">
      <x:c r="A1385" s="7" t="str">
        <x:v>5105014</x:v>
      </x:c>
      <x:c r="B1385" s="7" t="str">
        <x:v>RS Umum Permata Hati</x:v>
      </x:c>
      <x:c r="C1385" s="7" t="str">
        <x:v>D</x:v>
      </x:c>
      <x:c r="D1385" s="7" t="str">
        <x:v>KLUNGKUNG</x:v>
      </x:c>
      <x:c r="E1385" s="8">
        <x:v>21079</x:v>
      </x:c>
      <x:c r="F1385" s="9">
        <x:v>17555706900</x:v>
      </x:c>
      <x:c r="G1385" s="9">
        <x:v>23192966068.029995</x:v>
      </x:c>
      <x:c r="H1385" s="10" t="n">
        <x:f>G1385-F1385</x:f>
        <x:v>5637259168.029995</x:v>
      </x:c>
    </x:row>
    <x:row r="1386">
      <x:c r="A1386" s="7" t="str">
        <x:v>5105015</x:v>
      </x:c>
      <x:c r="B1386" s="7" t="str">
        <x:v>RS Umum Bintang</x:v>
      </x:c>
      <x:c r="C1386" s="7" t="str">
        <x:v>C</x:v>
      </x:c>
      <x:c r="D1386" s="7" t="str">
        <x:v>KLUNGKUNG</x:v>
      </x:c>
      <x:c r="E1386" s="8">
        <x:v>31495</x:v>
      </x:c>
      <x:c r="F1386" s="9">
        <x:v>18488247200</x:v>
      </x:c>
      <x:c r="G1386" s="9">
        <x:v>22008751600.27</x:v>
      </x:c>
      <x:c r="H1386" s="10" t="n">
        <x:f>G1386-F1386</x:f>
        <x:v>3520504400.2700005</x:v>
      </x:c>
    </x:row>
    <x:row r="1387">
      <x:c r="A1387" s="7" t="str">
        <x:v>5105016</x:v>
      </x:c>
      <x:c r="B1387" s="7" t="str">
        <x:v>RS Umum Daerah Gema Santi Nusa Penida</x:v>
      </x:c>
      <x:c r="C1387" s="7" t="str">
        <x:v>D</x:v>
      </x:c>
      <x:c r="D1387" s="7" t="str">
        <x:v>KLUNGKUNG</x:v>
      </x:c>
      <x:c r="E1387" s="8">
        <x:v>10055</x:v>
      </x:c>
      <x:c r="F1387" s="9">
        <x:v>8353440575</x:v>
      </x:c>
      <x:c r="G1387" s="9">
        <x:v>11202433248.500006</x:v>
      </x:c>
      <x:c r="H1387" s="10" t="n">
        <x:f>G1387-F1387</x:f>
        <x:v>2848992673.5000057</x:v>
      </x:c>
    </x:row>
    <x:row r="1388">
      <x:c r="A1388" s="7" t="str">
        <x:v>5105017</x:v>
      </x:c>
      <x:c r="B1388" s="7" t="str">
        <x:v>RS Umum Grha Bhakti Medika</x:v>
      </x:c>
      <x:c r="C1388" s="7" t="str">
        <x:v>C</x:v>
      </x:c>
      <x:c r="D1388" s="7" t="str">
        <x:v>KLUNGKUNG</x:v>
      </x:c>
      <x:c r="E1388" s="8">
        <x:v>25435</x:v>
      </x:c>
      <x:c r="F1388" s="9">
        <x:v>24401879200</x:v>
      </x:c>
      <x:c r="G1388" s="9">
        <x:v>29957172056.74001</x:v>
      </x:c>
      <x:c r="H1388" s="10" t="n">
        <x:f>G1388-F1388</x:f>
        <x:v>5555292856.740009</x:v>
      </x:c>
    </x:row>
    <x:row r="1389">
      <x:c r="A1389" s="7" t="str">
        <x:v>5106014</x:v>
      </x:c>
      <x:c r="B1389" s="7" t="str">
        <x:v>RS Umum Daerah Bangli</x:v>
      </x:c>
      <x:c r="C1389" s="7" t="str">
        <x:v>B</x:v>
      </x:c>
      <x:c r="D1389" s="7" t="str">
        <x:v>BANGLI</x:v>
      </x:c>
      <x:c r="E1389" s="8">
        <x:v>79598</x:v>
      </x:c>
      <x:c r="F1389" s="9">
        <x:v>59003144700</x:v>
      </x:c>
      <x:c r="G1389" s="9">
        <x:v>66147849722.82997</x:v>
      </x:c>
      <x:c r="H1389" s="10" t="n">
        <x:f>G1389-F1389</x:f>
        <x:v>7144705022.829971</x:v>
      </x:c>
    </x:row>
    <x:row r="1390">
      <x:c r="A1390" s="7" t="str">
        <x:v>5106025</x:v>
      </x:c>
      <x:c r="B1390" s="7" t="str">
        <x:v>RS Jiwa Manah Shanti Mahottama</x:v>
      </x:c>
      <x:c r="C1390" s="7" t="str">
        <x:v>A</x:v>
      </x:c>
      <x:c r="D1390" s="7" t="str">
        <x:v>BANGLI</x:v>
      </x:c>
      <x:c r="E1390" s="8">
        <x:v>9752</x:v>
      </x:c>
      <x:c r="F1390" s="9">
        <x:v>9736101400</x:v>
      </x:c>
      <x:c r="G1390" s="9">
        <x:v>10441574742.239998</x:v>
      </x:c>
      <x:c r="H1390" s="10" t="n">
        <x:f>G1390-F1390</x:f>
        <x:v>705473342.2399979</x:v>
      </x:c>
    </x:row>
    <x:row r="1391">
      <x:c r="A1391" s="7" t="str">
        <x:v>5106026</x:v>
      </x:c>
      <x:c r="B1391" s="7" t="str">
        <x:v>RS Umum Bangli Medika Canti</x:v>
      </x:c>
      <x:c r="C1391" s="7" t="str">
        <x:v>C</x:v>
      </x:c>
      <x:c r="D1391" s="7" t="str">
        <x:v>BANGLI</x:v>
      </x:c>
      <x:c r="E1391" s="8">
        <x:v>87200</x:v>
      </x:c>
      <x:c r="F1391" s="9">
        <x:v>57736910300</x:v>
      </x:c>
      <x:c r="G1391" s="9">
        <x:v>69735856410.68001</x:v>
      </x:c>
      <x:c r="H1391" s="10" t="n">
        <x:f>G1391-F1391</x:f>
        <x:v>11998946110.680008</x:v>
      </x:c>
    </x:row>
    <x:row r="1392">
      <x:c r="A1392" s="7" t="str">
        <x:v>5107015</x:v>
      </x:c>
      <x:c r="B1392" s="7" t="str">
        <x:v>RS Umum Daerah Karangasem</x:v>
      </x:c>
      <x:c r="C1392" s="7" t="str">
        <x:v>C</x:v>
      </x:c>
      <x:c r="D1392" s="7" t="str">
        <x:v>KARANGASEM</x:v>
      </x:c>
      <x:c r="E1392" s="8">
        <x:v>85621</x:v>
      </x:c>
      <x:c r="F1392" s="9">
        <x:v>53231926915</x:v>
      </x:c>
      <x:c r="G1392" s="9">
        <x:v>67447840004.03996</x:v>
      </x:c>
      <x:c r="H1392" s="10" t="n">
        <x:f>G1392-F1392</x:f>
        <x:v>14215913089.039963</x:v>
      </x:c>
    </x:row>
    <x:row r="1393">
      <x:c r="A1393" s="7" t="str">
        <x:v>5107017</x:v>
      </x:c>
      <x:c r="B1393" s="7" t="str">
        <x:v>RS Umum Balimed Karangasem</x:v>
      </x:c>
      <x:c r="C1393" s="7" t="str">
        <x:v>C</x:v>
      </x:c>
      <x:c r="D1393" s="7" t="str">
        <x:v>KARANGASEM</x:v>
      </x:c>
      <x:c r="E1393" s="8">
        <x:v>97746</x:v>
      </x:c>
      <x:c r="F1393" s="9">
        <x:v>69355090100</x:v>
      </x:c>
      <x:c r="G1393" s="9">
        <x:v>85796556904.23994</x:v>
      </x:c>
      <x:c r="H1393" s="10" t="n">
        <x:f>G1393-F1393</x:f>
        <x:v>16441466804.239944</x:v>
      </x:c>
    </x:row>
    <x:row r="1394">
      <x:c r="A1394" s="7" t="str">
        <x:v>5107029</x:v>
      </x:c>
      <x:c r="B1394" s="7" t="str">
        <x:v>RS Kasna Medika</x:v>
      </x:c>
      <x:c r="C1394" s="7" t="str">
        <x:v>C</x:v>
      </x:c>
      <x:c r="D1394" s="7" t="str">
        <x:v>KARANGASEM</x:v>
      </x:c>
      <x:c r="E1394" s="8">
        <x:v>13982</x:v>
      </x:c>
      <x:c r="F1394" s="9">
        <x:v>10475878100</x:v>
      </x:c>
      <x:c r="G1394" s="9">
        <x:v>13926752396.950005</x:v>
      </x:c>
      <x:c r="H1394" s="10" t="n">
        <x:f>G1394-F1394</x:f>
        <x:v>3450874296.9500046</x:v>
      </x:c>
    </x:row>
    <x:row r="1395">
      <x:c r="A1395" s="7" t="str">
        <x:v>5108016</x:v>
      </x:c>
      <x:c r="B1395" s="7" t="str">
        <x:v>RS Umum Daerah Kab. Buleleng</x:v>
      </x:c>
      <x:c r="C1395" s="7" t="str">
        <x:v>B</x:v>
      </x:c>
      <x:c r="D1395" s="7" t="str">
        <x:v>BULELENG</x:v>
      </x:c>
      <x:c r="E1395" s="8">
        <x:v>106675</x:v>
      </x:c>
      <x:c r="F1395" s="9">
        <x:v>121423796100</x:v>
      </x:c>
      <x:c r="G1395" s="9">
        <x:v>133565800684.82</x:v>
      </x:c>
      <x:c r="H1395" s="10" t="n">
        <x:f>G1395-F1395</x:f>
        <x:v>12142004584.820007</x:v>
      </x:c>
    </x:row>
    <x:row r="1396">
      <x:c r="A1396" s="7" t="str">
        <x:v>5108020</x:v>
      </x:c>
      <x:c r="B1396" s="7" t="str">
        <x:v>RS Tk. IV Singaraja</x:v>
      </x:c>
      <x:c r="C1396" s="7" t="str">
        <x:v>D</x:v>
      </x:c>
      <x:c r="D1396" s="7" t="str">
        <x:v>BULELENG</x:v>
      </x:c>
      <x:c r="E1396" s="8">
        <x:v>802</x:v>
      </x:c>
      <x:c r="F1396" s="9">
        <x:v>531386900</x:v>
      </x:c>
      <x:c r="G1396" s="9">
        <x:v>802377737.53</x:v>
      </x:c>
      <x:c r="H1396" s="10" t="n">
        <x:f>G1396-F1396</x:f>
        <x:v>270990837.53</x:v>
      </x:c>
    </x:row>
    <x:row r="1397">
      <x:c r="A1397" s="7" t="str">
        <x:v>5108031</x:v>
      </x:c>
      <x:c r="B1397" s="7" t="str">
        <x:v>RS Umum Kertha Usadha</x:v>
      </x:c>
      <x:c r="C1397" s="7" t="str">
        <x:v>C</x:v>
      </x:c>
      <x:c r="D1397" s="7" t="str">
        <x:v>BULELENG</x:v>
      </x:c>
      <x:c r="E1397" s="8">
        <x:v>116812</x:v>
      </x:c>
      <x:c r="F1397" s="9">
        <x:v>74343733500</x:v>
      </x:c>
      <x:c r="G1397" s="9">
        <x:v>85233977415.23</x:v>
      </x:c>
      <x:c r="H1397" s="10" t="n">
        <x:f>G1397-F1397</x:f>
        <x:v>10890243915.229996</x:v>
      </x:c>
    </x:row>
    <x:row r="1398">
      <x:c r="A1398" s="7" t="str">
        <x:v>5108042</x:v>
      </x:c>
      <x:c r="B1398" s="7" t="str">
        <x:v>RS umum Karya Dharma Husada</x:v>
      </x:c>
      <x:c r="C1398" s="7" t="str">
        <x:v>C</x:v>
      </x:c>
      <x:c r="D1398" s="7" t="str">
        <x:v>BULELENG</x:v>
      </x:c>
      <x:c r="E1398" s="8">
        <x:v>15883</x:v>
      </x:c>
      <x:c r="F1398" s="9">
        <x:v>20634967600</x:v>
      </x:c>
      <x:c r="G1398" s="9">
        <x:v>24165320246.090004</x:v>
      </x:c>
      <x:c r="H1398" s="10" t="n">
        <x:f>G1398-F1398</x:f>
        <x:v>3530352646.090004</x:v>
      </x:c>
    </x:row>
    <x:row r="1399">
      <x:c r="A1399" s="7" t="str">
        <x:v>5108064</x:v>
      </x:c>
      <x:c r="B1399" s="7" t="str">
        <x:v>RS Umum Parama Sidhi</x:v>
      </x:c>
      <x:c r="C1399" s="7" t="str">
        <x:v>C</x:v>
      </x:c>
      <x:c r="D1399" s="7" t="str">
        <x:v>BULELENG</x:v>
      </x:c>
      <x:c r="E1399" s="8">
        <x:v>31172</x:v>
      </x:c>
      <x:c r="F1399" s="9">
        <x:v>21679217500</x:v>
      </x:c>
      <x:c r="G1399" s="9">
        <x:v>26229311490.440006</x:v>
      </x:c>
      <x:c r="H1399" s="10" t="n">
        <x:f>G1399-F1399</x:f>
        <x:v>4550093990.440006</x:v>
      </x:c>
    </x:row>
    <x:row r="1400">
      <x:c r="A1400" s="7" t="str">
        <x:v>5108075</x:v>
      </x:c>
      <x:c r="B1400" s="7" t="str">
        <x:v>RS Umum Shanti Graha</x:v>
      </x:c>
      <x:c r="C1400" s="7" t="str">
        <x:v>D</x:v>
      </x:c>
      <x:c r="D1400" s="7" t="str">
        <x:v>BULELENG</x:v>
      </x:c>
      <x:c r="E1400" s="8">
        <x:v>17393</x:v>
      </x:c>
      <x:c r="F1400" s="9">
        <x:v>9523777000</x:v>
      </x:c>
      <x:c r="G1400" s="9">
        <x:v>12304743350.150002</x:v>
      </x:c>
      <x:c r="H1400" s="10" t="n">
        <x:f>G1400-F1400</x:f>
        <x:v>2780966350.1500015</x:v>
      </x:c>
    </x:row>
    <x:row r="1401">
      <x:c r="A1401" s="7" t="str">
        <x:v>5108077</x:v>
      </x:c>
      <x:c r="B1401" s="7" t="str">
        <x:v>RS Umum Daerah Tangguwisia</x:v>
      </x:c>
      <x:c r="C1401" s="7" t="str">
        <x:v>D</x:v>
      </x:c>
      <x:c r="D1401" s="7" t="str">
        <x:v>BULELENG</x:v>
      </x:c>
      <x:c r="E1401" s="8">
        <x:v>13278</x:v>
      </x:c>
      <x:c r="F1401" s="9">
        <x:v>9875814600</x:v>
      </x:c>
      <x:c r="G1401" s="9">
        <x:v>13621021911.000002</x:v>
      </x:c>
      <x:c r="H1401" s="10" t="n">
        <x:f>G1401-F1401</x:f>
        <x:v>3745207311.000002</x:v>
      </x:c>
    </x:row>
    <x:row r="1402">
      <x:c r="A1402" s="7" t="str">
        <x:v>5108079</x:v>
      </x:c>
      <x:c r="B1402" s="7" t="str">
        <x:v>RS Umum Daerah Giri Emas</x:v>
      </x:c>
      <x:c r="C1402" s="7" t="str">
        <x:v>D</x:v>
      </x:c>
      <x:c r="D1402" s="7" t="str">
        <x:v>BULELENG</x:v>
      </x:c>
      <x:c r="E1402" s="8">
        <x:v>6039</x:v>
      </x:c>
      <x:c r="F1402" s="9">
        <x:v>4244556200</x:v>
      </x:c>
      <x:c r="G1402" s="9">
        <x:v>6057713961.01</x:v>
      </x:c>
      <x:c r="H1402" s="10" t="n">
        <x:f>G1402-F1402</x:f>
        <x:v>1813157761.0100002</x:v>
      </x:c>
    </x:row>
    <x:row r="1403">
      <x:c r="A1403" s="7" t="str">
        <x:v>5108080</x:v>
      </x:c>
      <x:c r="B1403" s="7" t="str">
        <x:v>RS Balimed Buleleng</x:v>
      </x:c>
      <x:c r="C1403" s="7" t="str">
        <x:v>C</x:v>
      </x:c>
      <x:c r="D1403" s="7" t="str">
        <x:v>BULELENG</x:v>
      </x:c>
      <x:c r="E1403" s="8">
        <x:v>39649</x:v>
      </x:c>
      <x:c r="F1403" s="9">
        <x:v>29414548900</x:v>
      </x:c>
      <x:c r="G1403" s="9">
        <x:v>33294743035.59001</x:v>
      </x:c>
      <x:c r="H1403" s="10" t="n">
        <x:f>G1403-F1403</x:f>
        <x:v>3880194135.5900116</x:v>
      </x:c>
    </x:row>
    <x:row r="1404">
      <x:c r="A1404" s="7" t="str">
        <x:v>5108091</x:v>
      </x:c>
      <x:c r="B1404" s="7" t="str">
        <x:v>RS Ibu dan Anak Puri Bunda Singaraja</x:v>
      </x:c>
      <x:c r="C1404" s="7" t="str">
        <x:v>C</x:v>
      </x:c>
      <x:c r="D1404" s="7" t="str">
        <x:v>BULELENG</x:v>
      </x:c>
      <x:c r="E1404" s="8">
        <x:v>6284</x:v>
      </x:c>
      <x:c r="F1404" s="9">
        <x:v>10501678400</x:v>
      </x:c>
      <x:c r="G1404" s="9">
        <x:v>11394152532.770002</x:v>
      </x:c>
      <x:c r="H1404" s="10" t="n">
        <x:f>G1404-F1404</x:f>
        <x:v>892474132.7700024</x:v>
      </x:c>
    </x:row>
    <x:row r="1405">
      <x:c r="A1405" s="7" t="str">
        <x:v>5171016</x:v>
      </x:c>
      <x:c r="B1405" s="7" t="str">
        <x:v>RSUP Prof. Dr. I.G.N.G. Ngoerah</x:v>
      </x:c>
      <x:c r="C1405" s="7" t="str">
        <x:v>A</x:v>
      </x:c>
      <x:c r="D1405" s="7" t="str">
        <x:v>KOTA DENPASAR</x:v>
      </x:c>
      <x:c r="E1405" s="8">
        <x:v>301434</x:v>
      </x:c>
      <x:c r="F1405" s="9">
        <x:v>632868222900</x:v>
      </x:c>
      <x:c r="G1405" s="9">
        <x:v>548101038274.5</x:v>
      </x:c>
      <x:c r="H1405" s="10" t="n">
        <x:f>G1405-F1405</x:f>
        <x:v>-84767184625.5</x:v>
      </x:c>
    </x:row>
    <x:row r="1406">
      <x:c r="A1406" s="7" t="str">
        <x:v>5171020</x:v>
      </x:c>
      <x:c r="B1406" s="7" t="str">
        <x:v>RS Umum Daerah Wangaya</x:v>
      </x:c>
      <x:c r="C1406" s="7" t="str">
        <x:v>B</x:v>
      </x:c>
      <x:c r="D1406" s="7" t="str">
        <x:v>KOTA DENPASAR</x:v>
      </x:c>
      <x:c r="E1406" s="8">
        <x:v>84271</x:v>
      </x:c>
      <x:c r="F1406" s="9">
        <x:v>73270774500</x:v>
      </x:c>
      <x:c r="G1406" s="9">
        <x:v>78620812495.18001</x:v>
      </x:c>
      <x:c r="H1406" s="10" t="n">
        <x:f>G1406-F1406</x:f>
        <x:v>5350037995.180008</x:v>
      </x:c>
    </x:row>
    <x:row r="1407">
      <x:c r="A1407" s="7" t="str">
        <x:v>5171031</x:v>
      </x:c>
      <x:c r="B1407" s="7" t="str">
        <x:v>RS TK. II Udayana</x:v>
      </x:c>
      <x:c r="C1407" s="7" t="str">
        <x:v>C</x:v>
      </x:c>
      <x:c r="D1407" s="7" t="str">
        <x:v>KOTA DENPASAR</x:v>
      </x:c>
      <x:c r="E1407" s="8">
        <x:v>54198</x:v>
      </x:c>
      <x:c r="F1407" s="9">
        <x:v>36266485000</x:v>
      </x:c>
      <x:c r="G1407" s="9">
        <x:v>44521713533.40997</x:v>
      </x:c>
      <x:c r="H1407" s="10" t="n">
        <x:f>G1407-F1407</x:f>
        <x:v>8255228533.409973</x:v>
      </x:c>
    </x:row>
    <x:row r="1408">
      <x:c r="A1408" s="7" t="str">
        <x:v>5171064</x:v>
      </x:c>
      <x:c r="B1408" s="7" t="str">
        <x:v>Rumah Sakit Mata Bali Mandara</x:v>
      </x:c>
      <x:c r="C1408" s="7" t="str">
        <x:v>A</x:v>
      </x:c>
      <x:c r="D1408" s="7" t="str">
        <x:v>KOTA DENPASAR</x:v>
      </x:c>
      <x:c r="E1408" s="8">
        <x:v>22194</x:v>
      </x:c>
      <x:c r="F1408" s="9">
        <x:v>38295051600</x:v>
      </x:c>
      <x:c r="G1408" s="9">
        <x:v>32324963049.850006</x:v>
      </x:c>
      <x:c r="H1408" s="10" t="n">
        <x:f>G1408-F1408</x:f>
        <x:v>-5970088550.149994</x:v>
      </x:c>
    </x:row>
    <x:row r="1409">
      <x:c r="A1409" s="7" t="str">
        <x:v>5171086</x:v>
      </x:c>
      <x:c r="B1409" s="7" t="str">
        <x:v>RS Umum Surya Husadha</x:v>
      </x:c>
      <x:c r="C1409" s="7" t="str">
        <x:v>C</x:v>
      </x:c>
      <x:c r="D1409" s="7" t="str">
        <x:v>KOTA DENPASAR</x:v>
      </x:c>
      <x:c r="E1409" s="8">
        <x:v>114439</x:v>
      </x:c>
      <x:c r="F1409" s="9">
        <x:v>57702001900</x:v>
      </x:c>
      <x:c r="G1409" s="9">
        <x:v>64898007063.91999</x:v>
      </x:c>
      <x:c r="H1409" s="10" t="n">
        <x:f>G1409-F1409</x:f>
        <x:v>7196005163.919991</x:v>
      </x:c>
    </x:row>
    <x:row r="1410">
      <x:c r="A1410" s="7" t="str">
        <x:v>5171097</x:v>
      </x:c>
      <x:c r="B1410" s="7" t="str">
        <x:v>RS Umum Bali Royal</x:v>
      </x:c>
      <x:c r="C1410" s="7" t="str">
        <x:v>C</x:v>
      </x:c>
      <x:c r="D1410" s="7" t="str">
        <x:v>KOTA DENPASAR</x:v>
      </x:c>
      <x:c r="E1410" s="8">
        <x:v>87258</x:v>
      </x:c>
      <x:c r="F1410" s="9">
        <x:v>67980864300</x:v>
      </x:c>
      <x:c r="G1410" s="9">
        <x:v>78528124484.50002</x:v>
      </x:c>
      <x:c r="H1410" s="10" t="n">
        <x:f>G1410-F1410</x:f>
        <x:v>10547260184.500015</x:v>
      </x:c>
    </x:row>
    <x:row r="1411">
      <x:c r="A1411" s="7" t="str">
        <x:v>5171122</x:v>
      </x:c>
      <x:c r="B1411" s="7" t="str">
        <x:v>RS Umum Dharma Yadnya</x:v>
      </x:c>
      <x:c r="C1411" s="7" t="str">
        <x:v>C</x:v>
      </x:c>
      <x:c r="D1411" s="7" t="str">
        <x:v>KOTA DENPASAR</x:v>
      </x:c>
      <x:c r="E1411" s="8">
        <x:v>46837</x:v>
      </x:c>
      <x:c r="F1411" s="9">
        <x:v>20163152305</x:v>
      </x:c>
      <x:c r="G1411" s="9">
        <x:v>26026231847.689995</x:v>
      </x:c>
      <x:c r="H1411" s="10" t="n">
        <x:f>G1411-F1411</x:f>
        <x:v>5863079542.689995</x:v>
      </x:c>
    </x:row>
    <x:row r="1412">
      <x:c r="A1412" s="7" t="str">
        <x:v>5171133</x:v>
      </x:c>
      <x:c r="B1412" s="7" t="str">
        <x:v>RS Umum Puri Raharja</x:v>
      </x:c>
      <x:c r="C1412" s="7" t="str">
        <x:v>C</x:v>
      </x:c>
      <x:c r="D1412" s="7" t="str">
        <x:v>KOTA DENPASAR</x:v>
      </x:c>
      <x:c r="E1412" s="8">
        <x:v>71654</x:v>
      </x:c>
      <x:c r="F1412" s="9">
        <x:v>39670420800</x:v>
      </x:c>
      <x:c r="G1412" s="9">
        <x:v>45968050172.99998</x:v>
      </x:c>
      <x:c r="H1412" s="10" t="n">
        <x:f>G1412-F1412</x:f>
        <x:v>6297629372.999977</x:v>
      </x:c>
    </x:row>
    <x:row r="1413">
      <x:c r="A1413" s="7" t="str">
        <x:v>5171155</x:v>
      </x:c>
      <x:c r="B1413" s="7" t="str">
        <x:v>RS Umum Bhakti Rahayu</x:v>
      </x:c>
      <x:c r="C1413" s="7" t="str">
        <x:v>D</x:v>
      </x:c>
      <x:c r="D1413" s="7" t="str">
        <x:v>KOTA DENPASAR</x:v>
      </x:c>
      <x:c r="E1413" s="8">
        <x:v>39656</x:v>
      </x:c>
      <x:c r="F1413" s="9">
        <x:v>14621059800</x:v>
      </x:c>
      <x:c r="G1413" s="9">
        <x:v>18476819278.8</x:v>
      </x:c>
      <x:c r="H1413" s="10" t="n">
        <x:f>G1413-F1413</x:f>
        <x:v>3855759478.799999</x:v>
      </x:c>
    </x:row>
    <x:row r="1414">
      <x:c r="A1414" s="7" t="str">
        <x:v>5171192</x:v>
      </x:c>
      <x:c r="B1414" s="7" t="str">
        <x:v>RS Umum Prima Medika</x:v>
      </x:c>
      <x:c r="C1414" s="7" t="str">
        <x:v>C</x:v>
      </x:c>
      <x:c r="D1414" s="7" t="str">
        <x:v>KOTA DENPASAR</x:v>
      </x:c>
      <x:c r="E1414" s="8">
        <x:v>60562</x:v>
      </x:c>
      <x:c r="F1414" s="9">
        <x:v>31058427300</x:v>
      </x:c>
      <x:c r="G1414" s="9">
        <x:v>34069139147.159996</x:v>
      </x:c>
      <x:c r="H1414" s="10" t="n">
        <x:f>G1414-F1414</x:f>
        <x:v>3010711847.159996</x:v>
      </x:c>
    </x:row>
    <x:row r="1415">
      <x:c r="A1415" s="7" t="str">
        <x:v>5171203</x:v>
      </x:c>
      <x:c r="B1415" s="7" t="str">
        <x:v>RS BaliMed</x:v>
      </x:c>
      <x:c r="C1415" s="7" t="str">
        <x:v>C</x:v>
      </x:c>
      <x:c r="D1415" s="7" t="str">
        <x:v>KOTA DENPASAR</x:v>
      </x:c>
      <x:c r="E1415" s="8">
        <x:v>120278</x:v>
      </x:c>
      <x:c r="F1415" s="9">
        <x:v>75652229800</x:v>
      </x:c>
      <x:c r="G1415" s="9">
        <x:v>85073741178.85997</x:v>
      </x:c>
      <x:c r="H1415" s="10" t="n">
        <x:f>G1415-F1415</x:f>
        <x:v>9421511378.85997</x:v>
      </x:c>
    </x:row>
    <x:row r="1416">
      <x:c r="A1416" s="7" t="str">
        <x:v>5171215</x:v>
      </x:c>
      <x:c r="B1416" s="7" t="str">
        <x:v>RS Ibu dan Anak Puri Bunda</x:v>
      </x:c>
      <x:c r="C1416" s="7" t="str">
        <x:v>C</x:v>
      </x:c>
      <x:c r="D1416" s="7" t="str">
        <x:v>KOTA DENPASAR</x:v>
      </x:c>
      <x:c r="E1416" s="8">
        <x:v>17226</x:v>
      </x:c>
      <x:c r="F1416" s="9">
        <x:v>33338182900</x:v>
      </x:c>
      <x:c r="G1416" s="9">
        <x:v>33756937350.480003</x:v>
      </x:c>
      <x:c r="H1416" s="10" t="n">
        <x:f>G1416-F1416</x:f>
        <x:v>418754450.48000336</x:v>
      </x:c>
    </x:row>
    <x:row r="1417">
      <x:c r="A1417" s="7" t="str">
        <x:v>5171216</x:v>
      </x:c>
      <x:c r="B1417" s="7" t="str">
        <x:v>RS Bhayangkara Denpasar</x:v>
      </x:c>
      <x:c r="C1417" s="7" t="str">
        <x:v>C</x:v>
      </x:c>
      <x:c r="D1417" s="7" t="str">
        <x:v>KOTA DENPASAR</x:v>
      </x:c>
      <x:c r="E1417" s="8">
        <x:v>50896</x:v>
      </x:c>
      <x:c r="F1417" s="9">
        <x:v>25314986500</x:v>
      </x:c>
      <x:c r="G1417" s="9">
        <x:v>31245927616.149994</x:v>
      </x:c>
      <x:c r="H1417" s="10" t="n">
        <x:f>G1417-F1417</x:f>
        <x:v>5930941116.149994</x:v>
      </x:c>
    </x:row>
    <x:row r="1418">
      <x:c r="A1418" s="7" t="str">
        <x:v>5171217</x:v>
      </x:c>
      <x:c r="B1418" s="7" t="str">
        <x:v>RS Umum Surya Husadha</x:v>
      </x:c>
      <x:c r="C1418" s="7" t="str">
        <x:v>D</x:v>
      </x:c>
      <x:c r="D1418" s="7" t="str">
        <x:v>KOTA DENPASAR</x:v>
      </x:c>
      <x:c r="E1418" s="8">
        <x:v>82377</x:v>
      </x:c>
      <x:c r="F1418" s="9">
        <x:v>37011955340</x:v>
      </x:c>
      <x:c r="G1418" s="9">
        <x:v>45628555162.32</x:v>
      </x:c>
      <x:c r="H1418" s="10" t="n">
        <x:f>G1418-F1418</x:f>
        <x:v>8616599822.32</x:v>
      </x:c>
    </x:row>
    <x:row r="1419">
      <x:c r="A1419" s="7" t="str">
        <x:v>5171219</x:v>
      </x:c>
      <x:c r="B1419" s="7" t="str">
        <x:v>RS Khusus Ibu dan Anak Pucuk Permata Hati</x:v>
      </x:c>
      <x:c r="C1419" s="7" t="str">
        <x:v>C</x:v>
      </x:c>
      <x:c r="D1419" s="7" t="str">
        <x:v>KOTA DENPASAR</x:v>
      </x:c>
      <x:c r="E1419" s="8">
        <x:v>468</x:v>
      </x:c>
      <x:c r="F1419" s="9">
        <x:v>1519842200</x:v>
      </x:c>
      <x:c r="G1419" s="9">
        <x:v>1557738835.7299998</x:v>
      </x:c>
      <x:c r="H1419" s="10" t="n">
        <x:f>G1419-F1419</x:f>
        <x:v>37896635.72999978</x:v>
      </x:c>
    </x:row>
    <x:row r="1420">
      <x:c r="A1420" s="7" t="str">
        <x:v>5171220</x:v>
      </x:c>
      <x:c r="B1420" s="7" t="str">
        <x:v>RS Umum Daerah Bali Mandara Provinsi Bali</x:v>
      </x:c>
      <x:c r="C1420" s="7" t="str">
        <x:v>B</x:v>
      </x:c>
      <x:c r="D1420" s="7" t="str">
        <x:v>KOTA DENPASAR</x:v>
      </x:c>
      <x:c r="E1420" s="8">
        <x:v>100379</x:v>
      </x:c>
      <x:c r="F1420" s="9">
        <x:v>93601638400</x:v>
      </x:c>
      <x:c r="G1420" s="9">
        <x:v>105528892737.77003</x:v>
      </x:c>
      <x:c r="H1420" s="10" t="n">
        <x:f>G1420-F1420</x:f>
        <x:v>11927254337.770035</x:v>
      </x:c>
    </x:row>
    <x:row r="1421">
      <x:c r="A1421" s="7" t="str">
        <x:v>5171221</x:v>
      </x:c>
      <x:c r="B1421" s="7" t="str">
        <x:v>RS Khusus Mata Ramata</x:v>
      </x:c>
      <x:c r="C1421" s="7" t="str">
        <x:v>C</x:v>
      </x:c>
      <x:c r="D1421" s="7" t="str">
        <x:v>KOTA DENPASAR</x:v>
      </x:c>
      <x:c r="E1421" s="8">
        <x:v>23119</x:v>
      </x:c>
      <x:c r="F1421" s="9">
        <x:v>20048650100</x:v>
      </x:c>
      <x:c r="G1421" s="9">
        <x:v>21096774681.519997</x:v>
      </x:c>
      <x:c r="H1421" s="10" t="n">
        <x:f>G1421-F1421</x:f>
        <x:v>1048124581.5199966</x:v>
      </x:c>
    </x:row>
    <x:row r="1422">
      <x:c r="A1422" s="7" t="str">
        <x:v>13710300106</x:v>
      </x:c>
      <x:c r="B1422" s="7" t="str">
        <x:v>RS 13710300106</x:v>
      </x:c>
      <x:c r="C1422" s="7" t="str">
        <x:v>D</x:v>
      </x:c>
      <x:c r="D1422" s="7" t="str">
        <x:v>KOTA PADANG</x:v>
      </x:c>
      <x:c r="E1422" s="8">
        <x:v>360</x:v>
      </x:c>
      <x:c r="F1422" s="9">
        <x:v>129370400</x:v>
      </x:c>
      <x:c r="G1422" s="9">
        <x:v>139115767.45000002</x:v>
      </x:c>
      <x:c r="H1422" s="10" t="n">
        <x:f>G1422-F1422</x:f>
        <x:v>9745367.450000018</x:v>
      </x:c>
    </x:row>
    <x:row r="1423">
      <x:c r="A1423" s="7" t="str">
        <x:v>14010300059</x:v>
      </x:c>
      <x:c r="B1423" s="7" t="str">
        <x:v>RS 14010300059</x:v>
      </x:c>
      <x:c r="C1423" s="7" t="str">
        <x:v>D</x:v>
      </x:c>
      <x:c r="D1423" s="7" t="str">
        <x:v>KAMPAR</x:v>
      </x:c>
      <x:c r="E1423" s="8">
        <x:v>71</x:v>
      </x:c>
      <x:c r="F1423" s="9">
        <x:v>50780300</x:v>
      </x:c>
      <x:c r="G1423" s="9">
        <x:v>56004667.96999999</x:v>
      </x:c>
      <x:c r="H1423" s="10" t="n">
        <x:f>G1423-F1423</x:f>
        <x:v>5224367.969999991</x:v>
      </x:c>
    </x:row>
    <x:row r="1424">
      <x:c r="A1424" s="7" t="str">
        <x:v>1407013S</x:v>
      </x:c>
      <x:c r="B1424" s="7" t="str">
        <x:v>RS 1407013S</x:v>
      </x:c>
      <x:c r="C1424" s="7" t="str">
        <x:v>D</x:v>
      </x:c>
      <x:c r="D1424" s="7" t="str">
        <x:v>ROKAN HULU</x:v>
      </x:c>
      <x:c r="E1424" s="8">
        <x:v>3373</x:v>
      </x:c>
      <x:c r="F1424" s="9">
        <x:v>5345689400</x:v>
      </x:c>
      <x:c r="G1424" s="9">
        <x:v>6848742317.449999</x:v>
      </x:c>
      <x:c r="H1424" s="10" t="n">
        <x:f>G1424-F1424</x:f>
        <x:v>1503052917.4499989</x:v>
      </x:c>
    </x:row>
    <x:row r="1425">
      <x:c r="A1425" s="7" t="str">
        <x:v>17030300003</x:v>
      </x:c>
      <x:c r="B1425" s="7" t="str">
        <x:v>RS 17030300003</x:v>
      </x:c>
      <x:c r="C1425" s="7" t="str">
        <x:v>D</x:v>
      </x:c>
      <x:c r="D1425" s="7" t="str">
        <x:v>BENGKULU UTARA</x:v>
      </x:c>
      <x:c r="E1425" s="8">
        <x:v>1705</x:v>
      </x:c>
      <x:c r="F1425" s="9">
        <x:v>1718910900</x:v>
      </x:c>
      <x:c r="G1425" s="9">
        <x:v>2268454027.9400005</x:v>
      </x:c>
      <x:c r="H1425" s="10" t="n">
        <x:f>G1425-F1425</x:f>
        <x:v>549543127.9400005</x:v>
      </x:c>
    </x:row>
    <x:row r="1426">
      <x:c r="A1426" s="7" t="str">
        <x:v>32010300258</x:v>
      </x:c>
      <x:c r="B1426" s="7" t="str">
        <x:v>RS 32010300258</x:v>
      </x:c>
      <x:c r="C1426" s="7" t="str">
        <x:v>D</x:v>
      </x:c>
      <x:c r="D1426" s="7" t="str">
        <x:v>BOGOR</x:v>
      </x:c>
      <x:c r="E1426" s="8">
        <x:v>1490</x:v>
      </x:c>
      <x:c r="F1426" s="9">
        <x:v>721475600</x:v>
      </x:c>
      <x:c r="G1426" s="9">
        <x:v>824931106.9499999</x:v>
      </x:c>
      <x:c r="H1426" s="10" t="n">
        <x:f>G1426-F1426</x:f>
        <x:v>103455506.94999993</x:v>
      </x:c>
    </x:row>
    <x:row r="1427">
      <x:c r="A1427" s="7" t="str">
        <x:v>32010300278</x:v>
      </x:c>
      <x:c r="B1427" s="7" t="str">
        <x:v>RS 32010300278</x:v>
      </x:c>
      <x:c r="C1427" s="7" t="str">
        <x:v>D</x:v>
      </x:c>
      <x:c r="D1427" s="7" t="str">
        <x:v>BOGOR</x:v>
      </x:c>
      <x:c r="E1427" s="8">
        <x:v>250</x:v>
      </x:c>
      <x:c r="F1427" s="9">
        <x:v>135769500</x:v>
      </x:c>
      <x:c r="G1427" s="9">
        <x:v>154098166.91</x:v>
      </x:c>
      <x:c r="H1427" s="10" t="n">
        <x:f>G1427-F1427</x:f>
        <x:v>18328666.909999996</x:v>
      </x:c>
    </x:row>
    <x:row r="1428">
      <x:c r="A1428" s="7" t="str">
        <x:v>32090300077</x:v>
      </x:c>
      <x:c r="B1428" s="7" t="str">
        <x:v>RS 32090300077</x:v>
      </x:c>
      <x:c r="C1428" s="7" t="str">
        <x:v>D</x:v>
      </x:c>
      <x:c r="D1428" s="7" t="str">
        <x:v>CIREBON</x:v>
      </x:c>
      <x:c r="E1428" s="8">
        <x:v>16</x:v>
      </x:c>
      <x:c r="F1428" s="9">
        <x:v>3205600</x:v>
      </x:c>
      <x:c r="G1428" s="9">
        <x:v>3689484.63</x:v>
      </x:c>
      <x:c r="H1428" s="10" t="n">
        <x:f>G1428-F1428</x:f>
        <x:v>483884.6299999999</x:v>
      </x:c>
    </x:row>
    <x:row r="1429">
      <x:c r="A1429" s="7" t="str">
        <x:v>32090300099</x:v>
      </x:c>
      <x:c r="B1429" s="7" t="str">
        <x:v>RS 32090300099</x:v>
      </x:c>
      <x:c r="C1429" s="7" t="str">
        <x:v>D</x:v>
      </x:c>
      <x:c r="D1429" s="7" t="str">
        <x:v>CIREBON</x:v>
      </x:c>
      <x:c r="E1429" s="8">
        <x:v>52</x:v>
      </x:c>
      <x:c r="F1429" s="9">
        <x:v>60021900</x:v>
      </x:c>
      <x:c r="G1429" s="9">
        <x:v>68143465.92</x:v>
      </x:c>
      <x:c r="H1429" s="10" t="n">
        <x:f>G1429-F1429</x:f>
        <x:v>8121565.920000002</x:v>
      </x:c>
    </x:row>
    <x:row r="1430">
      <x:c r="A1430" s="7" t="str">
        <x:v>32110300095</x:v>
      </x:c>
      <x:c r="B1430" s="7" t="str">
        <x:v>RS 32110300095</x:v>
      </x:c>
      <x:c r="C1430" s="7" t="str">
        <x:v>D</x:v>
      </x:c>
      <x:c r="D1430" s="7" t="str">
        <x:v>SUMEDANG</x:v>
      </x:c>
      <x:c r="E1430" s="8">
        <x:v>2009</x:v>
      </x:c>
      <x:c r="F1430" s="9">
        <x:v>395904800</x:v>
      </x:c>
      <x:c r="G1430" s="9">
        <x:v>526492871.72</x:v>
      </x:c>
      <x:c r="H1430" s="10" t="n">
        <x:f>G1430-F1430</x:f>
        <x:v>130588071.72000003</x:v>
      </x:c>
    </x:row>
    <x:row r="1431">
      <x:c r="A1431" s="7" t="str">
        <x:v>32150300197</x:v>
      </x:c>
      <x:c r="B1431" s="7" t="str">
        <x:v>RS 32150300197</x:v>
      </x:c>
      <x:c r="C1431" s="7" t="str">
        <x:v>D</x:v>
      </x:c>
      <x:c r="D1431" s="7" t="str">
        <x:v>KARAWANG</x:v>
      </x:c>
      <x:c r="E1431" s="8">
        <x:v>3315</x:v>
      </x:c>
      <x:c r="F1431" s="9">
        <x:v>3569858500</x:v>
      </x:c>
      <x:c r="G1431" s="9">
        <x:v>3845923485.42</x:v>
      </x:c>
      <x:c r="H1431" s="10" t="n">
        <x:f>G1431-F1431</x:f>
        <x:v>276064985.4200001</x:v>
      </x:c>
    </x:row>
    <x:row r="1432">
      <x:c r="A1432" s="7" t="str">
        <x:v>32170300071</x:v>
      </x:c>
      <x:c r="B1432" s="7" t="str">
        <x:v>RS 32170300071</x:v>
      </x:c>
      <x:c r="C1432" s="7" t="str">
        <x:v>D</x:v>
      </x:c>
      <x:c r="D1432" s="7" t="str">
        <x:v>BANDUNG BARAT</x:v>
      </x:c>
      <x:c r="E1432" s="8">
        <x:v>1604</x:v>
      </x:c>
      <x:c r="F1432" s="9">
        <x:v>353579200</x:v>
      </x:c>
      <x:c r="G1432" s="9">
        <x:v>403464964.44</x:v>
      </x:c>
      <x:c r="H1432" s="10" t="n">
        <x:f>G1432-F1432</x:f>
        <x:v>49885764.44</x:v>
      </x:c>
    </x:row>
    <x:row r="1433">
      <x:c r="A1433" s="7" t="str">
        <x:v>32180300024</x:v>
      </x:c>
      <x:c r="B1433" s="7" t="str">
        <x:v>RS 32180300024</x:v>
      </x:c>
      <x:c r="C1433" s="7" t="str">
        <x:v>D</x:v>
      </x:c>
      <x:c r="D1433" s="7" t="str">
        <x:v>PANGANDARAN</x:v>
      </x:c>
      <x:c r="E1433" s="8">
        <x:v>2601</x:v>
      </x:c>
      <x:c r="F1433" s="9">
        <x:v>2250379000</x:v>
      </x:c>
      <x:c r="G1433" s="9">
        <x:v>3275779103.7799997</x:v>
      </x:c>
      <x:c r="H1433" s="10" t="n">
        <x:f>G1433-F1433</x:f>
        <x:v>1025400103.7799997</x:v>
      </x:c>
    </x:row>
    <x:row r="1434">
      <x:c r="A1434" s="7" t="str">
        <x:v>32740300084</x:v>
      </x:c>
      <x:c r="B1434" s="7" t="str">
        <x:v>RS 32740300084</x:v>
      </x:c>
      <x:c r="C1434" s="7" t="str">
        <x:v>D</x:v>
      </x:c>
      <x:c r="D1434" s="7" t="str">
        <x:v>KOTA CIREBON</x:v>
      </x:c>
      <x:c r="E1434" s="8">
        <x:v>199</x:v>
      </x:c>
      <x:c r="F1434" s="9">
        <x:v>43567900</x:v>
      </x:c>
      <x:c r="G1434" s="9">
        <x:v>55060401.13</x:v>
      </x:c>
      <x:c r="H1434" s="10" t="n">
        <x:f>G1434-F1434</x:f>
        <x:v>11492501.130000003</x:v>
      </x:c>
    </x:row>
    <x:row r="1435">
      <x:c r="A1435" s="7" t="str">
        <x:v>32750300305</x:v>
      </x:c>
      <x:c r="B1435" s="7" t="str">
        <x:v>RS 32750300305</x:v>
      </x:c>
      <x:c r="C1435" s="7" t="str">
        <x:v>D</x:v>
      </x:c>
      <x:c r="D1435" s="7" t="str">
        <x:v>KOTA BEKASI</x:v>
      </x:c>
      <x:c r="E1435" s="8">
        <x:v>3062</x:v>
      </x:c>
      <x:c r="F1435" s="9">
        <x:v>2033217300</x:v>
      </x:c>
      <x:c r="G1435" s="9">
        <x:v>2237416494.57</x:v>
      </x:c>
      <x:c r="H1435" s="10" t="n">
        <x:f>G1435-F1435</x:f>
        <x:v>204199194.57000017</x:v>
      </x:c>
    </x:row>
    <x:row r="1436">
      <x:c r="A1436" s="7" t="str">
        <x:v>32790300017</x:v>
      </x:c>
      <x:c r="B1436" s="7" t="str">
        <x:v>RS 32790300017</x:v>
      </x:c>
      <x:c r="C1436" s="7" t="str">
        <x:v>D</x:v>
      </x:c>
      <x:c r="D1436" s="7" t="str">
        <x:v>KOTA BANJAR</x:v>
      </x:c>
      <x:c r="E1436" s="8">
        <x:v>3155</x:v>
      </x:c>
      <x:c r="F1436" s="9">
        <x:v>2310226200</x:v>
      </x:c>
      <x:c r="G1436" s="9">
        <x:v>3179323488.369999</x:v>
      </x:c>
      <x:c r="H1436" s="10" t="n">
        <x:f>G1436-F1436</x:f>
        <x:v>869097288.3699989</x:v>
      </x:c>
    </x:row>
    <x:row r="1437">
      <x:c r="A1437" s="7" t="str">
        <x:v>33090300041</x:v>
      </x:c>
      <x:c r="B1437" s="7" t="str">
        <x:v>RS 33090300041</x:v>
      </x:c>
      <x:c r="C1437" s="7" t="str">
        <x:v>D</x:v>
      </x:c>
      <x:c r="D1437" s="7" t="str">
        <x:v>BOYOLALI</x:v>
      </x:c>
      <x:c r="E1437" s="8">
        <x:v>1529</x:v>
      </x:c>
      <x:c r="F1437" s="9">
        <x:v>806844600</x:v>
      </x:c>
      <x:c r="G1437" s="9">
        <x:v>1081957680.8200002</x:v>
      </x:c>
      <x:c r="H1437" s="10" t="n">
        <x:f>G1437-F1437</x:f>
        <x:v>275113080.8200002</x:v>
      </x:c>
    </x:row>
    <x:row r="1438">
      <x:c r="A1438" s="7" t="str">
        <x:v>33160300030</x:v>
      </x:c>
      <x:c r="B1438" s="7" t="str">
        <x:v>RS 33160300030</x:v>
      </x:c>
      <x:c r="C1438" s="7" t="str">
        <x:v>D</x:v>
      </x:c>
      <x:c r="D1438" s="7" t="str">
        <x:v>BLORA</x:v>
      </x:c>
      <x:c r="E1438" s="8">
        <x:v>1122</x:v>
      </x:c>
      <x:c r="F1438" s="9">
        <x:v>745399900</x:v>
      </x:c>
      <x:c r="G1438" s="9">
        <x:v>960704571.4299998</x:v>
      </x:c>
      <x:c r="H1438" s="10" t="n">
        <x:f>G1438-F1438</x:f>
        <x:v>215304671.42999983</x:v>
      </x:c>
    </x:row>
    <x:row r="1439">
      <x:c r="A1439" s="7" t="str">
        <x:v>33240300048</x:v>
      </x:c>
      <x:c r="B1439" s="7" t="str">
        <x:v>RS 33240300048</x:v>
      </x:c>
      <x:c r="C1439" s="7" t="str">
        <x:v>D</x:v>
      </x:c>
      <x:c r="D1439" s="7" t="str">
        <x:v>KENDAL</x:v>
      </x:c>
      <x:c r="E1439" s="8">
        <x:v>1361</x:v>
      </x:c>
      <x:c r="F1439" s="9">
        <x:v>1143190400</x:v>
      </x:c>
      <x:c r="G1439" s="9">
        <x:v>1561574905.0299997</x:v>
      </x:c>
      <x:c r="H1439" s="10" t="n">
        <x:f>G1439-F1439</x:f>
        <x:v>418384505.02999973</x:v>
      </x:c>
    </x:row>
    <x:row r="1440">
      <x:c r="A1440" s="7" t="str">
        <x:v>33250300027</x:v>
      </x:c>
      <x:c r="B1440" s="7" t="str">
        <x:v>RS 33250300027</x:v>
      </x:c>
      <x:c r="C1440" s="7" t="str">
        <x:v>D</x:v>
      </x:c>
      <x:c r="D1440" s="7" t="str">
        <x:v>BATANG</x:v>
      </x:c>
      <x:c r="E1440" s="8">
        <x:v>935</x:v>
      </x:c>
      <x:c r="F1440" s="9">
        <x:v>1098623500</x:v>
      </x:c>
      <x:c r="G1440" s="9">
        <x:v>1471461882.2300003</x:v>
      </x:c>
      <x:c r="H1440" s="10" t="n">
        <x:f>G1440-F1440</x:f>
        <x:v>372838382.23000026</x:v>
      </x:c>
    </x:row>
    <x:row r="1441">
      <x:c r="A1441" s="7" t="str">
        <x:v>33750300020</x:v>
      </x:c>
      <x:c r="B1441" s="7" t="str">
        <x:v>RS 33750300020</x:v>
      </x:c>
      <x:c r="C1441" s="7" t="str">
        <x:v>D</x:v>
      </x:c>
      <x:c r="D1441" s="7" t="str">
        <x:v>KOTA PEKALONGAN</x:v>
      </x:c>
      <x:c r="E1441" s="8">
        <x:v>2073</x:v>
      </x:c>
      <x:c r="F1441" s="9">
        <x:v>1661543900</x:v>
      </x:c>
      <x:c r="G1441" s="9">
        <x:v>1802926309.9800003</x:v>
      </x:c>
      <x:c r="H1441" s="10" t="n">
        <x:f>G1441-F1441</x:f>
        <x:v>141382409.98000026</x:v>
      </x:c>
    </x:row>
    <x:row r="1442">
      <x:c r="A1442" s="7" t="str">
        <x:v>35070300055</x:v>
      </x:c>
      <x:c r="B1442" s="7" t="str">
        <x:v>RS 35070300055</x:v>
      </x:c>
      <x:c r="C1442" s="7" t="str">
        <x:v>D</x:v>
      </x:c>
      <x:c r="D1442" s="7" t="str">
        <x:v>MALANG</x:v>
      </x:c>
      <x:c r="E1442" s="8">
        <x:v>264</x:v>
      </x:c>
      <x:c r="F1442" s="9">
        <x:v>111072500</x:v>
      </x:c>
      <x:c r="G1442" s="9">
        <x:v>179394787.18</x:v>
      </x:c>
      <x:c r="H1442" s="10" t="n">
        <x:f>G1442-F1442</x:f>
        <x:v>68322287.18</x:v>
      </x:c>
    </x:row>
    <x:row r="1443">
      <x:c r="A1443" s="7" t="str">
        <x:v>35220300013</x:v>
      </x:c>
      <x:c r="B1443" s="7" t="str">
        <x:v>RS 35220300013</x:v>
      </x:c>
      <x:c r="C1443" s="7" t="str">
        <x:v>D</x:v>
      </x:c>
      <x:c r="D1443" s="7" t="str">
        <x:v>BOJONEGORO</x:v>
      </x:c>
      <x:c r="E1443" s="8">
        <x:v>342</x:v>
      </x:c>
      <x:c r="F1443" s="9">
        <x:v>392646200</x:v>
      </x:c>
      <x:c r="G1443" s="9">
        <x:v>571158159.5300001</x:v>
      </x:c>
      <x:c r="H1443" s="10" t="n">
        <x:f>G1443-F1443</x:f>
        <x:v>178511959.5300001</x:v>
      </x:c>
    </x:row>
    <x:row r="1444">
      <x:c r="A1444" s="7" t="str">
        <x:v>35280300023</x:v>
      </x:c>
      <x:c r="B1444" s="7" t="str">
        <x:v>RS 35280300023</x:v>
      </x:c>
      <x:c r="C1444" s="7" t="str">
        <x:v>D</x:v>
      </x:c>
      <x:c r="D1444" s="7" t="str">
        <x:v>PAMEKASAN</x:v>
      </x:c>
      <x:c r="E1444" s="8">
        <x:v>7424</x:v>
      </x:c>
      <x:c r="F1444" s="9">
        <x:v>7092296400</x:v>
      </x:c>
      <x:c r="G1444" s="9">
        <x:v>9901375473.319996</x:v>
      </x:c>
      <x:c r="H1444" s="10" t="n">
        <x:f>G1444-F1444</x:f>
        <x:v>2809079073.319996</x:v>
      </x:c>
    </x:row>
    <x:row r="1445">
      <x:c r="A1445" s="7" t="str">
        <x:v>35730300108</x:v>
      </x:c>
      <x:c r="B1445" s="7" t="str">
        <x:v>RS 35730300108</x:v>
      </x:c>
      <x:c r="C1445" s="7" t="str">
        <x:v>D</x:v>
      </x:c>
      <x:c r="D1445" s="7" t="str">
        <x:v>KOTA MALANG</x:v>
      </x:c>
      <x:c r="E1445" s="8">
        <x:v>1152</x:v>
      </x:c>
      <x:c r="F1445" s="9">
        <x:v>175049800</x:v>
      </x:c>
      <x:c r="G1445" s="9">
        <x:v>293114163.76000005</x:v>
      </x:c>
      <x:c r="H1445" s="10" t="n">
        <x:f>G1445-F1445</x:f>
        <x:v>118064363.76000005</x:v>
      </x:c>
    </x:row>
    <x:row r="1446">
      <x:c r="A1446" s="7" t="str">
        <x:v>35730300126</x:v>
      </x:c>
      <x:c r="B1446" s="7" t="str">
        <x:v>RS 35730300126</x:v>
      </x:c>
      <x:c r="C1446" s="7" t="str">
        <x:v>D</x:v>
      </x:c>
      <x:c r="D1446" s="7" t="str">
        <x:v>KOTA MALANG</x:v>
      </x:c>
      <x:c r="E1446" s="8">
        <x:v>6929</x:v>
      </x:c>
      <x:c r="F1446" s="9">
        <x:v>1358336900</x:v>
      </x:c>
      <x:c r="G1446" s="9">
        <x:v>1592941195.8799999</x:v>
      </x:c>
      <x:c r="H1446" s="10" t="n">
        <x:f>G1446-F1446</x:f>
        <x:v>234604295.87999988</x:v>
      </x:c>
    </x:row>
    <x:row r="1447">
      <x:c r="A1447" s="7" t="str">
        <x:v>35780300103</x:v>
      </x:c>
      <x:c r="B1447" s="7" t="str">
        <x:v>RS 35780300103</x:v>
      </x:c>
      <x:c r="C1447" s="7" t="str">
        <x:v>D</x:v>
      </x:c>
      <x:c r="D1447" s="7" t="str">
        <x:v>KOTA SURABAYA</x:v>
      </x:c>
      <x:c r="E1447" s="8">
        <x:v>41</x:v>
      </x:c>
      <x:c r="F1447" s="9">
        <x:v>30506300</x:v>
      </x:c>
      <x:c r="G1447" s="9">
        <x:v>37970214.120000005</x:v>
      </x:c>
      <x:c r="H1447" s="10" t="n">
        <x:f>G1447-F1447</x:f>
        <x:v>7463914.120000005</x:v>
      </x:c>
    </x:row>
    <x:row r="1448">
      <x:c r="A1448" s="7" t="str">
        <x:v>51070300015</x:v>
      </x:c>
      <x:c r="B1448" s="7" t="str">
        <x:v>RS 51070300015</x:v>
      </x:c>
      <x:c r="C1448" s="7" t="str">
        <x:v>D</x:v>
      </x:c>
      <x:c r="D1448" s="7" t="str">
        <x:v>KARANGASEM</x:v>
      </x:c>
      <x:c r="E1448" s="8">
        <x:v>3877</x:v>
      </x:c>
      <x:c r="F1448" s="9">
        <x:v>1520611900</x:v>
      </x:c>
      <x:c r="G1448" s="9">
        <x:v>1954546326.8399994</x:v>
      </x:c>
      <x:c r="H1448" s="10" t="n">
        <x:f>G1448-F1448</x:f>
        <x:v>433934426.83999944</x:v>
      </x:c>
    </x:row>
    <x:row r="1449">
      <x:c r="A1449" s="7" t="str">
        <x:v>51080300002</x:v>
      </x:c>
      <x:c r="B1449" s="7" t="str">
        <x:v>RS 51080300002</x:v>
      </x:c>
      <x:c r="C1449" s="7" t="str">
        <x:v>D</x:v>
      </x:c>
      <x:c r="D1449" s="7" t="str">
        <x:v>BULELENG</x:v>
      </x:c>
      <x:c r="E1449" s="8">
        <x:v>2344</x:v>
      </x:c>
      <x:c r="F1449" s="9">
        <x:v>1148519500</x:v>
      </x:c>
      <x:c r="G1449" s="9">
        <x:v>1284292940.61</x:v>
      </x:c>
      <x:c r="H1449" s="10" t="n">
        <x:f>G1449-F1449</x:f>
        <x:v>135773440.6099999</x:v>
      </x:c>
    </x:row>
    <x:row r="1450">
      <x:c r="A1450" s="7" t="str">
        <x:v>51080300021</x:v>
      </x:c>
      <x:c r="B1450" s="7" t="str">
        <x:v>RS 51080300021</x:v>
      </x:c>
      <x:c r="C1450" s="7" t="str">
        <x:v>D</x:v>
      </x:c>
      <x:c r="D1450" s="7" t="str">
        <x:v>BULELENG</x:v>
      </x:c>
      <x:c r="E1450" s="8">
        <x:v>675</x:v>
      </x:c>
      <x:c r="F1450" s="9">
        <x:v>260937400</x:v>
      </x:c>
      <x:c r="G1450" s="9">
        <x:v>339680454.25</x:v>
      </x:c>
      <x:c r="H1450" s="10" t="n">
        <x:f>G1450-F1450</x:f>
        <x:v>78743054.25</x:v>
      </x:c>
    </x:row>
    <x:row r="1451">
      <x:c r="A1451" s="7" t="str">
        <x:v>51710300093</x:v>
      </x:c>
      <x:c r="B1451" s="7" t="str">
        <x:v>RS 51710300093</x:v>
      </x:c>
      <x:c r="C1451" s="7" t="str">
        <x:v>D</x:v>
      </x:c>
      <x:c r="D1451" s="7" t="str">
        <x:v>KOTA DENPASAR</x:v>
      </x:c>
      <x:c r="E1451" s="8">
        <x:v>404</x:v>
      </x:c>
      <x:c r="F1451" s="9">
        <x:v>329651200</x:v>
      </x:c>
      <x:c r="G1451" s="9">
        <x:v>351506360.95000005</x:v>
      </x:c>
      <x:c r="H1451" s="10" t="n">
        <x:f>G1451-F1451</x:f>
        <x:v>21855160.950000048</x:v>
      </x:c>
    </x:row>
    <x:row r="1452">
      <x:c r="A1452" s="7" t="str">
        <x:v>51710300130</x:v>
      </x:c>
      <x:c r="B1452" s="7" t="str">
        <x:v>RS 51710300130</x:v>
      </x:c>
      <x:c r="C1452" s="7" t="str">
        <x:v>D</x:v>
      </x:c>
      <x:c r="D1452" s="7" t="str">
        <x:v>KOTA DENPASAR</x:v>
      </x:c>
      <x:c r="E1452" s="8">
        <x:v>78</x:v>
      </x:c>
      <x:c r="F1452" s="9">
        <x:v>22246200</x:v>
      </x:c>
      <x:c r="G1452" s="9">
        <x:v>27635093.609999996</x:v>
      </x:c>
      <x:c r="H1452" s="10" t="n">
        <x:f>G1452-F1452</x:f>
        <x:v>5388893.609999996</x:v>
      </x:c>
    </x:row>
    <x:row r="1453">
      <x:c r="A1453" s="7" t="str">
        <x:v>K1210810</x:v>
      </x:c>
      <x:c r="B1453" s="7" t="str">
        <x:v>RS K1210810</x:v>
      </x:c>
      <x:c r="C1453" s="7" t="str">
        <x:v>D</x:v>
      </x:c>
      <x:c r="D1453" s="7" t="str">
        <x:v>PASAMAN BARAT</x:v>
      </x:c>
      <x:c r="E1453" s="8">
        <x:v>6661</x:v>
      </x:c>
      <x:c r="F1453" s="9">
        <x:v>3531970400</x:v>
      </x:c>
      <x:c r="G1453" s="9">
        <x:v>3894540786.5</x:v>
      </x:c>
      <x:c r="H1453" s="10" t="n">
        <x:f>G1453-F1453</x:f>
        <x:v>362570386.5</x:v>
      </x:c>
    </x:row>
    <x:row r="1454">
      <x:c r="A1454" s="7" t="str">
        <x:v>K1211037</x:v>
      </x:c>
      <x:c r="B1454" s="7" t="str">
        <x:v>RS K1211037</x:v>
      </x:c>
      <x:c r="C1454" s="7" t="str">
        <x:v>D</x:v>
      </x:c>
      <x:c r="D1454" s="7" t="str">
        <x:v>REJANG LEBONG</x:v>
      </x:c>
      <x:c r="E1454" s="8">
        <x:v>2388</x:v>
      </x:c>
      <x:c r="F1454" s="9">
        <x:v>2511599600</x:v>
      </x:c>
      <x:c r="G1454" s="9">
        <x:v>3138250045.03</x:v>
      </x:c>
      <x:c r="H1454" s="10" t="n">
        <x:f>G1454-F1454</x:f>
        <x:v>626650445.0300002</x:v>
      </x:c>
    </x:row>
    <x:row r="1455">
      <x:c r="A1455" s="7" t="str">
        <x:v>K1211109</x:v>
      </x:c>
      <x:c r="B1455" s="7" t="str">
        <x:v>RS K1211109</x:v>
      </x:c>
      <x:c r="C1455" s="7" t="str">
        <x:v>D</x:v>
      </x:c>
      <x:c r="D1455" s="7" t="str">
        <x:v>REJANG LEBONG</x:v>
      </x:c>
      <x:c r="E1455" s="8">
        <x:v>2175</x:v>
      </x:c>
      <x:c r="F1455" s="9">
        <x:v>2597677300</x:v>
      </x:c>
      <x:c r="G1455" s="9">
        <x:v>3618399094.7299995</x:v>
      </x:c>
      <x:c r="H1455" s="10" t="n">
        <x:f>G1455-F1455</x:f>
        <x:v>1020721794.7299995</x:v>
      </x:c>
    </x:row>
    <x:row r="1456">
      <x:c r="A1456" s="7" t="str">
        <x:v>K1211359</x:v>
      </x:c>
      <x:c r="B1456" s="7" t="str">
        <x:v>RS K1211359</x:v>
      </x:c>
      <x:c r="C1456" s="7" t="str">
        <x:v>D</x:v>
      </x:c>
      <x:c r="D1456" s="7" t="str">
        <x:v>PADANG PARIAMAN</x:v>
      </x:c>
      <x:c r="E1456" s="8">
        <x:v>4331</x:v>
      </x:c>
      <x:c r="F1456" s="9">
        <x:v>1308412500</x:v>
      </x:c>
      <x:c r="G1456" s="9">
        <x:v>1455971252.2699997</x:v>
      </x:c>
      <x:c r="H1456" s="10" t="n">
        <x:f>G1456-F1456</x:f>
        <x:v>147558752.26999974</x:v>
      </x:c>
    </x:row>
    <x:row r="1457">
      <x:c r="A1457" s="7" t="str">
        <x:v>K1211524</x:v>
      </x:c>
      <x:c r="B1457" s="7" t="str">
        <x:v>RS K1211524</x:v>
      </x:c>
      <x:c r="C1457" s="7" t="str">
        <x:v>D</x:v>
      </x:c>
      <x:c r="D1457" s="7" t="str">
        <x:v>KOTA PAYAKUMBUH</x:v>
      </x:c>
      <x:c r="E1457" s="8">
        <x:v>10371</x:v>
      </x:c>
      <x:c r="F1457" s="9">
        <x:v>2118537700</x:v>
      </x:c>
      <x:c r="G1457" s="9">
        <x:v>2411823532.4500003</x:v>
      </x:c>
      <x:c r="H1457" s="10" t="n">
        <x:f>G1457-F1457</x:f>
        <x:v>293285832.4500003</x:v>
      </x:c>
    </x:row>
    <x:row r="1458">
      <x:c r="A1458" s="7" t="str">
        <x:v>K1216468</x:v>
      </x:c>
      <x:c r="B1458" s="7" t="str">
        <x:v>RS K1216468</x:v>
      </x:c>
      <x:c r="C1458" s="7" t="str">
        <x:v>D</x:v>
      </x:c>
      <x:c r="D1458" s="7" t="str">
        <x:v>KOTA PEKANBARU</x:v>
      </x:c>
      <x:c r="E1458" s="8">
        <x:v>931</x:v>
      </x:c>
      <x:c r="F1458" s="9">
        <x:v>1006777900</x:v>
      </x:c>
      <x:c r="G1458" s="9">
        <x:v>1242280794.4299996</x:v>
      </x:c>
      <x:c r="H1458" s="10" t="n">
        <x:f>G1458-F1458</x:f>
        <x:v>235502894.4299996</x:v>
      </x:c>
    </x:row>
    <x:row r="1459">
      <x:c r="A1459" s="7" t="str">
        <x:v>K1216717</x:v>
      </x:c>
      <x:c r="B1459" s="7" t="str">
        <x:v>RS K1216717</x:v>
      </x:c>
      <x:c r="C1459" s="7" t="str">
        <x:v>D</x:v>
      </x:c>
      <x:c r="D1459" s="7" t="str">
        <x:v>BINTAN</x:v>
      </x:c>
      <x:c r="E1459" s="8">
        <x:v>1332</x:v>
      </x:c>
      <x:c r="F1459" s="9">
        <x:v>338519600</x:v>
      </x:c>
      <x:c r="G1459" s="9">
        <x:v>434985583.5299998</x:v>
      </x:c>
      <x:c r="H1459" s="10" t="n">
        <x:f>G1459-F1459</x:f>
        <x:v>96465983.5299998</x:v>
      </x:c>
    </x:row>
    <x:row r="1460">
      <x:c r="A1460" s="7" t="str">
        <x:v>K1216828</x:v>
      </x:c>
      <x:c r="B1460" s="7" t="str">
        <x:v>RS K1216828</x:v>
      </x:c>
      <x:c r="C1460" s="7" t="str">
        <x:v>D</x:v>
      </x:c>
      <x:c r="D1460" s="7" t="str">
        <x:v>SIAK</x:v>
      </x:c>
      <x:c r="E1460" s="8">
        <x:v>857</x:v>
      </x:c>
      <x:c r="F1460" s="9">
        <x:v>430574100</x:v>
      </x:c>
      <x:c r="G1460" s="9">
        <x:v>506091787.79</x:v>
      </x:c>
      <x:c r="H1460" s="10" t="n">
        <x:f>G1460-F1460</x:f>
        <x:v>75517687.79000002</x:v>
      </x:c>
    </x:row>
    <x:row r="1461">
      <x:c r="A1461" s="7" t="str">
        <x:v>K1216852</x:v>
      </x:c>
      <x:c r="B1461" s="7" t="str">
        <x:v>RS K1216852</x:v>
      </x:c>
      <x:c r="C1461" s="7" t="str">
        <x:v>D</x:v>
      </x:c>
      <x:c r="D1461" s="7" t="str">
        <x:v>KOTA SOLOK</x:v>
      </x:c>
      <x:c r="E1461" s="8">
        <x:v>5735</x:v>
      </x:c>
      <x:c r="F1461" s="9">
        <x:v>2657730800</x:v>
      </x:c>
      <x:c r="G1461" s="9">
        <x:v>2963247259.9800005</x:v>
      </x:c>
      <x:c r="H1461" s="10" t="n">
        <x:f>G1461-F1461</x:f>
        <x:v>305516459.9800005</x:v>
      </x:c>
    </x:row>
    <x:row r="1462">
      <x:c r="A1462" s="7" t="str">
        <x:v>K1217589</x:v>
      </x:c>
      <x:c r="B1462" s="7" t="str">
        <x:v>RS K1217589</x:v>
      </x:c>
      <x:c r="C1462" s="7" t="str">
        <x:v>D</x:v>
      </x:c>
      <x:c r="D1462" s="7" t="str">
        <x:v>BENGKULU SELATAN</x:v>
      </x:c>
      <x:c r="E1462" s="8">
        <x:v>1769</x:v>
      </x:c>
      <x:c r="F1462" s="9">
        <x:v>1972192800</x:v>
      </x:c>
      <x:c r="G1462" s="9">
        <x:v>3633233056.5799994</x:v>
      </x:c>
      <x:c r="H1462" s="10" t="n">
        <x:f>G1462-F1462</x:f>
        <x:v>1661040256.5799994</x:v>
      </x:c>
    </x:row>
    <x:row r="1463">
      <x:c r="A1463" s="7" t="str">
        <x:v>K1217678</x:v>
      </x:c>
      <x:c r="B1463" s="7" t="str">
        <x:v>RS K1217678</x:v>
      </x:c>
      <x:c r="C1463" s="7" t="str">
        <x:v>D</x:v>
      </x:c>
      <x:c r="D1463" s="7" t="str">
        <x:v>AGAM</x:v>
      </x:c>
      <x:c r="E1463" s="8">
        <x:v>9445</x:v>
      </x:c>
      <x:c r="F1463" s="9">
        <x:v>2460363900</x:v>
      </x:c>
      <x:c r="G1463" s="9">
        <x:v>3036337286.01</x:v>
      </x:c>
      <x:c r="H1463" s="10" t="n">
        <x:f>G1463-F1463</x:f>
        <x:v>575973386.0100002</x:v>
      </x:c>
    </x:row>
    <x:row r="1464">
      <x:c r="A1464" s="7" t="str">
        <x:v>K1217961</x:v>
      </x:c>
      <x:c r="B1464" s="7" t="str">
        <x:v>RS K1217961</x:v>
      </x:c>
      <x:c r="C1464" s="7" t="str">
        <x:v>D</x:v>
      </x:c>
      <x:c r="D1464" s="7" t="str">
        <x:v>KOTA BUKITTINGGI</x:v>
      </x:c>
      <x:c r="E1464" s="8">
        <x:v>14222</x:v>
      </x:c>
      <x:c r="F1464" s="9">
        <x:v>8301050600</x:v>
      </x:c>
      <x:c r="G1464" s="9">
        <x:v>8985571378.350002</x:v>
      </x:c>
      <x:c r="H1464" s="10" t="n">
        <x:f>G1464-F1464</x:f>
        <x:v>684520778.3500023</x:v>
      </x:c>
    </x:row>
    <x:row r="1465">
      <x:c r="A1465" s="7" t="str">
        <x:v>K1218046</x:v>
      </x:c>
      <x:c r="B1465" s="7" t="str">
        <x:v>RS K1218046</x:v>
      </x:c>
      <x:c r="C1465" s="7" t="str">
        <x:v>D</x:v>
      </x:c>
      <x:c r="D1465" s="7" t="str">
        <x:v>KOTA PEKANBARU</x:v>
      </x:c>
      <x:c r="E1465" s="8">
        <x:v>896</x:v>
      </x:c>
      <x:c r="F1465" s="9">
        <x:v>456000800</x:v>
      </x:c>
      <x:c r="G1465" s="9">
        <x:v>569122381.5699997</x:v>
      </x:c>
      <x:c r="H1465" s="10" t="n">
        <x:f>G1465-F1465</x:f>
        <x:v>113121581.5699997</x:v>
      </x:c>
    </x:row>
    <x:row r="1466">
      <x:c r="A1466" s="7" t="str">
        <x:v>K1218227</x:v>
      </x:c>
      <x:c r="B1466" s="7" t="str">
        <x:v>RS K1218227</x:v>
      </x:c>
      <x:c r="C1466" s="7" t="str">
        <x:v>D</x:v>
      </x:c>
      <x:c r="D1466" s="7" t="str">
        <x:v>KOTA PEKANBARU</x:v>
      </x:c>
      <x:c r="E1466" s="8">
        <x:v>2193</x:v>
      </x:c>
      <x:c r="F1466" s="9">
        <x:v>805818200</x:v>
      </x:c>
      <x:c r="G1466" s="9">
        <x:v>1042523435.35</x:v>
      </x:c>
      <x:c r="H1466" s="10" t="n">
        <x:f>G1466-F1466</x:f>
        <x:v>236705235.35000002</x:v>
      </x:c>
    </x:row>
    <x:row r="1467">
      <x:c r="A1467" s="7" t="str">
        <x:v>K1218417</x:v>
      </x:c>
      <x:c r="B1467" s="7" t="str">
        <x:v>RS K1218417</x:v>
      </x:c>
      <x:c r="C1467" s="7" t="str">
        <x:v>D</x:v>
      </x:c>
      <x:c r="D1467" s="7" t="str">
        <x:v>PADANG PARIAMAN</x:v>
      </x:c>
      <x:c r="E1467" s="8">
        <x:v>5540</x:v>
      </x:c>
      <x:c r="F1467" s="9">
        <x:v>2757539500</x:v>
      </x:c>
      <x:c r="G1467" s="9">
        <x:v>3047801295.17</x:v>
      </x:c>
      <x:c r="H1467" s="10" t="n">
        <x:f>G1467-F1467</x:f>
        <x:v>290261795.1700001</x:v>
      </x:c>
    </x:row>
    <x:row r="1468">
      <x:c r="A1468" s="7" t="str">
        <x:v>K1230271</x:v>
      </x:c>
      <x:c r="B1468" s="7" t="str">
        <x:v>RS K1230271</x:v>
      </x:c>
      <x:c r="C1468" s="7" t="str">
        <x:v>D</x:v>
      </x:c>
      <x:c r="D1468" s="7" t="str">
        <x:v>BANDUNG</x:v>
      </x:c>
      <x:c r="E1468" s="8">
        <x:v>4690</x:v>
      </x:c>
      <x:c r="F1468" s="9">
        <x:v>2173365700</x:v>
      </x:c>
      <x:c r="G1468" s="9">
        <x:v>2770156404.3000007</x:v>
      </x:c>
      <x:c r="H1468" s="10" t="n">
        <x:f>G1468-F1468</x:f>
        <x:v>596790704.3000007</x:v>
      </x:c>
    </x:row>
    <x:row r="1469">
      <x:c r="A1469" s="7" t="str">
        <x:v>K1230383</x:v>
      </x:c>
      <x:c r="B1469" s="7" t="str">
        <x:v>RS K1230383</x:v>
      </x:c>
      <x:c r="C1469" s="7" t="str">
        <x:v>D</x:v>
      </x:c>
      <x:c r="D1469" s="7" t="str">
        <x:v>MAJALENGKA</x:v>
      </x:c>
      <x:c r="E1469" s="8">
        <x:v>2788</x:v>
      </x:c>
      <x:c r="F1469" s="9">
        <x:v>3442764900</x:v>
      </x:c>
      <x:c r="G1469" s="9">
        <x:v>4440272755.330002</x:v>
      </x:c>
      <x:c r="H1469" s="10" t="n">
        <x:f>G1469-F1469</x:f>
        <x:v>997507855.3300018</x:v>
      </x:c>
    </x:row>
    <x:row r="1470">
      <x:c r="A1470" s="7" t="str">
        <x:v>K1230417</x:v>
      </x:c>
      <x:c r="B1470" s="7" t="str">
        <x:v>RS K1230417</x:v>
      </x:c>
      <x:c r="C1470" s="7" t="str">
        <x:v>D</x:v>
      </x:c>
      <x:c r="D1470" s="7" t="str">
        <x:v>KOTA SUKABUMI</x:v>
      </x:c>
      <x:c r="E1470" s="8">
        <x:v>444</x:v>
      </x:c>
      <x:c r="F1470" s="9">
        <x:v>106642300</x:v>
      </x:c>
      <x:c r="G1470" s="9">
        <x:v>140946480.91000003</x:v>
      </x:c>
      <x:c r="H1470" s="10" t="n">
        <x:f>G1470-F1470</x:f>
        <x:v>34304180.910000026</x:v>
      </x:c>
    </x:row>
    <x:row r="1471">
      <x:c r="A1471" s="7" t="str">
        <x:v>K1230557</x:v>
      </x:c>
      <x:c r="B1471" s="7" t="str">
        <x:v>RS K1230557</x:v>
      </x:c>
      <x:c r="C1471" s="7" t="str">
        <x:v>D</x:v>
      </x:c>
      <x:c r="D1471" s="7" t="str">
        <x:v>KOTA BANDUNG</x:v>
      </x:c>
      <x:c r="E1471" s="8">
        <x:v>419</x:v>
      </x:c>
      <x:c r="F1471" s="9">
        <x:v>389976300</x:v>
      </x:c>
      <x:c r="G1471" s="9">
        <x:v>401299003.28</x:v>
      </x:c>
      <x:c r="H1471" s="10" t="n">
        <x:f>G1471-F1471</x:f>
        <x:v>11322703.279999971</x:v>
      </x:c>
    </x:row>
    <x:row r="1472">
      <x:c r="A1472" s="7" t="str">
        <x:v>K1230932</x:v>
      </x:c>
      <x:c r="B1472" s="7" t="str">
        <x:v>RS K1230932</x:v>
      </x:c>
      <x:c r="C1472" s="7" t="str">
        <x:v>D</x:v>
      </x:c>
      <x:c r="D1472" s="7" t="str">
        <x:v>MAJALENGKA</x:v>
      </x:c>
      <x:c r="E1472" s="8">
        <x:v>1353</x:v>
      </x:c>
      <x:c r="F1472" s="9">
        <x:v>272331800</x:v>
      </x:c>
      <x:c r="G1472" s="9">
        <x:v>334762365.9800001</x:v>
      </x:c>
      <x:c r="H1472" s="10" t="n">
        <x:f>G1472-F1472</x:f>
        <x:v>62430565.98000008</x:v>
      </x:c>
    </x:row>
    <x:row r="1473">
      <x:c r="A1473" s="7" t="str">
        <x:v>K1231071</x:v>
      </x:c>
      <x:c r="B1473" s="7" t="str">
        <x:v>RS K1231071</x:v>
      </x:c>
      <x:c r="C1473" s="7" t="str">
        <x:v>D</x:v>
      </x:c>
      <x:c r="D1473" s="7" t="str">
        <x:v>SUKABUMI</x:v>
      </x:c>
      <x:c r="E1473" s="8">
        <x:v>2503</x:v>
      </x:c>
      <x:c r="F1473" s="9">
        <x:v>2895554900</x:v>
      </x:c>
      <x:c r="G1473" s="9">
        <x:v>3392700284.8799987</x:v>
      </x:c>
      <x:c r="H1473" s="10" t="n">
        <x:f>G1473-F1473</x:f>
        <x:v>497145384.8799987</x:v>
      </x:c>
    </x:row>
    <x:row r="1474">
      <x:c r="A1474" s="7" t="str">
        <x:v>K1231367</x:v>
      </x:c>
      <x:c r="B1474" s="7" t="str">
        <x:v>RS K1231367</x:v>
      </x:c>
      <x:c r="C1474" s="7" t="str">
        <x:v>D</x:v>
      </x:c>
      <x:c r="D1474" s="7" t="str">
        <x:v>BLITAR</x:v>
      </x:c>
      <x:c r="E1474" s="8">
        <x:v>131</x:v>
      </x:c>
      <x:c r="F1474" s="9">
        <x:v>203228400</x:v>
      </x:c>
      <x:c r="G1474" s="9">
        <x:v>277561740.29999995</x:v>
      </x:c>
      <x:c r="H1474" s="10" t="n">
        <x:f>G1474-F1474</x:f>
        <x:v>74333340.29999995</x:v>
      </x:c>
    </x:row>
    <x:row r="1475">
      <x:c r="A1475" s="7" t="str">
        <x:v>K1231529</x:v>
      </x:c>
      <x:c r="B1475" s="7" t="str">
        <x:v>RS K1231529</x:v>
      </x:c>
      <x:c r="C1475" s="7" t="str">
        <x:v>D</x:v>
      </x:c>
      <x:c r="D1475" s="7" t="str">
        <x:v>KOTA MALANG</x:v>
      </x:c>
      <x:c r="E1475" s="8">
        <x:v>22123</x:v>
      </x:c>
      <x:c r="F1475" s="9">
        <x:v>7177845100</x:v>
      </x:c>
      <x:c r="G1475" s="9">
        <x:v>9472977111.529999</x:v>
      </x:c>
      <x:c r="H1475" s="10" t="n">
        <x:f>G1475-F1475</x:f>
        <x:v>2295132011.529999</x:v>
      </x:c>
    </x:row>
    <x:row r="1476">
      <x:c r="A1476" s="7" t="str">
        <x:v>K1231618</x:v>
      </x:c>
      <x:c r="B1476" s="7" t="str">
        <x:v>RS K1231618</x:v>
      </x:c>
      <x:c r="C1476" s="7" t="str">
        <x:v>D</x:v>
      </x:c>
      <x:c r="D1476" s="7" t="str">
        <x:v>KOTA PROBOLINGGO</x:v>
      </x:c>
      <x:c r="E1476" s="8">
        <x:v>1116</x:v>
      </x:c>
      <x:c r="F1476" s="9">
        <x:v>713934900</x:v>
      </x:c>
      <x:c r="G1476" s="9">
        <x:v>895147682.35</x:v>
      </x:c>
      <x:c r="H1476" s="10" t="n">
        <x:f>G1476-F1476</x:f>
        <x:v>181212782.35000002</x:v>
      </x:c>
    </x:row>
    <x:row r="1477">
      <x:c r="A1477" s="7" t="str">
        <x:v>K1232020</x:v>
      </x:c>
      <x:c r="B1477" s="7" t="str">
        <x:v>RS K1232020</x:v>
      </x:c>
      <x:c r="C1477" s="7" t="str">
        <x:v>D</x:v>
      </x:c>
      <x:c r="D1477" s="7" t="str">
        <x:v>TEGAL</x:v>
      </x:c>
      <x:c r="E1477" s="8">
        <x:v>2919</x:v>
      </x:c>
      <x:c r="F1477" s="9">
        <x:v>3083432400</x:v>
      </x:c>
      <x:c r="G1477" s="9">
        <x:v>3916929564.819999</x:v>
      </x:c>
      <x:c r="H1477" s="10" t="n">
        <x:f>G1477-F1477</x:f>
        <x:v>833497164.8199992</x:v>
      </x:c>
    </x:row>
    <x:row r="1478">
      <x:c r="A1478" s="7" t="str">
        <x:v>K1232070</x:v>
      </x:c>
      <x:c r="B1478" s="7" t="str">
        <x:v>RS K1232070</x:v>
      </x:c>
      <x:c r="C1478" s="7" t="str">
        <x:v>D</x:v>
      </x:c>
      <x:c r="D1478" s="7" t="str">
        <x:v>TEGAL</x:v>
      </x:c>
      <x:c r="E1478" s="8">
        <x:v>553</x:v>
      </x:c>
      <x:c r="F1478" s="9">
        <x:v>698396300</x:v>
      </x:c>
      <x:c r="G1478" s="9">
        <x:v>936907095.51</x:v>
      </x:c>
      <x:c r="H1478" s="10" t="n">
        <x:f>G1478-F1478</x:f>
        <x:v>238510795.51</x:v>
      </x:c>
    </x:row>
    <x:row r="1479">
      <x:c r="A1479" s="7" t="str">
        <x:v>K1232425</x:v>
      </x:c>
      <x:c r="B1479" s="7" t="str">
        <x:v>RS K1232425</x:v>
      </x:c>
      <x:c r="C1479" s="7" t="str">
        <x:v>D</x:v>
      </x:c>
      <x:c r="D1479" s="7" t="str">
        <x:v>KOTA SURABAYA</x:v>
      </x:c>
      <x:c r="E1479" s="8">
        <x:v>2170</x:v>
      </x:c>
      <x:c r="F1479" s="9">
        <x:v>462451700</x:v>
      </x:c>
      <x:c r="G1479" s="9">
        <x:v>520187982.99</x:v>
      </x:c>
      <x:c r="H1479" s="10" t="n">
        <x:f>G1479-F1479</x:f>
        <x:v>57736282.99000001</x:v>
      </x:c>
    </x:row>
    <x:row r="1480">
      <x:c r="A1480" s="7" t="str">
        <x:v>K1232458</x:v>
      </x:c>
      <x:c r="B1480" s="7" t="str">
        <x:v>RS K1232458</x:v>
      </x:c>
      <x:c r="C1480" s="7" t="str">
        <x:v>D</x:v>
      </x:c>
      <x:c r="D1480" s="7" t="str">
        <x:v>BANJARNEGARA</x:v>
      </x:c>
      <x:c r="E1480" s="8">
        <x:v>3023</x:v>
      </x:c>
      <x:c r="F1480" s="9">
        <x:v>2878349200</x:v>
      </x:c>
      <x:c r="G1480" s="9">
        <x:v>3797659215.8100004</x:v>
      </x:c>
      <x:c r="H1480" s="10" t="n">
        <x:f>G1480-F1480</x:f>
        <x:v>919310015.8100004</x:v>
      </x:c>
    </x:row>
    <x:row r="1481">
      <x:c r="A1481" s="7" t="str">
        <x:v>K1232702</x:v>
      </x:c>
      <x:c r="B1481" s="7" t="str">
        <x:v>RS K1232702</x:v>
      </x:c>
      <x:c r="C1481" s="7" t="str">
        <x:v>D</x:v>
      </x:c>
      <x:c r="D1481" s="7" t="str">
        <x:v>KUDUS</x:v>
      </x:c>
      <x:c r="E1481" s="8">
        <x:v>3383</x:v>
      </x:c>
      <x:c r="F1481" s="9">
        <x:v>1992693200</x:v>
      </x:c>
      <x:c r="G1481" s="9">
        <x:v>2319731734.72</x:v>
      </x:c>
      <x:c r="H1481" s="10" t="n">
        <x:f>G1481-F1481</x:f>
        <x:v>327038534.7199998</x:v>
      </x:c>
    </x:row>
    <x:row r="1482">
      <x:c r="A1482" s="7" t="str">
        <x:v>K1232846</x:v>
      </x:c>
      <x:c r="B1482" s="7" t="str">
        <x:v>RS K1232846</x:v>
      </x:c>
      <x:c r="C1482" s="7" t="str">
        <x:v>D</x:v>
      </x:c>
      <x:c r="D1482" s="7" t="str">
        <x:v>BLORA</x:v>
      </x:c>
      <x:c r="E1482" s="8">
        <x:v>14671</x:v>
      </x:c>
      <x:c r="F1482" s="9">
        <x:v>9034103900</x:v>
      </x:c>
      <x:c r="G1482" s="9">
        <x:v>11974473802.419996</x:v>
      </x:c>
      <x:c r="H1482" s="10" t="n">
        <x:f>G1482-F1482</x:f>
        <x:v>2940369902.4199963</x:v>
      </x:c>
    </x:row>
    <x:row r="1483">
      <x:c r="A1483" s="7" t="str">
        <x:v>K1233023</x:v>
      </x:c>
      <x:c r="B1483" s="7" t="str">
        <x:v>RS K1233023</x:v>
      </x:c>
      <x:c r="C1483" s="7" t="str">
        <x:v>D</x:v>
      </x:c>
      <x:c r="D1483" s="7" t="str">
        <x:v>TEGAL</x:v>
      </x:c>
      <x:c r="E1483" s="8">
        <x:v>362</x:v>
      </x:c>
      <x:c r="F1483" s="9">
        <x:v>486415800</x:v>
      </x:c>
      <x:c r="G1483" s="9">
        <x:v>604954269.3299999</x:v>
      </x:c>
      <x:c r="H1483" s="10" t="n">
        <x:f>G1483-F1483</x:f>
        <x:v>118538469.32999992</x:v>
      </x:c>
    </x:row>
    <x:row r="1484">
      <x:c r="A1484" s="7" t="str">
        <x:v>K1233490</x:v>
      </x:c>
      <x:c r="B1484" s="7" t="str">
        <x:v>RS K1233490</x:v>
      </x:c>
      <x:c r="C1484" s="7" t="str">
        <x:v>D</x:v>
      </x:c>
      <x:c r="D1484" s="7" t="str">
        <x:v>MAGELANG</x:v>
      </x:c>
      <x:c r="E1484" s="8">
        <x:v>185</x:v>
      </x:c>
      <x:c r="F1484" s="9">
        <x:v>140487100</x:v>
      </x:c>
      <x:c r="G1484" s="9">
        <x:v>165524038.42000002</x:v>
      </x:c>
      <x:c r="H1484" s="10" t="n">
        <x:f>G1484-F1484</x:f>
        <x:v>25036938.420000017</x:v>
      </x:c>
    </x:row>
    <x:row r="1485">
      <x:c r="A1485" s="7" t="str">
        <x:v>K1233520</x:v>
      </x:c>
      <x:c r="B1485" s="7" t="str">
        <x:v>RS K1233520</x:v>
      </x:c>
      <x:c r="C1485" s="7" t="str">
        <x:v>D</x:v>
      </x:c>
      <x:c r="D1485" s="7" t="str">
        <x:v>KOTA MAGELANG</x:v>
      </x:c>
      <x:c r="E1485" s="8">
        <x:v>49</x:v>
      </x:c>
      <x:c r="F1485" s="9">
        <x:v>47158800</x:v>
      </x:c>
      <x:c r="G1485" s="9">
        <x:v>59289894.92</x:v>
      </x:c>
      <x:c r="H1485" s="10" t="n">
        <x:f>G1485-F1485</x:f>
        <x:v>12131094.920000002</x:v>
      </x:c>
    </x:row>
    <x:row r="1486">
      <x:c r="A1486" s="7" t="str">
        <x:v>K1233911</x:v>
      </x:c>
      <x:c r="B1486" s="7" t="str">
        <x:v>RS K1233911</x:v>
      </x:c>
      <x:c r="C1486" s="7" t="str">
        <x:v>D</x:v>
      </x:c>
      <x:c r="D1486" s="7" t="str">
        <x:v>BOJONEGORO</x:v>
      </x:c>
      <x:c r="E1486" s="8">
        <x:v>4203</x:v>
      </x:c>
      <x:c r="F1486" s="9">
        <x:v>2275771500</x:v>
      </x:c>
      <x:c r="G1486" s="9">
        <x:v>2545007466.91</x:v>
      </x:c>
      <x:c r="H1486" s="10" t="n">
        <x:f>G1486-F1486</x:f>
        <x:v>269235966.90999985</x:v>
      </x:c>
    </x:row>
    <x:row r="1487">
      <x:c r="A1487" s="7" t="str">
        <x:v>K1234236</x:v>
      </x:c>
      <x:c r="B1487" s="7" t="str">
        <x:v>RS K1234236</x:v>
      </x:c>
      <x:c r="C1487" s="7" t="str">
        <x:v>D</x:v>
      </x:c>
      <x:c r="D1487" s="7" t="str">
        <x:v>JOMBANG</x:v>
      </x:c>
      <x:c r="E1487" s="8">
        <x:v>6858</x:v>
      </x:c>
      <x:c r="F1487" s="9">
        <x:v>4091495800</x:v>
      </x:c>
      <x:c r="G1487" s="9">
        <x:v>5101184911.940001</x:v>
      </x:c>
      <x:c r="H1487" s="10" t="n">
        <x:f>G1487-F1487</x:f>
        <x:v>1009689111.9400005</x:v>
      </x:c>
    </x:row>
    <x:row r="1488">
      <x:c r="A1488" s="7" t="str">
        <x:v>K1234509</x:v>
      </x:c>
      <x:c r="B1488" s="7" t="str">
        <x:v>RS K1234509</x:v>
      </x:c>
      <x:c r="C1488" s="7" t="str">
        <x:v>D</x:v>
      </x:c>
      <x:c r="D1488" s="7" t="str">
        <x:v>KOTA DEPOK</x:v>
      </x:c>
      <x:c r="E1488" s="8">
        <x:v>7604</x:v>
      </x:c>
      <x:c r="F1488" s="9">
        <x:v>6579138900</x:v>
      </x:c>
      <x:c r="G1488" s="9">
        <x:v>7014216472.410002</x:v>
      </x:c>
      <x:c r="H1488" s="10" t="n">
        <x:f>G1488-F1488</x:f>
        <x:v>435077572.41000175</x:v>
      </x:c>
    </x:row>
    <x:row r="1489">
      <x:c r="A1489" s="7" t="str">
        <x:v>K1234523</x:v>
      </x:c>
      <x:c r="B1489" s="7" t="str">
        <x:v>RS K1234523</x:v>
      </x:c>
      <x:c r="C1489" s="7" t="str">
        <x:v>D</x:v>
      </x:c>
      <x:c r="D1489" s="7" t="str">
        <x:v>TRENGGALEK</x:v>
      </x:c>
      <x:c r="E1489" s="8">
        <x:v>5312</x:v>
      </x:c>
      <x:c r="F1489" s="9">
        <x:v>2501820400</x:v>
      </x:c>
      <x:c r="G1489" s="9">
        <x:v>3349977885.1500006</x:v>
      </x:c>
      <x:c r="H1489" s="10" t="n">
        <x:f>G1489-F1489</x:f>
        <x:v>848157485.1500006</x:v>
      </x:c>
    </x:row>
    <x:row r="1490">
      <x:c r="A1490" s="7" t="str">
        <x:v>K1234534</x:v>
      </x:c>
      <x:c r="B1490" s="7" t="str">
        <x:v>RS K1234534</x:v>
      </x:c>
      <x:c r="C1490" s="7" t="str">
        <x:v>D</x:v>
      </x:c>
      <x:c r="D1490" s="7" t="str">
        <x:v>BOGOR</x:v>
      </x:c>
      <x:c r="E1490" s="8">
        <x:v>4423</x:v>
      </x:c>
      <x:c r="F1490" s="9">
        <x:v>4168983100</x:v>
      </x:c>
      <x:c r="G1490" s="9">
        <x:v>4548178143.879999</x:v>
      </x:c>
      <x:c r="H1490" s="10" t="n">
        <x:f>G1490-F1490</x:f>
        <x:v>379195043.87999916</x:v>
      </x:c>
    </x:row>
    <x:row r="1491">
      <x:c r="A1491" s="7" t="str">
        <x:v>K1234757</x:v>
      </x:c>
      <x:c r="B1491" s="7" t="str">
        <x:v>RS K1234757</x:v>
      </x:c>
      <x:c r="C1491" s="7" t="str">
        <x:v>D</x:v>
      </x:c>
      <x:c r="D1491" s="7" t="str">
        <x:v>KOTA SEMARANG</x:v>
      </x:c>
      <x:c r="E1491" s="8">
        <x:v>23676</x:v>
      </x:c>
      <x:c r="F1491" s="9">
        <x:v>15453761200</x:v>
      </x:c>
      <x:c r="G1491" s="9">
        <x:v>17758842843.040005</x:v>
      </x:c>
      <x:c r="H1491" s="10" t="n">
        <x:f>G1491-F1491</x:f>
        <x:v>2305081643.0400047</x:v>
      </x:c>
    </x:row>
    <x:row r="1492">
      <x:c r="A1492" s="7" t="str">
        <x:v>K1234769</x:v>
      </x:c>
      <x:c r="B1492" s="7" t="str">
        <x:v>RS K1234769</x:v>
      </x:c>
      <x:c r="C1492" s="7" t="str">
        <x:v>D</x:v>
      </x:c>
      <x:c r="D1492" s="7" t="str">
        <x:v>KOTA BEKASI</x:v>
      </x:c>
      <x:c r="E1492" s="8">
        <x:v>9183</x:v>
      </x:c>
      <x:c r="F1492" s="9">
        <x:v>5059392200</x:v>
      </x:c>
      <x:c r="G1492" s="9">
        <x:v>5647182259.03</x:v>
      </x:c>
      <x:c r="H1492" s="10" t="n">
        <x:f>G1492-F1492</x:f>
        <x:v>587790059.0299997</x:v>
      </x:c>
    </x:row>
    <x:row r="1493">
      <x:c r="A1493" s="7" t="str">
        <x:v>K1234784</x:v>
      </x:c>
      <x:c r="B1493" s="7" t="str">
        <x:v>RS K1234784</x:v>
      </x:c>
      <x:c r="C1493" s="7" t="str">
        <x:v>D</x:v>
      </x:c>
      <x:c r="D1493" s="7" t="str">
        <x:v>KOTA SURABAYA</x:v>
      </x:c>
      <x:c r="E1493" s="8">
        <x:v>3242</x:v>
      </x:c>
      <x:c r="F1493" s="9">
        <x:v>612522200</x:v>
      </x:c>
      <x:c r="G1493" s="9">
        <x:v>718505050.3200003</x:v>
      </x:c>
      <x:c r="H1493" s="10" t="n">
        <x:f>G1493-F1493</x:f>
        <x:v>105982850.32000029</x:v>
      </x:c>
    </x:row>
    <x:row r="1494">
      <x:c r="A1494" s="7" t="str">
        <x:v>K1234821</x:v>
      </x:c>
      <x:c r="B1494" s="7" t="str">
        <x:v>RS K1234821</x:v>
      </x:c>
      <x:c r="C1494" s="7" t="str">
        <x:v>D</x:v>
      </x:c>
      <x:c r="D1494" s="7" t="str">
        <x:v>KOTA BEKASI</x:v>
      </x:c>
      <x:c r="E1494" s="8">
        <x:v>14723</x:v>
      </x:c>
      <x:c r="F1494" s="9">
        <x:v>11139717100</x:v>
      </x:c>
      <x:c r="G1494" s="9">
        <x:v>12978946835.94</x:v>
      </x:c>
      <x:c r="H1494" s="10" t="n">
        <x:f>G1494-F1494</x:f>
        <x:v>1839229735.9400005</x:v>
      </x:c>
    </x:row>
    <x:row r="1495">
      <x:c r="A1495" s="7" t="str">
        <x:v>K1234875</x:v>
      </x:c>
      <x:c r="B1495" s="7" t="str">
        <x:v>RS K1234875</x:v>
      </x:c>
      <x:c r="C1495" s="7" t="str">
        <x:v>D</x:v>
      </x:c>
      <x:c r="D1495" s="7" t="str">
        <x:v>BANDUNG</x:v>
      </x:c>
      <x:c r="E1495" s="8">
        <x:v>10051</x:v>
      </x:c>
      <x:c r="F1495" s="9">
        <x:v>3022282500</x:v>
      </x:c>
      <x:c r="G1495" s="9">
        <x:v>3560891392.5499997</x:v>
      </x:c>
      <x:c r="H1495" s="10" t="n">
        <x:f>G1495-F1495</x:f>
        <x:v>538608892.5499997</x:v>
      </x:c>
    </x:row>
    <x:row r="1496">
      <x:c r="A1496" s="7" t="str">
        <x:v>K1234898</x:v>
      </x:c>
      <x:c r="B1496" s="7" t="str">
        <x:v>RS K1234898</x:v>
      </x:c>
      <x:c r="C1496" s="7" t="str">
        <x:v>D</x:v>
      </x:c>
      <x:c r="D1496" s="7" t="str">
        <x:v>KARAWANG</x:v>
      </x:c>
      <x:c r="E1496" s="8">
        <x:v>5481</x:v>
      </x:c>
      <x:c r="F1496" s="9">
        <x:v>5256752300</x:v>
      </x:c>
      <x:c r="G1496" s="9">
        <x:v>5592815789.309999</x:v>
      </x:c>
      <x:c r="H1496" s="10" t="n">
        <x:f>G1496-F1496</x:f>
        <x:v>336063489.30999947</x:v>
      </x:c>
    </x:row>
    <x:row r="1497">
      <x:c r="A1497" s="7" t="str">
        <x:v>K1234932</x:v>
      </x:c>
      <x:c r="B1497" s="7" t="str">
        <x:v>RS K1234932</x:v>
      </x:c>
      <x:c r="C1497" s="7" t="str">
        <x:v>D</x:v>
      </x:c>
      <x:c r="D1497" s="7" t="str">
        <x:v>SUMEDANG</x:v>
      </x:c>
      <x:c r="E1497" s="8">
        <x:v>4157</x:v>
      </x:c>
      <x:c r="F1497" s="9">
        <x:v>3462781000</x:v>
      </x:c>
      <x:c r="G1497" s="9">
        <x:v>3725224637.64</x:v>
      </x:c>
      <x:c r="H1497" s="10" t="n">
        <x:f>G1497-F1497</x:f>
        <x:v>262443637.63999987</x:v>
      </x:c>
    </x:row>
    <x:row r="1498">
      <x:c r="A1498" s="7" t="str">
        <x:v>K1234958</x:v>
      </x:c>
      <x:c r="B1498" s="7" t="str">
        <x:v>RS K1234958</x:v>
      </x:c>
      <x:c r="C1498" s="7" t="str">
        <x:v>D</x:v>
      </x:c>
      <x:c r="D1498" s="7" t="str">
        <x:v>SUBANG</x:v>
      </x:c>
      <x:c r="E1498" s="8">
        <x:v>27769</x:v>
      </x:c>
      <x:c r="F1498" s="9">
        <x:v>10259504000</x:v>
      </x:c>
      <x:c r="G1498" s="9">
        <x:v>13780748664.180002</x:v>
      </x:c>
      <x:c r="H1498" s="10" t="n">
        <x:f>G1498-F1498</x:f>
        <x:v>3521244664.180002</x:v>
      </x:c>
    </x:row>
    <x:row r="1499">
      <x:c r="A1499" s="7" t="str">
        <x:v>K1234976</x:v>
      </x:c>
      <x:c r="B1499" s="7" t="str">
        <x:v>RS K1234976</x:v>
      </x:c>
      <x:c r="C1499" s="7" t="str">
        <x:v>D</x:v>
      </x:c>
      <x:c r="D1499" s="7" t="str">
        <x:v>KOTA DEPOK</x:v>
      </x:c>
      <x:c r="E1499" s="8">
        <x:v>323</x:v>
      </x:c>
      <x:c r="F1499" s="9">
        <x:v>123071600</x:v>
      </x:c>
      <x:c r="G1499" s="9">
        <x:v>143891423.43</x:v>
      </x:c>
      <x:c r="H1499" s="10" t="n">
        <x:f>G1499-F1499</x:f>
        <x:v>20819823.430000007</x:v>
      </x:c>
    </x:row>
    <x:row r="1500">
      <x:c r="A1500" s="7" t="str">
        <x:v>K1235035</x:v>
      </x:c>
      <x:c r="B1500" s="7" t="str">
        <x:v>RS K1235035</x:v>
      </x:c>
      <x:c r="C1500" s="7" t="str">
        <x:v>D</x:v>
      </x:c>
      <x:c r="D1500" s="7" t="str">
        <x:v>BANDUNG BARAT</x:v>
      </x:c>
      <x:c r="E1500" s="8">
        <x:v>5860</x:v>
      </x:c>
      <x:c r="F1500" s="9">
        <x:v>6085273000</x:v>
      </x:c>
      <x:c r="G1500" s="9">
        <x:v>7892886603.289998</x:v>
      </x:c>
      <x:c r="H1500" s="10" t="n">
        <x:f>G1500-F1500</x:f>
        <x:v>1807613603.289998</x:v>
      </x:c>
    </x:row>
    <x:row r="1501">
      <x:c r="A1501" s="7" t="str">
        <x:v>K1235083</x:v>
      </x:c>
      <x:c r="B1501" s="7" t="str">
        <x:v>RS K1235083</x:v>
      </x:c>
      <x:c r="C1501" s="7" t="str">
        <x:v>D</x:v>
      </x:c>
      <x:c r="D1501" s="7" t="str">
        <x:v>KOTA MAGELANG</x:v>
      </x:c>
      <x:c r="E1501" s="8">
        <x:v>15177</x:v>
      </x:c>
      <x:c r="F1501" s="9">
        <x:v>11446914000</x:v>
      </x:c>
      <x:c r="G1501" s="9">
        <x:v>12308366276.119997</x:v>
      </x:c>
      <x:c r="H1501" s="10" t="n">
        <x:f>G1501-F1501</x:f>
        <x:v>861452276.119997</x:v>
      </x:c>
    </x:row>
    <x:row r="1502">
      <x:c r="A1502" s="7" t="str">
        <x:v>K1235252</x:v>
      </x:c>
      <x:c r="B1502" s="7" t="str">
        <x:v>RS K1235252</x:v>
      </x:c>
      <x:c r="C1502" s="7" t="str">
        <x:v>D</x:v>
      </x:c>
      <x:c r="D1502" s="7" t="str">
        <x:v>KEDIRI</x:v>
      </x:c>
      <x:c r="E1502" s="8">
        <x:v>1767</x:v>
      </x:c>
      <x:c r="F1502" s="9">
        <x:v>936694900</x:v>
      </x:c>
      <x:c r="G1502" s="9">
        <x:v>1301328011.65</x:v>
      </x:c>
      <x:c r="H1502" s="10" t="n">
        <x:f>G1502-F1502</x:f>
        <x:v>364633111.6500001</x:v>
      </x:c>
    </x:row>
    <x:row r="1503">
      <x:c r="A1503" s="7" t="str">
        <x:v>K1235929</x:v>
      </x:c>
      <x:c r="B1503" s="7" t="str">
        <x:v>RS K1235929</x:v>
      </x:c>
      <x:c r="C1503" s="7" t="str">
        <x:v>D</x:v>
      </x:c>
      <x:c r="D1503" s="7" t="str">
        <x:v>PURWOREJO</x:v>
      </x:c>
      <x:c r="E1503" s="8">
        <x:v>5051</x:v>
      </x:c>
      <x:c r="F1503" s="9">
        <x:v>4335082100</x:v>
      </x:c>
      <x:c r="G1503" s="9">
        <x:v>5248442328.579998</x:v>
      </x:c>
      <x:c r="H1503" s="10" t="n">
        <x:f>G1503-F1503</x:f>
        <x:v>913360228.579998</x:v>
      </x:c>
    </x:row>
    <x:row r="1504">
      <x:c r="A1504" s="7" t="str">
        <x:v>K1236049</x:v>
      </x:c>
      <x:c r="B1504" s="7" t="str">
        <x:v>RS K1236049</x:v>
      </x:c>
      <x:c r="C1504" s="7" t="str">
        <x:v>D</x:v>
      </x:c>
      <x:c r="D1504" s="7" t="str">
        <x:v>TASIKMALAYA</x:v>
      </x:c>
      <x:c r="E1504" s="8">
        <x:v>9227</x:v>
      </x:c>
      <x:c r="F1504" s="9">
        <x:v>3303607900</x:v>
      </x:c>
      <x:c r="G1504" s="9">
        <x:v>4334235120.68</x:v>
      </x:c>
      <x:c r="H1504" s="10" t="n">
        <x:f>G1504-F1504</x:f>
        <x:v>1030627220.6800003</x:v>
      </x:c>
    </x:row>
    <x:row r="1505">
      <x:c r="A1505" s="7" t="str">
        <x:v>K1236080</x:v>
      </x:c>
      <x:c r="B1505" s="7" t="str">
        <x:v>RS K1236080</x:v>
      </x:c>
      <x:c r="C1505" s="7" t="str">
        <x:v>D</x:v>
      </x:c>
      <x:c r="D1505" s="7" t="str">
        <x:v>KOTA SURABAYA</x:v>
      </x:c>
      <x:c r="E1505" s="8">
        <x:v>4091</x:v>
      </x:c>
      <x:c r="F1505" s="9">
        <x:v>1132877300</x:v>
      </x:c>
      <x:c r="G1505" s="9">
        <x:v>1391504333.8000002</x:v>
      </x:c>
      <x:c r="H1505" s="10" t="n">
        <x:f>G1505-F1505</x:f>
        <x:v>258627033.8000002</x:v>
      </x:c>
    </x:row>
    <x:row r="1506">
      <x:c r="A1506" s="7" t="str">
        <x:v>K1236408</x:v>
      </x:c>
      <x:c r="B1506" s="7" t="str">
        <x:v>RS K1236408</x:v>
      </x:c>
      <x:c r="C1506" s="7" t="str">
        <x:v>D</x:v>
      </x:c>
      <x:c r="D1506" s="7" t="str">
        <x:v>PAMEKASAN</x:v>
      </x:c>
      <x:c r="E1506" s="8">
        <x:v>3797</x:v>
      </x:c>
      <x:c r="F1506" s="9">
        <x:v>2281946000</x:v>
      </x:c>
      <x:c r="G1506" s="9">
        <x:v>3010402103.74</x:v>
      </x:c>
      <x:c r="H1506" s="10" t="n">
        <x:f>G1506-F1506</x:f>
        <x:v>728456103.7399998</x:v>
      </x:c>
    </x:row>
    <x:row r="1507">
      <x:c r="A1507" s="7" t="str">
        <x:v>K1236487</x:v>
      </x:c>
      <x:c r="B1507" s="7" t="str">
        <x:v>RS K1236487</x:v>
      </x:c>
      <x:c r="C1507" s="7" t="str">
        <x:v>D</x:v>
      </x:c>
      <x:c r="D1507" s="7" t="str">
        <x:v>KOTA SUKABUMI</x:v>
      </x:c>
      <x:c r="E1507" s="8">
        <x:v>448</x:v>
      </x:c>
      <x:c r="F1507" s="9">
        <x:v>107181600</x:v>
      </x:c>
      <x:c r="G1507" s="9">
        <x:v>125398775.86999999</x:v>
      </x:c>
      <x:c r="H1507" s="10" t="n">
        <x:f>G1507-F1507</x:f>
        <x:v>18217175.86999999</x:v>
      </x:c>
    </x:row>
    <x:row r="1508">
      <x:c r="A1508" s="7" t="str">
        <x:v>K1236595</x:v>
      </x:c>
      <x:c r="B1508" s="7" t="str">
        <x:v>RS K1236595</x:v>
      </x:c>
      <x:c r="C1508" s="7" t="str">
        <x:v>D</x:v>
      </x:c>
      <x:c r="D1508" s="7" t="str">
        <x:v>KOTA MAGELANG</x:v>
      </x:c>
      <x:c r="E1508" s="8">
        <x:v>2374</x:v>
      </x:c>
      <x:c r="F1508" s="9">
        <x:v>507845200</x:v>
      </x:c>
      <x:c r="G1508" s="9">
        <x:v>580359624.1600001</x:v>
      </x:c>
      <x:c r="H1508" s="10" t="n">
        <x:f>G1508-F1508</x:f>
        <x:v>72514424.16000009</x:v>
      </x:c>
    </x:row>
    <x:row r="1509">
      <x:c r="A1509" s="7" t="str">
        <x:v>K1236718</x:v>
      </x:c>
      <x:c r="B1509" s="7" t="str">
        <x:v>RS K1236718</x:v>
      </x:c>
      <x:c r="C1509" s="7" t="str">
        <x:v>D</x:v>
      </x:c>
      <x:c r="D1509" s="7" t="str">
        <x:v>MALANG</x:v>
      </x:c>
      <x:c r="E1509" s="8">
        <x:v>5608</x:v>
      </x:c>
      <x:c r="F1509" s="9">
        <x:v>2345312600</x:v>
      </x:c>
      <x:c r="G1509" s="9">
        <x:v>3059723443.6699996</x:v>
      </x:c>
      <x:c r="H1509" s="10" t="n">
        <x:f>G1509-F1509</x:f>
        <x:v>714410843.6699996</x:v>
      </x:c>
    </x:row>
    <x:row r="1510">
      <x:c r="A1510" s="7" t="str">
        <x:v>K1236856</x:v>
      </x:c>
      <x:c r="B1510" s="7" t="str">
        <x:v>RS K1236856</x:v>
      </x:c>
      <x:c r="C1510" s="7" t="str">
        <x:v>D</x:v>
      </x:c>
      <x:c r="D1510" s="7" t="str">
        <x:v>SUMENEP</x:v>
      </x:c>
      <x:c r="E1510" s="8">
        <x:v>2315</x:v>
      </x:c>
      <x:c r="F1510" s="9">
        <x:v>3246541200</x:v>
      </x:c>
      <x:c r="G1510" s="9">
        <x:v>4754729164.560002</x:v>
      </x:c>
      <x:c r="H1510" s="10" t="n">
        <x:f>G1510-F1510</x:f>
        <x:v>1508187964.5600023</x:v>
      </x:c>
    </x:row>
    <x:row r="1511">
      <x:c r="A1511" s="7" t="str">
        <x:v>K1236952</x:v>
      </x:c>
      <x:c r="B1511" s="7" t="str">
        <x:v>RS K1236952</x:v>
      </x:c>
      <x:c r="C1511" s="7" t="str">
        <x:v>D</x:v>
      </x:c>
      <x:c r="D1511" s="7" t="str">
        <x:v>BANDUNG BARAT</x:v>
      </x:c>
      <x:c r="E1511" s="8">
        <x:v>6138</x:v>
      </x:c>
      <x:c r="F1511" s="9">
        <x:v>4105860700</x:v>
      </x:c>
      <x:c r="G1511" s="9">
        <x:v>4514172540.16</x:v>
      </x:c>
      <x:c r="H1511" s="10" t="n">
        <x:f>G1511-F1511</x:f>
        <x:v>408311840.15999985</x:v>
      </x:c>
    </x:row>
    <x:row r="1512">
      <x:c r="A1512" s="7" t="str">
        <x:v>K1237215</x:v>
      </x:c>
      <x:c r="B1512" s="7" t="str">
        <x:v>RS K1237215</x:v>
      </x:c>
      <x:c r="C1512" s="7" t="str">
        <x:v>D</x:v>
      </x:c>
      <x:c r="D1512" s="7" t="str">
        <x:v>CIREBON</x:v>
      </x:c>
      <x:c r="E1512" s="8">
        <x:v>5462</x:v>
      </x:c>
      <x:c r="F1512" s="9">
        <x:v>1815010200</x:v>
      </x:c>
      <x:c r="G1512" s="9">
        <x:v>2302284152.1000004</x:v>
      </x:c>
      <x:c r="H1512" s="10" t="n">
        <x:f>G1512-F1512</x:f>
        <x:v>487273952.1000004</x:v>
      </x:c>
    </x:row>
    <x:row r="1513">
      <x:c r="A1513" s="7" t="str">
        <x:v>K1237254</x:v>
      </x:c>
      <x:c r="B1513" s="7" t="str">
        <x:v>RS K1237254</x:v>
      </x:c>
      <x:c r="C1513" s="7" t="str">
        <x:v>D</x:v>
      </x:c>
      <x:c r="D1513" s="7" t="str">
        <x:v>CIAMIS</x:v>
      </x:c>
      <x:c r="E1513" s="8">
        <x:v>6237</x:v>
      </x:c>
      <x:c r="F1513" s="9">
        <x:v>3309097800</x:v>
      </x:c>
      <x:c r="G1513" s="9">
        <x:v>3672165510.8599997</x:v>
      </x:c>
      <x:c r="H1513" s="10" t="n">
        <x:f>G1513-F1513</x:f>
        <x:v>363067710.85999966</x:v>
      </x:c>
    </x:row>
    <x:row r="1514">
      <x:c r="A1514" s="7" t="str">
        <x:v>K1237357</x:v>
      </x:c>
      <x:c r="B1514" s="7" t="str">
        <x:v>RS K1237357</x:v>
      </x:c>
      <x:c r="C1514" s="7" t="str">
        <x:v>D</x:v>
      </x:c>
      <x:c r="D1514" s="7" t="str">
        <x:v>KOTA CIMAHI</x:v>
      </x:c>
      <x:c r="E1514" s="8">
        <x:v>10148</x:v>
      </x:c>
      <x:c r="F1514" s="9">
        <x:v>2094577900</x:v>
      </x:c>
      <x:c r="G1514" s="9">
        <x:v>2451487868.7000012</x:v>
      </x:c>
      <x:c r="H1514" s="10" t="n">
        <x:f>G1514-F1514</x:f>
        <x:v>356909968.70000124</x:v>
      </x:c>
    </x:row>
    <x:row r="1515">
      <x:c r="A1515" s="7" t="str">
        <x:v>K1237398</x:v>
      </x:c>
      <x:c r="B1515" s="7" t="str">
        <x:v>RS K1237398</x:v>
      </x:c>
      <x:c r="C1515" s="7" t="str">
        <x:v>D</x:v>
      </x:c>
      <x:c r="D1515" s="7" t="str">
        <x:v>TASIKMALAYA</x:v>
      </x:c>
      <x:c r="E1515" s="8">
        <x:v>1328</x:v>
      </x:c>
      <x:c r="F1515" s="9">
        <x:v>1387751500</x:v>
      </x:c>
      <x:c r="G1515" s="9">
        <x:v>2067040168.79</x:v>
      </x:c>
      <x:c r="H1515" s="10" t="n">
        <x:f>G1515-F1515</x:f>
        <x:v>679288668.79</x:v>
      </x:c>
    </x:row>
    <x:row r="1516">
      <x:c r="A1516" s="7" t="str">
        <x:v>K1237472</x:v>
      </x:c>
      <x:c r="B1516" s="7" t="str">
        <x:v>RS K1237472</x:v>
      </x:c>
      <x:c r="C1516" s="7" t="str">
        <x:v>D</x:v>
      </x:c>
      <x:c r="D1516" s="7" t="str">
        <x:v>CIAMIS</x:v>
      </x:c>
      <x:c r="E1516" s="8">
        <x:v>2122</x:v>
      </x:c>
      <x:c r="F1516" s="9">
        <x:v>1571995400</x:v>
      </x:c>
      <x:c r="G1516" s="9">
        <x:v>2292515590.0099998</x:v>
      </x:c>
      <x:c r="H1516" s="10" t="n">
        <x:f>G1516-F1516</x:f>
        <x:v>720520190.0099998</x:v>
      </x:c>
    </x:row>
    <x:row r="1517">
      <x:c r="A1517" s="7" t="str">
        <x:v>K1237500</x:v>
      </x:c>
      <x:c r="B1517" s="7" t="str">
        <x:v>RS K1237500</x:v>
      </x:c>
      <x:c r="C1517" s="7" t="str">
        <x:v>D</x:v>
      </x:c>
      <x:c r="D1517" s="7" t="str">
        <x:v>SUKABUMI</x:v>
      </x:c>
      <x:c r="E1517" s="8">
        <x:v>910</x:v>
      </x:c>
      <x:c r="F1517" s="9">
        <x:v>527444800</x:v>
      </x:c>
      <x:c r="G1517" s="9">
        <x:v>642360870.98</x:v>
      </x:c>
      <x:c r="H1517" s="10" t="n">
        <x:f>G1517-F1517</x:f>
        <x:v>114916070.98000002</x:v>
      </x:c>
    </x:row>
    <x:row r="1518">
      <x:c r="A1518" s="7" t="str">
        <x:v>K1237935</x:v>
      </x:c>
      <x:c r="B1518" s="7" t="str">
        <x:v>RS K1237935</x:v>
      </x:c>
      <x:c r="C1518" s="7" t="str">
        <x:v>D</x:v>
      </x:c>
      <x:c r="D1518" s="7" t="str">
        <x:v>KARAWANG</x:v>
      </x:c>
      <x:c r="E1518" s="8">
        <x:v>3857</x:v>
      </x:c>
      <x:c r="F1518" s="9">
        <x:v>5075160200</x:v>
      </x:c>
      <x:c r="G1518" s="9">
        <x:v>7222895476.830001</x:v>
      </x:c>
      <x:c r="H1518" s="10" t="n">
        <x:f>G1518-F1518</x:f>
        <x:v>2147735276.830001</x:v>
      </x:c>
    </x:row>
    <x:row r="1519">
      <x:c r="A1519" s="7" t="str">
        <x:v>K1237986</x:v>
      </x:c>
      <x:c r="B1519" s="7" t="str">
        <x:v>RS K1237986</x:v>
      </x:c>
      <x:c r="C1519" s="7" t="str">
        <x:v>D</x:v>
      </x:c>
      <x:c r="D1519" s="7" t="str">
        <x:v>KOTA SURABAYA</x:v>
      </x:c>
      <x:c r="E1519" s="8">
        <x:v>1206</x:v>
      </x:c>
      <x:c r="F1519" s="9">
        <x:v>178310800</x:v>
      </x:c>
      <x:c r="G1519" s="9">
        <x:v>270436546.85999995</x:v>
      </x:c>
      <x:c r="H1519" s="10" t="n">
        <x:f>G1519-F1519</x:f>
        <x:v>92125746.85999995</x:v>
      </x:c>
    </x:row>
    <x:row r="1520">
      <x:c r="A1520" s="7" t="str">
        <x:v>K1238056</x:v>
      </x:c>
      <x:c r="B1520" s="7" t="str">
        <x:v>RS K1238056</x:v>
      </x:c>
      <x:c r="C1520" s="7" t="str">
        <x:v>D</x:v>
      </x:c>
      <x:c r="D1520" s="7" t="str">
        <x:v>BANDUNG</x:v>
      </x:c>
      <x:c r="E1520" s="8">
        <x:v>13137</x:v>
      </x:c>
      <x:c r="F1520" s="9">
        <x:v>4679127400</x:v>
      </x:c>
      <x:c r="G1520" s="9">
        <x:v>6416745654.2300005</x:v>
      </x:c>
      <x:c r="H1520" s="10" t="n">
        <x:f>G1520-F1520</x:f>
        <x:v>1737618254.2300005</x:v>
      </x:c>
    </x:row>
    <x:row r="1521">
      <x:c r="A1521" s="7" t="str">
        <x:v>K1238132</x:v>
      </x:c>
      <x:c r="B1521" s="7" t="str">
        <x:v>RS K1238132</x:v>
      </x:c>
      <x:c r="C1521" s="7" t="str">
        <x:v>D</x:v>
      </x:c>
      <x:c r="D1521" s="7" t="str">
        <x:v>SUMENEP</x:v>
      </x:c>
      <x:c r="E1521" s="8">
        <x:v>8928</x:v>
      </x:c>
      <x:c r="F1521" s="9">
        <x:v>6282748000</x:v>
      </x:c>
      <x:c r="G1521" s="9">
        <x:v>8488738271.26</x:v>
      </x:c>
      <x:c r="H1521" s="10" t="n">
        <x:f>G1521-F1521</x:f>
        <x:v>2205990271.26</x:v>
      </x:c>
    </x:row>
    <x:row r="1522">
      <x:c r="A1522" s="7" t="str">
        <x:v>K1238168</x:v>
      </x:c>
      <x:c r="B1522" s="7" t="str">
        <x:v>RS K1238168</x:v>
      </x:c>
      <x:c r="C1522" s="7" t="str">
        <x:v>D</x:v>
      </x:c>
      <x:c r="D1522" s="7" t="str">
        <x:v>KOTA BANDUNG</x:v>
      </x:c>
      <x:c r="E1522" s="8">
        <x:v>18896</x:v>
      </x:c>
      <x:c r="F1522" s="9">
        <x:v>10857877700</x:v>
      </x:c>
      <x:c r="G1522" s="9">
        <x:v>12472891108.010006</x:v>
      </x:c>
      <x:c r="H1522" s="10" t="n">
        <x:f>G1522-F1522</x:f>
        <x:v>1615013408.010006</x:v>
      </x:c>
    </x:row>
    <x:row r="1523">
      <x:c r="A1523" s="7" t="str">
        <x:v>K1238199</x:v>
      </x:c>
      <x:c r="B1523" s="7" t="str">
        <x:v>RS K1238199</x:v>
      </x:c>
      <x:c r="C1523" s="7" t="str">
        <x:v>D</x:v>
      </x:c>
      <x:c r="D1523" s="7" t="str">
        <x:v>GARUT</x:v>
      </x:c>
      <x:c r="E1523" s="8">
        <x:v>1641</x:v>
      </x:c>
      <x:c r="F1523" s="9">
        <x:v>1231857600</x:v>
      </x:c>
      <x:c r="G1523" s="9">
        <x:v>1743231672.809999</x:v>
      </x:c>
      <x:c r="H1523" s="10" t="n">
        <x:f>G1523-F1523</x:f>
        <x:v>511374072.809999</x:v>
      </x:c>
    </x:row>
    <x:row r="1524">
      <x:c r="A1524" s="7" t="str">
        <x:v>K1238392</x:v>
      </x:c>
      <x:c r="B1524" s="7" t="str">
        <x:v>RS K1238392</x:v>
      </x:c>
      <x:c r="C1524" s="7" t="str">
        <x:v>D</x:v>
      </x:c>
      <x:c r="D1524" s="7" t="str">
        <x:v>KOTA SURABAYA</x:v>
      </x:c>
      <x:c r="E1524" s="8">
        <x:v>128</x:v>
      </x:c>
      <x:c r="F1524" s="9">
        <x:v>26953300</x:v>
      </x:c>
      <x:c r="G1524" s="9">
        <x:v>32840889.53</x:v>
      </x:c>
      <x:c r="H1524" s="10" t="n">
        <x:f>G1524-F1524</x:f>
        <x:v>5887589.530000001</x:v>
      </x:c>
    </x:row>
    <x:row r="1525">
      <x:c r="A1525" s="7" t="str">
        <x:v>K1238395</x:v>
      </x:c>
      <x:c r="B1525" s="7" t="str">
        <x:v>RS K1238395</x:v>
      </x:c>
      <x:c r="C1525" s="7" t="str">
        <x:v>D</x:v>
      </x:c>
      <x:c r="D1525" s="7" t="str">
        <x:v>BANDUNG</x:v>
      </x:c>
      <x:c r="E1525" s="8">
        <x:v>77</x:v>
      </x:c>
      <x:c r="F1525" s="9">
        <x:v>19736300</x:v>
      </x:c>
      <x:c r="G1525" s="9">
        <x:v>23482750.549999997</x:v>
      </x:c>
      <x:c r="H1525" s="10" t="n">
        <x:f>G1525-F1525</x:f>
        <x:v>3746450.549999997</x:v>
      </x:c>
    </x:row>
    <x:row r="1526">
      <x:c r="A1526" s="7" t="str">
        <x:v>K1238411</x:v>
      </x:c>
      <x:c r="B1526" s="7" t="str">
        <x:v>RS K1238411</x:v>
      </x:c>
      <x:c r="C1526" s="7" t="str">
        <x:v>D</x:v>
      </x:c>
      <x:c r="D1526" s="7" t="str">
        <x:v>MALANG</x:v>
      </x:c>
      <x:c r="E1526" s="8">
        <x:v>529</x:v>
      </x:c>
      <x:c r="F1526" s="9">
        <x:v>544850500</x:v>
      </x:c>
      <x:c r="G1526" s="9">
        <x:v>771958247.9600003</x:v>
      </x:c>
      <x:c r="H1526" s="10" t="n">
        <x:f>G1526-F1526</x:f>
        <x:v>227107747.96000028</x:v>
      </x:c>
    </x:row>
    <x:row r="1527">
      <x:c r="A1527" s="7" t="str">
        <x:v>K1238492</x:v>
      </x:c>
      <x:c r="B1527" s="7" t="str">
        <x:v>RS K1238492</x:v>
      </x:c>
      <x:c r="C1527" s="7" t="str">
        <x:v>D</x:v>
      </x:c>
      <x:c r="D1527" s="7" t="str">
        <x:v>CIANJUR</x:v>
      </x:c>
      <x:c r="E1527" s="8">
        <x:v>11190</x:v>
      </x:c>
      <x:c r="F1527" s="9">
        <x:v>5554378300</x:v>
      </x:c>
      <x:c r="G1527" s="9">
        <x:v>8977851282.809998</x:v>
      </x:c>
      <x:c r="H1527" s="10" t="n">
        <x:f>G1527-F1527</x:f>
        <x:v>3423472982.8099976</x:v>
      </x:c>
    </x:row>
    <x:row r="1528">
      <x:c r="A1528" s="7" t="str">
        <x:v>K1238494</x:v>
      </x:c>
      <x:c r="B1528" s="7" t="str">
        <x:v>RS K1238494</x:v>
      </x:c>
      <x:c r="C1528" s="7" t="str">
        <x:v>D</x:v>
      </x:c>
      <x:c r="D1528" s="7" t="str">
        <x:v>MAGELANG</x:v>
      </x:c>
      <x:c r="E1528" s="8">
        <x:v>5276</x:v>
      </x:c>
      <x:c r="F1528" s="9">
        <x:v>3372168600</x:v>
      </x:c>
      <x:c r="G1528" s="9">
        <x:v>4497165766.660002</x:v>
      </x:c>
      <x:c r="H1528" s="10" t="n">
        <x:f>G1528-F1528</x:f>
        <x:v>1124997166.6600018</x:v>
      </x:c>
    </x:row>
    <x:row r="1529">
      <x:c r="A1529" s="7" t="str">
        <x:v>K1238733</x:v>
      </x:c>
      <x:c r="B1529" s="7" t="str">
        <x:v>RS K1238733</x:v>
      </x:c>
      <x:c r="C1529" s="7" t="str">
        <x:v>D</x:v>
      </x:c>
      <x:c r="D1529" s="7" t="str">
        <x:v>BOGOR</x:v>
      </x:c>
      <x:c r="E1529" s="8">
        <x:v>195</x:v>
      </x:c>
      <x:c r="F1529" s="9">
        <x:v>293698600</x:v>
      </x:c>
      <x:c r="G1529" s="9">
        <x:v>362233468.71999997</x:v>
      </x:c>
      <x:c r="H1529" s="10" t="n">
        <x:f>G1529-F1529</x:f>
        <x:v>68534868.71999997</x:v>
      </x:c>
    </x:row>
    <x:row r="1530">
      <x:c r="A1530" s="7" t="str">
        <x:v>K1238787</x:v>
      </x:c>
      <x:c r="B1530" s="7" t="str">
        <x:v>RS K1238787</x:v>
      </x:c>
      <x:c r="C1530" s="7" t="str">
        <x:v>D</x:v>
      </x:c>
      <x:c r="D1530" s="7" t="str">
        <x:v>GRESIK</x:v>
      </x:c>
      <x:c r="E1530" s="8">
        <x:v>5139</x:v>
      </x:c>
      <x:c r="F1530" s="9">
        <x:v>3495886200</x:v>
      </x:c>
      <x:c r="G1530" s="9">
        <x:v>5440681596.540001</x:v>
      </x:c>
      <x:c r="H1530" s="10" t="n">
        <x:f>G1530-F1530</x:f>
        <x:v>1944795396.540001</x:v>
      </x:c>
    </x:row>
    <x:row r="1531">
      <x:c r="A1531" s="7" t="str">
        <x:v>K1238824</x:v>
      </x:c>
      <x:c r="B1531" s="7" t="str">
        <x:v>RS K1238824</x:v>
      </x:c>
      <x:c r="C1531" s="7" t="str">
        <x:v>D</x:v>
      </x:c>
      <x:c r="D1531" s="7" t="str">
        <x:v>BOGOR</x:v>
      </x:c>
      <x:c r="E1531" s="8">
        <x:v>10223</x:v>
      </x:c>
      <x:c r="F1531" s="9">
        <x:v>4504446700</x:v>
      </x:c>
      <x:c r="G1531" s="9">
        <x:v>5603874084.659999</x:v>
      </x:c>
      <x:c r="H1531" s="10" t="n">
        <x:f>G1531-F1531</x:f>
        <x:v>1099427384.659999</x:v>
      </x:c>
    </x:row>
    <x:row r="1532">
      <x:c r="A1532" s="7" t="str">
        <x:v>K1238862</x:v>
      </x:c>
      <x:c r="B1532" s="7" t="str">
        <x:v>RS K1238862</x:v>
      </x:c>
      <x:c r="C1532" s="7" t="str">
        <x:v>D</x:v>
      </x:c>
      <x:c r="D1532" s="7" t="str">
        <x:v>KEDIRI</x:v>
      </x:c>
      <x:c r="E1532" s="8">
        <x:v>414</x:v>
      </x:c>
      <x:c r="F1532" s="9">
        <x:v>227765800</x:v>
      </x:c>
      <x:c r="G1532" s="9">
        <x:v>262892508.37</x:v>
      </x:c>
      <x:c r="H1532" s="10" t="n">
        <x:f>G1532-F1532</x:f>
        <x:v>35126708.370000005</x:v>
      </x:c>
    </x:row>
    <x:row r="1533">
      <x:c r="A1533" s="7" t="str">
        <x:v>K1239005</x:v>
      </x:c>
      <x:c r="B1533" s="7" t="str">
        <x:v>RS K1239005</x:v>
      </x:c>
      <x:c r="C1533" s="7" t="str">
        <x:v>D</x:v>
      </x:c>
      <x:c r="D1533" s="7" t="str">
        <x:v>GARUT</x:v>
      </x:c>
      <x:c r="E1533" s="8">
        <x:v>6895</x:v>
      </x:c>
      <x:c r="F1533" s="9">
        <x:v>4808130700</x:v>
      </x:c>
      <x:c r="G1533" s="9">
        <x:v>5519873350.0199995</x:v>
      </x:c>
      <x:c r="H1533" s="10" t="n">
        <x:f>G1533-F1533</x:f>
        <x:v>711742650.0199995</x:v>
      </x:c>
    </x:row>
    <x:row r="1534">
      <x:c r="A1534" s="7" t="str">
        <x:v>K1239006</x:v>
      </x:c>
      <x:c r="B1534" s="7" t="str">
        <x:v>RS K1239006</x:v>
      </x:c>
      <x:c r="C1534" s="7" t="str">
        <x:v>D</x:v>
      </x:c>
      <x:c r="D1534" s="7" t="str">
        <x:v>BOGOR</x:v>
      </x:c>
      <x:c r="E1534" s="8">
        <x:v>934</x:v>
      </x:c>
      <x:c r="F1534" s="9">
        <x:v>551738700</x:v>
      </x:c>
      <x:c r="G1534" s="9">
        <x:v>767989484.7</x:v>
      </x:c>
      <x:c r="H1534" s="10" t="n">
        <x:f>G1534-F1534</x:f>
        <x:v>216250784.70000005</x:v>
      </x:c>
    </x:row>
    <x:row r="1535">
      <x:c r="A1535" s="7" t="str">
        <x:v>K1239091</x:v>
      </x:c>
      <x:c r="B1535" s="7" t="str">
        <x:v>RS K1239091</x:v>
      </x:c>
      <x:c r="C1535" s="7" t="str">
        <x:v>D</x:v>
      </x:c>
      <x:c r="D1535" s="7" t="str">
        <x:v>PURWAKARTA</x:v>
      </x:c>
      <x:c r="E1535" s="8">
        <x:v>17449</x:v>
      </x:c>
      <x:c r="F1535" s="9">
        <x:v>7318031400</x:v>
      </x:c>
      <x:c r="G1535" s="9">
        <x:v>9115090097.509998</x:v>
      </x:c>
      <x:c r="H1535" s="10" t="n">
        <x:f>G1535-F1535</x:f>
        <x:v>1797058697.5099983</x:v>
      </x:c>
    </x:row>
    <x:row r="1536">
      <x:c r="A1536" s="7" t="str">
        <x:v>K1239241</x:v>
      </x:c>
      <x:c r="B1536" s="7" t="str">
        <x:v>RS K1239241</x:v>
      </x:c>
      <x:c r="C1536" s="7" t="str">
        <x:v>D</x:v>
      </x:c>
      <x:c r="D1536" s="7" t="str">
        <x:v>BATANG</x:v>
      </x:c>
      <x:c r="E1536" s="8">
        <x:v>1664</x:v>
      </x:c>
      <x:c r="F1536" s="9">
        <x:v>1588692600</x:v>
      </x:c>
      <x:c r="G1536" s="9">
        <x:v>3161171780.79</x:v>
      </x:c>
      <x:c r="H1536" s="10" t="n">
        <x:f>G1536-F1536</x:f>
        <x:v>1572479180.79</x:v>
      </x:c>
    </x:row>
    <x:row r="1537">
      <x:c r="A1537" s="7" t="str">
        <x:v>K1239274</x:v>
      </x:c>
      <x:c r="B1537" s="7" t="str">
        <x:v>RS K1239274</x:v>
      </x:c>
      <x:c r="C1537" s="7" t="str">
        <x:v>D</x:v>
      </x:c>
      <x:c r="D1537" s="7" t="str">
        <x:v>BANDUNG</x:v>
      </x:c>
      <x:c r="E1537" s="8">
        <x:v>686</x:v>
      </x:c>
      <x:c r="F1537" s="9">
        <x:v>379458900</x:v>
      </x:c>
      <x:c r="G1537" s="9">
        <x:v>478359121.5300001</x:v>
      </x:c>
      <x:c r="H1537" s="10" t="n">
        <x:f>G1537-F1537</x:f>
        <x:v>98900221.53000009</x:v>
      </x:c>
    </x:row>
    <x:row r="1538">
      <x:c r="A1538" s="7" t="str">
        <x:v>K1239353</x:v>
      </x:c>
      <x:c r="B1538" s="7" t="str">
        <x:v>RS K1239353</x:v>
      </x:c>
      <x:c r="C1538" s="7" t="str">
        <x:v>D</x:v>
      </x:c>
      <x:c r="D1538" s="7" t="str">
        <x:v>KOTA PASURUAN</x:v>
      </x:c>
      <x:c r="E1538" s="8">
        <x:v>1093</x:v>
      </x:c>
      <x:c r="F1538" s="9">
        <x:v>1586333900</x:v>
      </x:c>
      <x:c r="G1538" s="9">
        <x:v>2054276980.1199992</x:v>
      </x:c>
      <x:c r="H1538" s="10" t="n">
        <x:f>G1538-F1538</x:f>
        <x:v>467943080.1199992</x:v>
      </x:c>
    </x:row>
    <x:row r="1539">
      <x:c r="A1539" s="7" t="str">
        <x:v>K1239409</x:v>
      </x:c>
      <x:c r="B1539" s="7" t="str">
        <x:v>RS K1239409</x:v>
      </x:c>
      <x:c r="C1539" s="7" t="str">
        <x:v>D</x:v>
      </x:c>
      <x:c r="D1539" s="7" t="str">
        <x:v>SAMPANG</x:v>
      </x:c>
      <x:c r="E1539" s="8">
        <x:v>6175</x:v>
      </x:c>
      <x:c r="F1539" s="9">
        <x:v>3529792100</x:v>
      </x:c>
      <x:c r="G1539" s="9">
        <x:v>4749400005.15</x:v>
      </x:c>
      <x:c r="H1539" s="10" t="n">
        <x:f>G1539-F1539</x:f>
        <x:v>1219607905.1499996</x:v>
      </x:c>
    </x:row>
    <x:row r="1540">
      <x:c r="A1540" s="7" t="str">
        <x:v>K1239505</x:v>
      </x:c>
      <x:c r="B1540" s="7" t="str">
        <x:v>RS K1239505</x:v>
      </x:c>
      <x:c r="C1540" s="7" t="str">
        <x:v>D</x:v>
      </x:c>
      <x:c r="D1540" s="7" t="str">
        <x:v>CIREBON</x:v>
      </x:c>
      <x:c r="E1540" s="8">
        <x:v>2465</x:v>
      </x:c>
      <x:c r="F1540" s="9">
        <x:v>1372793900</x:v>
      </x:c>
      <x:c r="G1540" s="9">
        <x:v>1610457733.6699998</x:v>
      </x:c>
      <x:c r="H1540" s="10" t="n">
        <x:f>G1540-F1540</x:f>
        <x:v>237663833.66999984</x:v>
      </x:c>
    </x:row>
    <x:row r="1541">
      <x:c r="A1541" s="7" t="str">
        <x:v>K1239838</x:v>
      </x:c>
      <x:c r="B1541" s="7" t="str">
        <x:v>RS K1239838</x:v>
      </x:c>
      <x:c r="C1541" s="7" t="str">
        <x:v>D</x:v>
      </x:c>
      <x:c r="D1541" s="7" t="str">
        <x:v>GARUT</x:v>
      </x:c>
      <x:c r="E1541" s="8">
        <x:v>17023</x:v>
      </x:c>
      <x:c r="F1541" s="9">
        <x:v>6741557800</x:v>
      </x:c>
      <x:c r="G1541" s="9">
        <x:v>9789503426.489996</x:v>
      </x:c>
      <x:c r="H1541" s="10" t="n">
        <x:f>G1541-F1541</x:f>
        <x:v>3047945626.489996</x:v>
      </x:c>
    </x:row>
    <x:row r="1542">
      <x:c r="A1542" s="7" t="str">
        <x:v>K1239933</x:v>
      </x:c>
      <x:c r="B1542" s="7" t="str">
        <x:v>RS K1239933</x:v>
      </x:c>
      <x:c r="C1542" s="7" t="str">
        <x:v>D</x:v>
      </x:c>
      <x:c r="D1542" s="7" t="str">
        <x:v>SUMEDANG</x:v>
      </x:c>
      <x:c r="E1542" s="8">
        <x:v>5539</x:v>
      </x:c>
      <x:c r="F1542" s="9">
        <x:v>1169251100</x:v>
      </x:c>
      <x:c r="G1542" s="9">
        <x:v>1408822622.2599998</x:v>
      </x:c>
      <x:c r="H1542" s="10" t="n">
        <x:f>G1542-F1542</x:f>
        <x:v>239571522.25999975</x:v>
      </x:c>
    </x:row>
    <x:row r="1543">
      <x:c r="A1543" s="7" t="str">
        <x:v>K1250027</x:v>
      </x:c>
      <x:c r="B1543" s="7" t="str">
        <x:v>RS K1250027</x:v>
      </x:c>
      <x:c r="C1543" s="7" t="str">
        <x:v>D</x:v>
      </x:c>
      <x:c r="D1543" s="7" t="str">
        <x:v>KOTA DENPASAR</x:v>
      </x:c>
      <x:c r="E1543" s="8">
        <x:v>207</x:v>
      </x:c>
      <x:c r="F1543" s="9">
        <x:v>41646700</x:v>
      </x:c>
      <x:c r="G1543" s="9">
        <x:v>48210742.559999995</x:v>
      </x:c>
      <x:c r="H1543" s="10" t="n">
        <x:f>G1543-F1543</x:f>
        <x:v>6564042.559999995</x:v>
      </x:c>
    </x:row>
    <x:row r="1544">
      <x:c r="A1544" s="7" t="str">
        <x:v>K1250030</x:v>
      </x:c>
      <x:c r="B1544" s="7" t="str">
        <x:v>RS K1250030</x:v>
      </x:c>
      <x:c r="C1544" s="7" t="str">
        <x:v>D</x:v>
      </x:c>
      <x:c r="D1544" s="7" t="str">
        <x:v>KOTA DENPASAR</x:v>
      </x:c>
      <x:c r="E1544" s="8">
        <x:v>47</x:v>
      </x:c>
      <x:c r="F1544" s="9">
        <x:v>11413600</x:v>
      </x:c>
      <x:c r="G1544" s="9">
        <x:v>12865987.399999999</x:v>
      </x:c>
      <x:c r="H1544" s="10" t="n">
        <x:f>G1544-F1544</x:f>
        <x:v>1452387.3999999985</x:v>
      </x:c>
    </x:row>
    <x:row r="1545">
      <x:c r="A1545" s="7" t="str">
        <x:v>K1250201</x:v>
      </x:c>
      <x:c r="B1545" s="7" t="str">
        <x:v>RS K1250201</x:v>
      </x:c>
      <x:c r="C1545" s="7" t="str">
        <x:v>D</x:v>
      </x:c>
      <x:c r="D1545" s="7" t="str">
        <x:v>BADUNG</x:v>
      </x:c>
      <x:c r="E1545" s="8">
        <x:v>410</x:v>
      </x:c>
      <x:c r="F1545" s="9">
        <x:v>126130700</x:v>
      </x:c>
      <x:c r="G1545" s="9">
        <x:v>153557764.42000002</x:v>
      </x:c>
      <x:c r="H1545" s="10" t="n">
        <x:f>G1545-F1545</x:f>
        <x:v>27427064.420000017</x:v>
      </x:c>
    </x:row>
    <x:row r="1546">
      <x:c r="A1546" s="7" t="str">
        <x:v>K1250398</x:v>
      </x:c>
      <x:c r="B1546" s="7" t="str">
        <x:v>RS K1250398</x:v>
      </x:c>
      <x:c r="C1546" s="7" t="str">
        <x:v>D</x:v>
      </x:c>
      <x:c r="D1546" s="7" t="str">
        <x:v>BULELENG</x:v>
      </x:c>
      <x:c r="E1546" s="8">
        <x:v>24807</x:v>
      </x:c>
      <x:c r="F1546" s="9">
        <x:v>3536505500</x:v>
      </x:c>
      <x:c r="G1546" s="9">
        <x:v>4737791119.24</x:v>
      </x:c>
      <x:c r="H1546" s="10" t="n">
        <x:f>G1546-F1546</x:f>
        <x:v>1201285619.2399998</x:v>
      </x:c>
    </x:row>
    <x:row r="1547">
      <x:c r="A1547" s="7" t="str">
        <x:v>K1250532</x:v>
      </x:c>
      <x:c r="B1547" s="7" t="str">
        <x:v>RS K1250532</x:v>
      </x:c>
      <x:c r="C1547" s="7" t="str">
        <x:v>D</x:v>
      </x:c>
      <x:c r="D1547" s="7" t="str">
        <x:v>KOTA DENPASAR</x:v>
      </x:c>
      <x:c r="E1547" s="8">
        <x:v>4</x:v>
      </x:c>
      <x:c r="F1547" s="9">
        <x:v>2248800</x:v>
      </x:c>
      <x:c r="G1547" s="9">
        <x:v>2367730.8</x:v>
      </x:c>
      <x:c r="H1547" s="10" t="n">
        <x:f>G1547-F1547</x:f>
        <x:v>118930.79999999981</x:v>
      </x:c>
    </x:row>
    <x:row r="1548">
      <x:c r="A1548" s="7" t="str">
        <x:v>K1302001</x:v>
      </x:c>
      <x:c r="B1548" s="7" t="str">
        <x:v>RS K1302001</x:v>
      </x:c>
      <x:c r="C1548" s="7" t="str">
        <x:v>D</x:v>
      </x:c>
      <x:c r="D1548" s="7" t="str">
        <x:v>PESISIR SELATAN</x:v>
      </x:c>
      <x:c r="E1548" s="8">
        <x:v>8980</x:v>
      </x:c>
      <x:c r="F1548" s="9">
        <x:v>10714816500</x:v>
      </x:c>
      <x:c r="G1548" s="9">
        <x:v>11294689949.54</x:v>
      </x:c>
      <x:c r="H1548" s="10" t="n">
        <x:f>G1548-F1548</x:f>
        <x:v>579873449.5400009</x:v>
      </x:c>
    </x:row>
    <x:row r="1549">
      <x:c r="A1549" s="7" t="str">
        <x:v>K1305001</x:v>
      </x:c>
      <x:c r="B1549" s="7" t="str">
        <x:v>RS K1305001</x:v>
      </x:c>
      <x:c r="C1549" s="7" t="str">
        <x:v>D</x:v>
      </x:c>
      <x:c r="D1549" s="7" t="str">
        <x:v>TANAH DATAR</x:v>
      </x:c>
      <x:c r="E1549" s="8">
        <x:v>2717</x:v>
      </x:c>
      <x:c r="F1549" s="9">
        <x:v>1729921200</x:v>
      </x:c>
      <x:c r="G1549" s="9">
        <x:v>1930498454.15</x:v>
      </x:c>
      <x:c r="H1549" s="10" t="n">
        <x:f>G1549-F1549</x:f>
        <x:v>200577254.1500001</x:v>
      </x:c>
    </x:row>
    <x:row r="1550">
      <x:c r="A1550" s="7" t="str">
        <x:v>K1306009</x:v>
      </x:c>
      <x:c r="B1550" s="7" t="str">
        <x:v>RS K1306009</x:v>
      </x:c>
      <x:c r="C1550" s="7" t="str">
        <x:v>D</x:v>
      </x:c>
      <x:c r="D1550" s="7" t="str">
        <x:v>PADANG PARIAMAN</x:v>
      </x:c>
      <x:c r="E1550" s="8">
        <x:v>6430</x:v>
      </x:c>
      <x:c r="F1550" s="9">
        <x:v>2213389200</x:v>
      </x:c>
      <x:c r="G1550" s="9">
        <x:v>2739489199.620001</x:v>
      </x:c>
      <x:c r="H1550" s="10" t="n">
        <x:f>G1550-F1550</x:f>
        <x:v>526099999.62000084</x:v>
      </x:c>
    </x:row>
    <x:row r="1551">
      <x:c r="A1551" s="7" t="str">
        <x:v>K1374001</x:v>
      </x:c>
      <x:c r="B1551" s="7" t="str">
        <x:v>RS K1374001</x:v>
      </x:c>
      <x:c r="C1551" s="7" t="str">
        <x:v>D</x:v>
      </x:c>
      <x:c r="D1551" s="7" t="str">
        <x:v>KOTA PADANG PANJANG</x:v>
      </x:c>
      <x:c r="E1551" s="8">
        <x:v>1361</x:v>
      </x:c>
      <x:c r="F1551" s="9">
        <x:v>397654800</x:v>
      </x:c>
      <x:c r="G1551" s="9">
        <x:v>458268693.87999994</x:v>
      </x:c>
      <x:c r="H1551" s="10" t="n">
        <x:f>G1551-F1551</x:f>
        <x:v>60613893.879999936</x:v>
      </x:c>
    </x:row>
    <x:row r="1552">
      <x:c r="A1552" s="7" t="str">
        <x:v>K1471002</x:v>
      </x:c>
      <x:c r="B1552" s="7" t="str">
        <x:v>RS K1471002</x:v>
      </x:c>
      <x:c r="C1552" s="7" t="str">
        <x:v>D</x:v>
      </x:c>
      <x:c r="D1552" s="7" t="str">
        <x:v>KOTA PEKANBARU</x:v>
      </x:c>
      <x:c r="E1552" s="8">
        <x:v>2623</x:v>
      </x:c>
      <x:c r="F1552" s="9">
        <x:v>1410643800</x:v>
      </x:c>
      <x:c r="G1552" s="9">
        <x:v>1910151211.7399998</x:v>
      </x:c>
      <x:c r="H1552" s="10" t="n">
        <x:f>G1552-F1552</x:f>
        <x:v>499507411.7399998</x:v>
      </x:c>
    </x:row>
    <x:row r="1553">
      <x:c r="A1553" s="7" t="str">
        <x:v>K1471003</x:v>
      </x:c>
      <x:c r="B1553" s="7" t="str">
        <x:v>RS K1471003</x:v>
      </x:c>
      <x:c r="C1553" s="7" t="str">
        <x:v>D</x:v>
      </x:c>
      <x:c r="D1553" s="7" t="str">
        <x:v>KOTA PEKANBARU</x:v>
      </x:c>
      <x:c r="E1553" s="8">
        <x:v>8928</x:v>
      </x:c>
      <x:c r="F1553" s="9">
        <x:v>3429039015</x:v>
      </x:c>
      <x:c r="G1553" s="9">
        <x:v>3858951923.940001</x:v>
      </x:c>
      <x:c r="H1553" s="10" t="n">
        <x:f>G1553-F1553</x:f>
        <x:v>429912908.940001</x:v>
      </x:c>
    </x:row>
    <x:row r="1554">
      <x:c r="A1554" s="7" t="str">
        <x:v>K1501001</x:v>
      </x:c>
      <x:c r="B1554" s="7" t="str">
        <x:v>RS K1501001</x:v>
      </x:c>
      <x:c r="C1554" s="7" t="str">
        <x:v>D</x:v>
      </x:c>
      <x:c r="D1554" s="7" t="str">
        <x:v>KERINCI</x:v>
      </x:c>
      <x:c r="E1554" s="8">
        <x:v>6955</x:v>
      </x:c>
      <x:c r="F1554" s="9">
        <x:v>5766846800</x:v>
      </x:c>
      <x:c r="G1554" s="9">
        <x:v>6148048141.22</x:v>
      </x:c>
      <x:c r="H1554" s="10" t="n">
        <x:f>G1554-F1554</x:f>
        <x:v>381201341.22000027</x:v>
      </x:c>
    </x:row>
    <x:row r="1555">
      <x:c r="A1555" s="7" t="str">
        <x:v>K1509001</x:v>
      </x:c>
      <x:c r="B1555" s="7" t="str">
        <x:v>RS K1509001</x:v>
      </x:c>
      <x:c r="C1555" s="7" t="str">
        <x:v>D</x:v>
      </x:c>
      <x:c r="D1555" s="7" t="str">
        <x:v>BUNGO</x:v>
      </x:c>
      <x:c r="E1555" s="8">
        <x:v>6972</x:v>
      </x:c>
      <x:c r="F1555" s="9">
        <x:v>5874473500</x:v>
      </x:c>
      <x:c r="G1555" s="9">
        <x:v>6176963502.069999</x:v>
      </x:c>
      <x:c r="H1555" s="10" t="n">
        <x:f>G1555-F1555</x:f>
        <x:v>302490002.06999874</x:v>
      </x:c>
    </x:row>
    <x:row r="1556">
      <x:c r="A1556" s="7" t="str">
        <x:v>K2171001</x:v>
      </x:c>
      <x:c r="B1556" s="7" t="str">
        <x:v>RS K2171001</x:v>
      </x:c>
      <x:c r="C1556" s="7" t="str">
        <x:v>D</x:v>
      </x:c>
      <x:c r="D1556" s="7" t="str">
        <x:v>KOTA BATAM</x:v>
      </x:c>
      <x:c r="E1556" s="8">
        <x:v>5338</x:v>
      </x:c>
      <x:c r="F1556" s="9">
        <x:v>6777501900</x:v>
      </x:c>
      <x:c r="G1556" s="9">
        <x:v>7397668030.97</x:v>
      </x:c>
      <x:c r="H1556" s="10" t="n">
        <x:f>G1556-F1556</x:f>
        <x:v>620166130.9700003</x:v>
      </x:c>
    </x:row>
    <x:row r="1557">
      <x:c r="A1557" s="7" t="str">
        <x:v>K2171002</x:v>
      </x:c>
      <x:c r="B1557" s="7" t="str">
        <x:v>RS K2171002</x:v>
      </x:c>
      <x:c r="C1557" s="7" t="str">
        <x:v>D</x:v>
      </x:c>
      <x:c r="D1557" s="7" t="str">
        <x:v>KOTA BATAM</x:v>
      </x:c>
      <x:c r="E1557" s="8">
        <x:v>1080</x:v>
      </x:c>
      <x:c r="F1557" s="9">
        <x:v>915245700</x:v>
      </x:c>
      <x:c r="G1557" s="9">
        <x:v>958903885.1800001</x:v>
      </x:c>
      <x:c r="H1557" s="10" t="n">
        <x:f>G1557-F1557</x:f>
        <x:v>43658185.18000007</x:v>
      </x:c>
    </x:row>
    <x:row r="1558">
      <x:c r="A1558" s="7" t="str">
        <x:v>K2171007</x:v>
      </x:c>
      <x:c r="B1558" s="7" t="str">
        <x:v>RS K2171007</x:v>
      </x:c>
      <x:c r="C1558" s="7" t="str">
        <x:v>D</x:v>
      </x:c>
      <x:c r="D1558" s="7" t="str">
        <x:v>KOTA BATAM</x:v>
      </x:c>
      <x:c r="E1558" s="8">
        <x:v>1498</x:v>
      </x:c>
      <x:c r="F1558" s="9">
        <x:v>1280163300</x:v>
      </x:c>
      <x:c r="G1558" s="9">
        <x:v>1339729396.81</x:v>
      </x:c>
      <x:c r="H1558" s="10" t="n">
        <x:f>G1558-F1558</x:f>
        <x:v>59566096.80999994</x:v>
      </x:c>
    </x:row>
    <x:row r="1559">
      <x:c r="A1559" s="7" t="str">
        <x:v>K2172001</x:v>
      </x:c>
      <x:c r="B1559" s="7" t="str">
        <x:v>RS K2172001</x:v>
      </x:c>
      <x:c r="C1559" s="7" t="str">
        <x:v>D</x:v>
      </x:c>
      <x:c r="D1559" s="7" t="str">
        <x:v>KOTA TANJUNG PINANG</x:v>
      </x:c>
      <x:c r="E1559" s="8">
        <x:v>5072</x:v>
      </x:c>
      <x:c r="F1559" s="9">
        <x:v>2975569600</x:v>
      </x:c>
      <x:c r="G1559" s="9">
        <x:v>3184794097.48</x:v>
      </x:c>
      <x:c r="H1559" s="10" t="n">
        <x:f>G1559-F1559</x:f>
        <x:v>209224497.48000002</x:v>
      </x:c>
    </x:row>
    <x:row r="1560">
      <x:c r="A1560" s="7" t="str">
        <x:v>K2172002</x:v>
      </x:c>
      <x:c r="B1560" s="7" t="str">
        <x:v>RS K2172002</x:v>
      </x:c>
      <x:c r="C1560" s="7" t="str">
        <x:v>D</x:v>
      </x:c>
      <x:c r="D1560" s="7" t="str">
        <x:v>KOTA TANJUNG PINANG</x:v>
      </x:c>
      <x:c r="E1560" s="8">
        <x:v>10820</x:v>
      </x:c>
      <x:c r="F1560" s="9">
        <x:v>8203947500</x:v>
      </x:c>
      <x:c r="G1560" s="9">
        <x:v>8815931966.980001</x:v>
      </x:c>
      <x:c r="H1560" s="10" t="n">
        <x:f>G1560-F1560</x:f>
        <x:v>611984466.9800014</x:v>
      </x:c>
    </x:row>
    <x:row r="1561">
      <x:c r="A1561" s="7" t="str">
        <x:v>K3201003</x:v>
      </x:c>
      <x:c r="B1561" s="7" t="str">
        <x:v>RS K3201003</x:v>
      </x:c>
      <x:c r="C1561" s="7" t="str">
        <x:v>D</x:v>
      </x:c>
      <x:c r="D1561" s="7" t="str">
        <x:v>BOGOR</x:v>
      </x:c>
      <x:c r="E1561" s="8">
        <x:v>7581</x:v>
      </x:c>
      <x:c r="F1561" s="9">
        <x:v>8106945000</x:v>
      </x:c>
      <x:c r="G1561" s="9">
        <x:v>8753527207.110003</x:v>
      </x:c>
      <x:c r="H1561" s="10" t="n">
        <x:f>G1561-F1561</x:f>
        <x:v>646582207.1100025</x:v>
      </x:c>
    </x:row>
    <x:row r="1562">
      <x:c r="A1562" s="7" t="str">
        <x:v>K3201004</x:v>
      </x:c>
      <x:c r="B1562" s="7" t="str">
        <x:v>RS K3201004</x:v>
      </x:c>
      <x:c r="C1562" s="7" t="str">
        <x:v>D</x:v>
      </x:c>
      <x:c r="D1562" s="7" t="str">
        <x:v>BOGOR</x:v>
      </x:c>
      <x:c r="E1562" s="8">
        <x:v>8054</x:v>
      </x:c>
      <x:c r="F1562" s="9">
        <x:v>1208573200</x:v>
      </x:c>
      <x:c r="G1562" s="9">
        <x:v>2206379340.2599998</x:v>
      </x:c>
      <x:c r="H1562" s="10" t="n">
        <x:f>G1562-F1562</x:f>
        <x:v>997806140.2599998</x:v>
      </x:c>
    </x:row>
    <x:row r="1563">
      <x:c r="A1563" s="7" t="str">
        <x:v>K3204002</x:v>
      </x:c>
      <x:c r="B1563" s="7" t="str">
        <x:v>RS K3204002</x:v>
      </x:c>
      <x:c r="C1563" s="7" t="str">
        <x:v>D</x:v>
      </x:c>
      <x:c r="D1563" s="7" t="str">
        <x:v>BANDUNG</x:v>
      </x:c>
      <x:c r="E1563" s="8">
        <x:v>29856</x:v>
      </x:c>
      <x:c r="F1563" s="9">
        <x:v>6941246200</x:v>
      </x:c>
      <x:c r="G1563" s="9">
        <x:v>8535626271.3099985</x:v>
      </x:c>
      <x:c r="H1563" s="10" t="n">
        <x:f>G1563-F1563</x:f>
        <x:v>1594380071.3099985</x:v>
      </x:c>
    </x:row>
    <x:row r="1564">
      <x:c r="A1564" s="7" t="str">
        <x:v>K3204003</x:v>
      </x:c>
      <x:c r="B1564" s="7" t="str">
        <x:v>RS K3204003</x:v>
      </x:c>
      <x:c r="C1564" s="7" t="str">
        <x:v>D</x:v>
      </x:c>
      <x:c r="D1564" s="7" t="str">
        <x:v>KOTA BANDUNG</x:v>
      </x:c>
      <x:c r="E1564" s="8">
        <x:v>2170</x:v>
      </x:c>
      <x:c r="F1564" s="9">
        <x:v>1691545000</x:v>
      </x:c>
      <x:c r="G1564" s="9">
        <x:v>1826461345.57</x:v>
      </x:c>
      <x:c r="H1564" s="10" t="n">
        <x:f>G1564-F1564</x:f>
        <x:v>134916345.56999993</x:v>
      </x:c>
    </x:row>
    <x:row r="1565">
      <x:c r="A1565" s="7" t="str">
        <x:v>K3204005</x:v>
      </x:c>
      <x:c r="B1565" s="7" t="str">
        <x:v>RS K3204005</x:v>
      </x:c>
      <x:c r="C1565" s="7" t="str">
        <x:v>D</x:v>
      </x:c>
      <x:c r="D1565" s="7" t="str">
        <x:v>BANDUNG</x:v>
      </x:c>
      <x:c r="E1565" s="8">
        <x:v>3958</x:v>
      </x:c>
      <x:c r="F1565" s="9">
        <x:v>3232010250</x:v>
      </x:c>
      <x:c r="G1565" s="9">
        <x:v>3477485966.3999996</x:v>
      </x:c>
      <x:c r="H1565" s="10" t="n">
        <x:f>G1565-F1565</x:f>
        <x:v>245475716.39999962</x:v>
      </x:c>
    </x:row>
    <x:row r="1566">
      <x:c r="A1566" s="7" t="str">
        <x:v>K3204006</x:v>
      </x:c>
      <x:c r="B1566" s="7" t="str">
        <x:v>RS K3204006</x:v>
      </x:c>
      <x:c r="C1566" s="7" t="str">
        <x:v>D</x:v>
      </x:c>
      <x:c r="D1566" s="7" t="str">
        <x:v>KOTA BANDUNG</x:v>
      </x:c>
      <x:c r="E1566" s="8">
        <x:v>2599</x:v>
      </x:c>
      <x:c r="F1566" s="9">
        <x:v>1622789600</x:v>
      </x:c>
      <x:c r="G1566" s="9">
        <x:v>1982273850.66</x:v>
      </x:c>
      <x:c r="H1566" s="10" t="n">
        <x:f>G1566-F1566</x:f>
        <x:v>359484250.6600001</x:v>
      </x:c>
    </x:row>
    <x:row r="1567">
      <x:c r="A1567" s="7" t="str">
        <x:v>K3204128</x:v>
      </x:c>
      <x:c r="B1567" s="7" t="str">
        <x:v>RS K3204128</x:v>
      </x:c>
      <x:c r="C1567" s="7" t="str">
        <x:v>D</x:v>
      </x:c>
      <x:c r="D1567" s="7" t="str">
        <x:v>BANDUNG</x:v>
      </x:c>
      <x:c r="E1567" s="8">
        <x:v>30989</x:v>
      </x:c>
      <x:c r="F1567" s="9">
        <x:v>21539501200</x:v>
      </x:c>
      <x:c r="G1567" s="9">
        <x:v>23925077213.070007</x:v>
      </x:c>
      <x:c r="H1567" s="10" t="n">
        <x:f>G1567-F1567</x:f>
        <x:v>2385576013.0700073</x:v>
      </x:c>
    </x:row>
    <x:row r="1568">
      <x:c r="A1568" s="7" t="str">
        <x:v>K3208001</x:v>
      </x:c>
      <x:c r="B1568" s="7" t="str">
        <x:v>RS K3208001</x:v>
      </x:c>
      <x:c r="C1568" s="7" t="str">
        <x:v>D</x:v>
      </x:c>
      <x:c r="D1568" s="7" t="str">
        <x:v>KUNINGAN</x:v>
      </x:c>
      <x:c r="E1568" s="8">
        <x:v>14006</x:v>
      </x:c>
      <x:c r="F1568" s="9">
        <x:v>8465860300</x:v>
      </x:c>
      <x:c r="G1568" s="9">
        <x:v>9330557642.320004</x:v>
      </x:c>
      <x:c r="H1568" s="10" t="n">
        <x:f>G1568-F1568</x:f>
        <x:v>864697342.3200035</x:v>
      </x:c>
    </x:row>
    <x:row r="1569">
      <x:c r="A1569" s="7" t="str">
        <x:v>K3208002</x:v>
      </x:c>
      <x:c r="B1569" s="7" t="str">
        <x:v>RS K3208002</x:v>
      </x:c>
      <x:c r="C1569" s="7" t="str">
        <x:v>D</x:v>
      </x:c>
      <x:c r="D1569" s="7" t="str">
        <x:v>KUNINGAN</x:v>
      </x:c>
      <x:c r="E1569" s="8">
        <x:v>826</x:v>
      </x:c>
      <x:c r="F1569" s="9">
        <x:v>739862200</x:v>
      </x:c>
      <x:c r="G1569" s="9">
        <x:v>847665018.35</x:v>
      </x:c>
      <x:c r="H1569" s="10" t="n">
        <x:f>G1569-F1569</x:f>
        <x:v>107802818.35000002</x:v>
      </x:c>
    </x:row>
    <x:row r="1570">
      <x:c r="A1570" s="7" t="str">
        <x:v>K3209001</x:v>
      </x:c>
      <x:c r="B1570" s="7" t="str">
        <x:v>RS K3209001</x:v>
      </x:c>
      <x:c r="C1570" s="7" t="str">
        <x:v>D</x:v>
      </x:c>
      <x:c r="D1570" s="7" t="str">
        <x:v>CIREBON</x:v>
      </x:c>
      <x:c r="E1570" s="8">
        <x:v>2622</x:v>
      </x:c>
      <x:c r="F1570" s="9">
        <x:v>519859200</x:v>
      </x:c>
      <x:c r="G1570" s="9">
        <x:v>595321764.8600001</x:v>
      </x:c>
      <x:c r="H1570" s="10" t="n">
        <x:f>G1570-F1570</x:f>
        <x:v>75462564.86000013</x:v>
      </x:c>
    </x:row>
    <x:row r="1571">
      <x:c r="A1571" s="7" t="str">
        <x:v>K3209002</x:v>
      </x:c>
      <x:c r="B1571" s="7" t="str">
        <x:v>RS K3209002</x:v>
      </x:c>
      <x:c r="C1571" s="7" t="str">
        <x:v>D</x:v>
      </x:c>
      <x:c r="D1571" s="7" t="str">
        <x:v>CIREBON</x:v>
      </x:c>
      <x:c r="E1571" s="8">
        <x:v>8142</x:v>
      </x:c>
      <x:c r="F1571" s="9">
        <x:v>4720765500</x:v>
      </x:c>
      <x:c r="G1571" s="9">
        <x:v>5156664839.180002</x:v>
      </x:c>
      <x:c r="H1571" s="10" t="n">
        <x:f>G1571-F1571</x:f>
        <x:v>435899339.1800022</x:v>
      </x:c>
    </x:row>
    <x:row r="1572">
      <x:c r="A1572" s="7" t="str">
        <x:v>K3209004</x:v>
      </x:c>
      <x:c r="B1572" s="7" t="str">
        <x:v>RS K3209004</x:v>
      </x:c>
      <x:c r="C1572" s="7" t="str">
        <x:v>D</x:v>
      </x:c>
      <x:c r="D1572" s="7" t="str">
        <x:v>CIREBON</x:v>
      </x:c>
      <x:c r="E1572" s="8">
        <x:v>2631</x:v>
      </x:c>
      <x:c r="F1572" s="9">
        <x:v>1037268200</x:v>
      </x:c>
      <x:c r="G1572" s="9">
        <x:v>1182862478.1000001</x:v>
      </x:c>
      <x:c r="H1572" s="10" t="n">
        <x:f>G1572-F1572</x:f>
        <x:v>145594278.10000014</x:v>
      </x:c>
    </x:row>
    <x:row r="1573">
      <x:c r="A1573" s="7" t="str">
        <x:v>K3210024</x:v>
      </x:c>
      <x:c r="B1573" s="7" t="str">
        <x:v>RS K3210024</x:v>
      </x:c>
      <x:c r="C1573" s="7" t="str">
        <x:v>D</x:v>
      </x:c>
      <x:c r="D1573" s="7" t="str">
        <x:v>MAJALENGKA</x:v>
      </x:c>
      <x:c r="E1573" s="8">
        <x:v>40894</x:v>
      </x:c>
      <x:c r="F1573" s="9">
        <x:v>15249997400</x:v>
      </x:c>
      <x:c r="G1573" s="9">
        <x:v>20288521523.310005</x:v>
      </x:c>
      <x:c r="H1573" s="10" t="n">
        <x:f>G1573-F1573</x:f>
        <x:v>5038524123.310005</x:v>
      </x:c>
    </x:row>
    <x:row r="1574">
      <x:c r="A1574" s="7" t="str">
        <x:v>K3211002</x:v>
      </x:c>
      <x:c r="B1574" s="7" t="str">
        <x:v>RS K3211002</x:v>
      </x:c>
      <x:c r="C1574" s="7" t="str">
        <x:v>D</x:v>
      </x:c>
      <x:c r="D1574" s="7" t="str">
        <x:v>SUMEDANG</x:v>
      </x:c>
      <x:c r="E1574" s="8">
        <x:v>10543</x:v>
      </x:c>
      <x:c r="F1574" s="9">
        <x:v>2412710000</x:v>
      </x:c>
      <x:c r="G1574" s="9">
        <x:v>3173531149.0200005</x:v>
      </x:c>
      <x:c r="H1574" s="10" t="n">
        <x:f>G1574-F1574</x:f>
        <x:v>760821149.0200005</x:v>
      </x:c>
    </x:row>
    <x:row r="1575">
      <x:c r="A1575" s="7" t="str">
        <x:v>K3212001</x:v>
      </x:c>
      <x:c r="B1575" s="7" t="str">
        <x:v>RS K3212001</x:v>
      </x:c>
      <x:c r="C1575" s="7" t="str">
        <x:v>D</x:v>
      </x:c>
      <x:c r="D1575" s="7" t="str">
        <x:v>INDRAMAYU</x:v>
      </x:c>
      <x:c r="E1575" s="8">
        <x:v>26754</x:v>
      </x:c>
      <x:c r="F1575" s="9">
        <x:v>9409806100</x:v>
      </x:c>
      <x:c r="G1575" s="9">
        <x:v>12730072079.210001</x:v>
      </x:c>
      <x:c r="H1575" s="10" t="n">
        <x:f>G1575-F1575</x:f>
        <x:v>3320265979.210001</x:v>
      </x:c>
    </x:row>
    <x:row r="1576">
      <x:c r="A1576" s="7" t="str">
        <x:v>K3213001</x:v>
      </x:c>
      <x:c r="B1576" s="7" t="str">
        <x:v>RS K3213001</x:v>
      </x:c>
      <x:c r="C1576" s="7" t="str">
        <x:v>D</x:v>
      </x:c>
      <x:c r="D1576" s="7" t="str">
        <x:v>SUBANG</x:v>
      </x:c>
      <x:c r="E1576" s="8">
        <x:v>26900</x:v>
      </x:c>
      <x:c r="F1576" s="9">
        <x:v>13948151000</x:v>
      </x:c>
      <x:c r="G1576" s="9">
        <x:v>18232677155.76</x:v>
      </x:c>
      <x:c r="H1576" s="10" t="n">
        <x:f>G1576-F1576</x:f>
        <x:v>4284526155.7599983</x:v>
      </x:c>
    </x:row>
    <x:row r="1577">
      <x:c r="A1577" s="7" t="str">
        <x:v>K3214002</x:v>
      </x:c>
      <x:c r="B1577" s="7" t="str">
        <x:v>RS K3214002</x:v>
      </x:c>
      <x:c r="C1577" s="7" t="str">
        <x:v>D</x:v>
      </x:c>
      <x:c r="D1577" s="7" t="str">
        <x:v>PURWAKARTA</x:v>
      </x:c>
      <x:c r="E1577" s="8">
        <x:v>7273</x:v>
      </x:c>
      <x:c r="F1577" s="9">
        <x:v>4958869300</x:v>
      </x:c>
      <x:c r="G1577" s="9">
        <x:v>6144905869.340001</x:v>
      </x:c>
      <x:c r="H1577" s="10" t="n">
        <x:f>G1577-F1577</x:f>
        <x:v>1186036569.340001</x:v>
      </x:c>
    </x:row>
    <x:row r="1578">
      <x:c r="A1578" s="7" t="str">
        <x:v>K3214003</x:v>
      </x:c>
      <x:c r="B1578" s="7" t="str">
        <x:v>RS K3214003</x:v>
      </x:c>
      <x:c r="C1578" s="7" t="str">
        <x:v>D</x:v>
      </x:c>
      <x:c r="D1578" s="7" t="str">
        <x:v>PURWAKARTA</x:v>
      </x:c>
      <x:c r="E1578" s="8">
        <x:v>1003</x:v>
      </x:c>
      <x:c r="F1578" s="9">
        <x:v>1457916000</x:v>
      </x:c>
      <x:c r="G1578" s="9">
        <x:v>1787445643.6200001</x:v>
      </x:c>
      <x:c r="H1578" s="10" t="n">
        <x:f>G1578-F1578</x:f>
        <x:v>329529643.6200001</x:v>
      </x:c>
    </x:row>
    <x:row r="1579">
      <x:c r="A1579" s="7" t="str">
        <x:v>K3216002</x:v>
      </x:c>
      <x:c r="B1579" s="7" t="str">
        <x:v>RS K3216002</x:v>
      </x:c>
      <x:c r="C1579" s="7" t="str">
        <x:v>D</x:v>
      </x:c>
      <x:c r="D1579" s="7" t="str">
        <x:v>BEKASI</x:v>
      </x:c>
      <x:c r="E1579" s="8">
        <x:v>16350</x:v>
      </x:c>
      <x:c r="F1579" s="9">
        <x:v>12538451000</x:v>
      </x:c>
      <x:c r="G1579" s="9">
        <x:v>14283050624.51</x:v>
      </x:c>
      <x:c r="H1579" s="10" t="n">
        <x:f>G1579-F1579</x:f>
        <x:v>1744599624.5100002</x:v>
      </x:c>
    </x:row>
    <x:row r="1580">
      <x:c r="A1580" s="7" t="str">
        <x:v>K3216003</x:v>
      </x:c>
      <x:c r="B1580" s="7" t="str">
        <x:v>RS K3216003</x:v>
      </x:c>
      <x:c r="C1580" s="7" t="str">
        <x:v>D</x:v>
      </x:c>
      <x:c r="D1580" s="7" t="str">
        <x:v>BEKASI</x:v>
      </x:c>
      <x:c r="E1580" s="8">
        <x:v>4843</x:v>
      </x:c>
      <x:c r="F1580" s="9">
        <x:v>2147686300</x:v>
      </x:c>
      <x:c r="G1580" s="9">
        <x:v>2490131563.0099998</x:v>
      </x:c>
      <x:c r="H1580" s="10" t="n">
        <x:f>G1580-F1580</x:f>
        <x:v>342445263.00999975</x:v>
      </x:c>
    </x:row>
    <x:row r="1581">
      <x:c r="A1581" s="7" t="str">
        <x:v>K3216005</x:v>
      </x:c>
      <x:c r="B1581" s="7" t="str">
        <x:v>RS K3216005</x:v>
      </x:c>
      <x:c r="C1581" s="7" t="str">
        <x:v>D</x:v>
      </x:c>
      <x:c r="D1581" s="7" t="str">
        <x:v>KOTA BEKASI</x:v>
      </x:c>
      <x:c r="E1581" s="8">
        <x:v>8807</x:v>
      </x:c>
      <x:c r="F1581" s="9">
        <x:v>5401715500</x:v>
      </x:c>
      <x:c r="G1581" s="9">
        <x:v>6232874261.26</x:v>
      </x:c>
      <x:c r="H1581" s="10" t="n">
        <x:f>G1581-F1581</x:f>
        <x:v>831158761.2600002</x:v>
      </x:c>
    </x:row>
    <x:row r="1582">
      <x:c r="A1582" s="7" t="str">
        <x:v>K3271001</x:v>
      </x:c>
      <x:c r="B1582" s="7" t="str">
        <x:v>RS K3271001</x:v>
      </x:c>
      <x:c r="C1582" s="7" t="str">
        <x:v>D</x:v>
      </x:c>
      <x:c r="D1582" s="7" t="str">
        <x:v>KOTA BOGOR</x:v>
      </x:c>
      <x:c r="E1582" s="8">
        <x:v>84</x:v>
      </x:c>
      <x:c r="F1582" s="9">
        <x:v>69972000</x:v>
      </x:c>
      <x:c r="G1582" s="9">
        <x:v>74762249.06</x:v>
      </x:c>
      <x:c r="H1582" s="10" t="n">
        <x:f>G1582-F1582</x:f>
        <x:v>4790249.060000002</x:v>
      </x:c>
    </x:row>
    <x:row r="1583">
      <x:c r="A1583" s="7" t="str">
        <x:v>K3271002</x:v>
      </x:c>
      <x:c r="B1583" s="7" t="str">
        <x:v>RS K3271002</x:v>
      </x:c>
      <x:c r="C1583" s="7" t="str">
        <x:v>D</x:v>
      </x:c>
      <x:c r="D1583" s="7" t="str">
        <x:v>KOTA BOGOR</x:v>
      </x:c>
      <x:c r="E1583" s="8">
        <x:v>30327</x:v>
      </x:c>
      <x:c r="F1583" s="9">
        <x:v>5827633800</x:v>
      </x:c>
      <x:c r="G1583" s="9">
        <x:v>6776152421.2</x:v>
      </x:c>
      <x:c r="H1583" s="10" t="n">
        <x:f>G1583-F1583</x:f>
        <x:v>948518621.1999998</x:v>
      </x:c>
    </x:row>
    <x:row r="1584">
      <x:c r="A1584" s="7" t="str">
        <x:v>K3273001</x:v>
      </x:c>
      <x:c r="B1584" s="7" t="str">
        <x:v>RS K3273001</x:v>
      </x:c>
      <x:c r="C1584" s="7" t="str">
        <x:v>D</x:v>
      </x:c>
      <x:c r="D1584" s="7" t="str">
        <x:v>KOTA BANDUNG</x:v>
      </x:c>
      <x:c r="E1584" s="8">
        <x:v>20251</x:v>
      </x:c>
      <x:c r="F1584" s="9">
        <x:v>3801547700</x:v>
      </x:c>
      <x:c r="G1584" s="9">
        <x:v>4632608780.730002</x:v>
      </x:c>
      <x:c r="H1584" s="10" t="n">
        <x:f>G1584-F1584</x:f>
        <x:v>831061080.7300024</x:v>
      </x:c>
    </x:row>
    <x:row r="1585">
      <x:c r="A1585" s="7" t="str">
        <x:v>K3273002</x:v>
      </x:c>
      <x:c r="B1585" s="7" t="str">
        <x:v>RS K3273002</x:v>
      </x:c>
      <x:c r="C1585" s="7" t="str">
        <x:v>D</x:v>
      </x:c>
      <x:c r="D1585" s="7" t="str">
        <x:v>KOTA BANDUNG</x:v>
      </x:c>
      <x:c r="E1585" s="8">
        <x:v>7895</x:v>
      </x:c>
      <x:c r="F1585" s="9">
        <x:v>4975953200</x:v>
      </x:c>
      <x:c r="G1585" s="9">
        <x:v>5424451740.709998</x:v>
      </x:c>
      <x:c r="H1585" s="10" t="n">
        <x:f>G1585-F1585</x:f>
        <x:v>448498540.70999813</x:v>
      </x:c>
    </x:row>
    <x:row r="1586">
      <x:c r="A1586" s="7" t="str">
        <x:v>K3273005</x:v>
      </x:c>
      <x:c r="B1586" s="7" t="str">
        <x:v>RS K3273005</x:v>
      </x:c>
      <x:c r="C1586" s="7" t="str">
        <x:v>D</x:v>
      </x:c>
      <x:c r="D1586" s="7" t="str">
        <x:v>KOTA BANDUNG</x:v>
      </x:c>
      <x:c r="E1586" s="8">
        <x:v>20738</x:v>
      </x:c>
      <x:c r="F1586" s="9">
        <x:v>4650712100</x:v>
      </x:c>
      <x:c r="G1586" s="9">
        <x:v>4993821232.129999</x:v>
      </x:c>
      <x:c r="H1586" s="10" t="n">
        <x:f>G1586-F1586</x:f>
        <x:v>343109132.12999916</x:v>
      </x:c>
    </x:row>
    <x:row r="1587">
      <x:c r="A1587" s="7" t="str">
        <x:v>K3273007</x:v>
      </x:c>
      <x:c r="B1587" s="7" t="str">
        <x:v>RS K3273007</x:v>
      </x:c>
      <x:c r="C1587" s="7" t="str">
        <x:v>D</x:v>
      </x:c>
      <x:c r="D1587" s="7" t="str">
        <x:v>KOTA BANDUNG</x:v>
      </x:c>
      <x:c r="E1587" s="8">
        <x:v>31244</x:v>
      </x:c>
      <x:c r="F1587" s="9">
        <x:v>22169110200</x:v>
      </x:c>
      <x:c r="G1587" s="9">
        <x:v>29995968664.97</x:v>
      </x:c>
      <x:c r="H1587" s="10" t="n">
        <x:f>G1587-F1587</x:f>
        <x:v>7826858464.970001</x:v>
      </x:c>
    </x:row>
    <x:row r="1588">
      <x:c r="A1588" s="7" t="str">
        <x:v>K3273008</x:v>
      </x:c>
      <x:c r="B1588" s="7" t="str">
        <x:v>RS K3273008</x:v>
      </x:c>
      <x:c r="C1588" s="7" t="str">
        <x:v>D</x:v>
      </x:c>
      <x:c r="D1588" s="7" t="str">
        <x:v>KOTA BANDUNG</x:v>
      </x:c>
      <x:c r="E1588" s="8">
        <x:v>27311</x:v>
      </x:c>
      <x:c r="F1588" s="9">
        <x:v>17571783400</x:v>
      </x:c>
      <x:c r="G1588" s="9">
        <x:v>19940529764.24</x:v>
      </x:c>
      <x:c r="H1588" s="10" t="n">
        <x:f>G1588-F1588</x:f>
        <x:v>2368746364.2400017</x:v>
      </x:c>
    </x:row>
    <x:row r="1589">
      <x:c r="A1589" s="7" t="str">
        <x:v>K3273126</x:v>
      </x:c>
      <x:c r="B1589" s="7" t="str">
        <x:v>RS K3273126</x:v>
      </x:c>
      <x:c r="C1589" s="7" t="str">
        <x:v>D</x:v>
      </x:c>
      <x:c r="D1589" s="7" t="str">
        <x:v>KOTA BANDUNG</x:v>
      </x:c>
      <x:c r="E1589" s="8">
        <x:v>9882</x:v>
      </x:c>
      <x:c r="F1589" s="9">
        <x:v>2308627100</x:v>
      </x:c>
      <x:c r="G1589" s="9">
        <x:v>3142175334.99</x:v>
      </x:c>
      <x:c r="H1589" s="10" t="n">
        <x:f>G1589-F1589</x:f>
        <x:v>833548234.9899998</x:v>
      </x:c>
    </x:row>
    <x:row r="1590">
      <x:c r="A1590" s="7" t="str">
        <x:v>K3274001</x:v>
      </x:c>
      <x:c r="B1590" s="7" t="str">
        <x:v>RS K3274001</x:v>
      </x:c>
      <x:c r="C1590" s="7" t="str">
        <x:v>D</x:v>
      </x:c>
      <x:c r="D1590" s="7" t="str">
        <x:v>KOTA CIREBON</x:v>
      </x:c>
      <x:c r="E1590" s="8">
        <x:v>10184</x:v>
      </x:c>
      <x:c r="F1590" s="9">
        <x:v>4363604400</x:v>
      </x:c>
      <x:c r="G1590" s="9">
        <x:v>4909770203.88</x:v>
      </x:c>
      <x:c r="H1590" s="10" t="n">
        <x:f>G1590-F1590</x:f>
        <x:v>546165803.8800001</x:v>
      </x:c>
    </x:row>
    <x:row r="1591">
      <x:c r="A1591" s="7" t="str">
        <x:v>K3274013</x:v>
      </x:c>
      <x:c r="B1591" s="7" t="str">
        <x:v>RS K3274013</x:v>
      </x:c>
      <x:c r="C1591" s="7" t="str">
        <x:v>D</x:v>
      </x:c>
      <x:c r="D1591" s="7" t="str">
        <x:v>KOTA CIREBON</x:v>
      </x:c>
      <x:c r="E1591" s="8">
        <x:v>11014</x:v>
      </x:c>
      <x:c r="F1591" s="9">
        <x:v>7152452500</x:v>
      </x:c>
      <x:c r="G1591" s="9">
        <x:v>8004311442.98</x:v>
      </x:c>
      <x:c r="H1591" s="10" t="n">
        <x:f>G1591-F1591</x:f>
        <x:v>851858942.9799995</x:v>
      </x:c>
    </x:row>
    <x:row r="1592">
      <x:c r="A1592" s="7" t="str">
        <x:v>K3274014</x:v>
      </x:c>
      <x:c r="B1592" s="7" t="str">
        <x:v>RS K3274014</x:v>
      </x:c>
      <x:c r="C1592" s="7" t="str">
        <x:v>D</x:v>
      </x:c>
      <x:c r="D1592" s="7" t="str">
        <x:v>KOTA CIREBON</x:v>
      </x:c>
      <x:c r="E1592" s="8">
        <x:v>3345</x:v>
      </x:c>
      <x:c r="F1592" s="9">
        <x:v>686182100</x:v>
      </x:c>
      <x:c r="G1592" s="9">
        <x:v>790363012.5999999</x:v>
      </x:c>
      <x:c r="H1592" s="10" t="n">
        <x:f>G1592-F1592</x:f>
        <x:v>104180912.5999999</x:v>
      </x:c>
    </x:row>
    <x:row r="1593">
      <x:c r="A1593" s="7" t="str">
        <x:v>K3275002</x:v>
      </x:c>
      <x:c r="B1593" s="7" t="str">
        <x:v>RS K3275002</x:v>
      </x:c>
      <x:c r="C1593" s="7" t="str">
        <x:v>D</x:v>
      </x:c>
      <x:c r="D1593" s="7" t="str">
        <x:v>KOTA BEKASI</x:v>
      </x:c>
      <x:c r="E1593" s="8">
        <x:v>1212</x:v>
      </x:c>
      <x:c r="F1593" s="9">
        <x:v>1009596000</x:v>
      </x:c>
      <x:c r="G1593" s="9">
        <x:v>1076811507.41</x:v>
      </x:c>
      <x:c r="H1593" s="10" t="n">
        <x:f>G1593-F1593</x:f>
        <x:v>67215507.41000009</x:v>
      </x:c>
    </x:row>
    <x:row r="1594">
      <x:c r="A1594" s="7" t="str">
        <x:v>K3276001</x:v>
      </x:c>
      <x:c r="B1594" s="7" t="str">
        <x:v>RS K3276001</x:v>
      </x:c>
      <x:c r="C1594" s="7" t="str">
        <x:v>D</x:v>
      </x:c>
      <x:c r="D1594" s="7" t="str">
        <x:v>KOTA DEPOK</x:v>
      </x:c>
      <x:c r="E1594" s="8">
        <x:v>17808</x:v>
      </x:c>
      <x:c r="F1594" s="9">
        <x:v>11294874500</x:v>
      </x:c>
      <x:c r="G1594" s="9">
        <x:v>12630578175.12</x:v>
      </x:c>
      <x:c r="H1594" s="10" t="n">
        <x:f>G1594-F1594</x:f>
        <x:v>1335703675.1200008</x:v>
      </x:c>
    </x:row>
    <x:row r="1595">
      <x:c r="A1595" s="7" t="str">
        <x:v>K3276002</x:v>
      </x:c>
      <x:c r="B1595" s="7" t="str">
        <x:v>RS K3276002</x:v>
      </x:c>
      <x:c r="C1595" s="7" t="str">
        <x:v>D</x:v>
      </x:c>
      <x:c r="D1595" s="7" t="str">
        <x:v>KOTA DEPOK</x:v>
      </x:c>
      <x:c r="E1595" s="8">
        <x:v>528</x:v>
      </x:c>
      <x:c r="F1595" s="9">
        <x:v>102299200</x:v>
      </x:c>
      <x:c r="G1595" s="9">
        <x:v>117026206.92</x:v>
      </x:c>
      <x:c r="H1595" s="10" t="n">
        <x:f>G1595-F1595</x:f>
        <x:v>14727006.920000002</x:v>
      </x:c>
    </x:row>
    <x:row r="1596">
      <x:c r="A1596" s="7" t="str">
        <x:v>K3276005</x:v>
      </x:c>
      <x:c r="B1596" s="7" t="str">
        <x:v>RS K3276005</x:v>
      </x:c>
      <x:c r="C1596" s="7" t="str">
        <x:v>D</x:v>
      </x:c>
      <x:c r="D1596" s="7" t="str">
        <x:v>KOTA DEPOK</x:v>
      </x:c>
      <x:c r="E1596" s="8">
        <x:v>2922</x:v>
      </x:c>
      <x:c r="F1596" s="9">
        <x:v>2434026000</x:v>
      </x:c>
      <x:c r="G1596" s="9">
        <x:v>2619319501.92</x:v>
      </x:c>
      <x:c r="H1596" s="10" t="n">
        <x:f>G1596-F1596</x:f>
        <x:v>185293501.92000008</x:v>
      </x:c>
    </x:row>
    <x:row r="1597">
      <x:c r="A1597" s="7" t="str">
        <x:v>K3276006</x:v>
      </x:c>
      <x:c r="B1597" s="7" t="str">
        <x:v>RS K3276006</x:v>
      </x:c>
      <x:c r="C1597" s="7" t="str">
        <x:v>D</x:v>
      </x:c>
      <x:c r="D1597" s="7" t="str">
        <x:v>KOTA DEPOK</x:v>
      </x:c>
      <x:c r="E1597" s="8">
        <x:v>488</x:v>
      </x:c>
      <x:c r="F1597" s="9">
        <x:v>435566900</x:v>
      </x:c>
      <x:c r="G1597" s="9">
        <x:v>506016643.88999987</x:v>
      </x:c>
      <x:c r="H1597" s="10" t="n">
        <x:f>G1597-F1597</x:f>
        <x:v>70449743.88999987</x:v>
      </x:c>
    </x:row>
    <x:row r="1598">
      <x:c r="A1598" s="7" t="str">
        <x:v>K3276007</x:v>
      </x:c>
      <x:c r="B1598" s="7" t="str">
        <x:v>RS K3276007</x:v>
      </x:c>
      <x:c r="C1598" s="7" t="str">
        <x:v>D</x:v>
      </x:c>
      <x:c r="D1598" s="7" t="str">
        <x:v>KOTA DEPOK</x:v>
      </x:c>
      <x:c r="E1598" s="8">
        <x:v>3384</x:v>
      </x:c>
      <x:c r="F1598" s="9">
        <x:v>2818872000</x:v>
      </x:c>
      <x:c r="G1598" s="9">
        <x:v>3033462421.1</x:v>
      </x:c>
      <x:c r="H1598" s="10" t="n">
        <x:f>G1598-F1598</x:f>
        <x:v>214590421.0999999</x:v>
      </x:c>
    </x:row>
    <x:row r="1599">
      <x:c r="A1599" s="7" t="str">
        <x:v>K3276074</x:v>
      </x:c>
      <x:c r="B1599" s="7" t="str">
        <x:v>RS K3276074</x:v>
      </x:c>
      <x:c r="C1599" s="7" t="str">
        <x:v>D</x:v>
      </x:c>
      <x:c r="D1599" s="7" t="str">
        <x:v>KOTA DEPOK</x:v>
      </x:c>
      <x:c r="E1599" s="8">
        <x:v>3788</x:v>
      </x:c>
      <x:c r="F1599" s="9">
        <x:v>3155154100</x:v>
      </x:c>
      <x:c r="G1599" s="9">
        <x:v>3395613372.08</x:v>
      </x:c>
      <x:c r="H1599" s="10" t="n">
        <x:f>G1599-F1599</x:f>
        <x:v>240459272.07999992</x:v>
      </x:c>
    </x:row>
    <x:row r="1600">
      <x:c r="A1600" s="7" t="str">
        <x:v>K3276076</x:v>
      </x:c>
      <x:c r="B1600" s="7" t="str">
        <x:v>RS K3276076</x:v>
      </x:c>
      <x:c r="C1600" s="7" t="str">
        <x:v>D</x:v>
      </x:c>
      <x:c r="D1600" s="7" t="str">
        <x:v>KOTA DEPOK</x:v>
      </x:c>
      <x:c r="E1600" s="8">
        <x:v>3054</x:v>
      </x:c>
      <x:c r="F1600" s="9">
        <x:v>2543982000</x:v>
      </x:c>
      <x:c r="G1600" s="9">
        <x:v>2734272675.31</x:v>
      </x:c>
      <x:c r="H1600" s="10" t="n">
        <x:f>G1600-F1600</x:f>
        <x:v>190290675.30999994</x:v>
      </x:c>
    </x:row>
    <x:row r="1601">
      <x:c r="A1601" s="7" t="str">
        <x:v>K3276079</x:v>
      </x:c>
      <x:c r="B1601" s="7" t="str">
        <x:v>RS K3276079</x:v>
      </x:c>
      <x:c r="C1601" s="7" t="str">
        <x:v>D</x:v>
      </x:c>
      <x:c r="D1601" s="7" t="str">
        <x:v>KOTA DEPOK</x:v>
      </x:c>
      <x:c r="E1601" s="8">
        <x:v>19136</x:v>
      </x:c>
      <x:c r="F1601" s="9">
        <x:v>11752149100</x:v>
      </x:c>
      <x:c r="G1601" s="9">
        <x:v>13273259825.090004</x:v>
      </x:c>
      <x:c r="H1601" s="10" t="n">
        <x:f>G1601-F1601</x:f>
        <x:v>1521110725.090004</x:v>
      </x:c>
    </x:row>
    <x:row r="1602">
      <x:c r="A1602" s="7" t="str">
        <x:v>K3276119</x:v>
      </x:c>
      <x:c r="B1602" s="7" t="str">
        <x:v>RS K3276119</x:v>
      </x:c>
      <x:c r="C1602" s="7" t="str">
        <x:v>D</x:v>
      </x:c>
      <x:c r="D1602" s="7" t="str">
        <x:v>KOTA DEPOK</x:v>
      </x:c>
      <x:c r="E1602" s="8">
        <x:v>1297</x:v>
      </x:c>
      <x:c r="F1602" s="9">
        <x:v>1080401000</x:v>
      </x:c>
      <x:c r="G1602" s="9">
        <x:v>1162023835.21</x:v>
      </x:c>
      <x:c r="H1602" s="10" t="n">
        <x:f>G1602-F1602</x:f>
        <x:v>81622835.21000004</x:v>
      </x:c>
    </x:row>
    <x:row r="1603">
      <x:c r="A1603" s="7" t="str">
        <x:v>K3276120</x:v>
      </x:c>
      <x:c r="B1603" s="7" t="str">
        <x:v>RS K3276120</x:v>
      </x:c>
      <x:c r="C1603" s="7" t="str">
        <x:v>D</x:v>
      </x:c>
      <x:c r="D1603" s="7" t="str">
        <x:v>KOTA DEPOK</x:v>
      </x:c>
      <x:c r="E1603" s="8">
        <x:v>18104</x:v>
      </x:c>
      <x:c r="F1603" s="9">
        <x:v>16372876100</x:v>
      </x:c>
      <x:c r="G1603" s="9">
        <x:v>17742358068.54</x:v>
      </x:c>
      <x:c r="H1603" s="10" t="n">
        <x:f>G1603-F1603</x:f>
        <x:v>1369481968.540001</x:v>
      </x:c>
    </x:row>
    <x:row r="1604">
      <x:c r="A1604" s="7" t="str">
        <x:v>K3276121</x:v>
      </x:c>
      <x:c r="B1604" s="7" t="str">
        <x:v>RS K3276121</x:v>
      </x:c>
      <x:c r="C1604" s="7" t="str">
        <x:v>D</x:v>
      </x:c>
      <x:c r="D1604" s="7" t="str">
        <x:v>KOTA DEPOK</x:v>
      </x:c>
      <x:c r="E1604" s="8">
        <x:v>2864</x:v>
      </x:c>
      <x:c r="F1604" s="9">
        <x:v>2365853400</x:v>
      </x:c>
      <x:c r="G1604" s="9">
        <x:v>2546834627.05</x:v>
      </x:c>
      <x:c r="H1604" s="10" t="n">
        <x:f>G1604-F1604</x:f>
        <x:v>180981227.0500002</x:v>
      </x:c>
    </x:row>
    <x:row r="1605">
      <x:c r="A1605" s="7" t="str">
        <x:v>K329012</x:v>
      </x:c>
      <x:c r="B1605" s="7" t="str">
        <x:v>RS K329012</x:v>
      </x:c>
      <x:c r="C1605" s="7" t="str">
        <x:v>D</x:v>
      </x:c>
      <x:c r="D1605" s="7" t="str">
        <x:v>CIREBON</x:v>
      </x:c>
      <x:c r="E1605" s="8">
        <x:v>3333</x:v>
      </x:c>
      <x:c r="F1605" s="9">
        <x:v>742057300</x:v>
      </x:c>
      <x:c r="G1605" s="9">
        <x:v>853505300.2200004</x:v>
      </x:c>
      <x:c r="H1605" s="10" t="n">
        <x:f>G1605-F1605</x:f>
        <x:v>111448000.22000039</x:v>
      </x:c>
    </x:row>
    <x:row r="1606">
      <x:c r="A1606" s="7" t="str">
        <x:v>K3302001</x:v>
      </x:c>
      <x:c r="B1606" s="7" t="str">
        <x:v>RS K3302001</x:v>
      </x:c>
      <x:c r="C1606" s="7" t="str">
        <x:v>D</x:v>
      </x:c>
      <x:c r="D1606" s="7" t="str">
        <x:v>BANYUMAS</x:v>
      </x:c>
      <x:c r="E1606" s="8">
        <x:v>18581</x:v>
      </x:c>
      <x:c r="F1606" s="9">
        <x:v>12775929200</x:v>
      </x:c>
      <x:c r="G1606" s="9">
        <x:v>14621953576.680002</x:v>
      </x:c>
      <x:c r="H1606" s="10" t="n">
        <x:f>G1606-F1606</x:f>
        <x:v>1846024376.6800022</x:v>
      </x:c>
    </x:row>
    <x:row r="1607">
      <x:c r="A1607" s="7" t="str">
        <x:v>K3302002</x:v>
      </x:c>
      <x:c r="B1607" s="7" t="str">
        <x:v>RS K3302002</x:v>
      </x:c>
      <x:c r="C1607" s="7" t="str">
        <x:v>D</x:v>
      </x:c>
      <x:c r="D1607" s="7" t="str">
        <x:v>BANYUMAS</x:v>
      </x:c>
      <x:c r="E1607" s="8">
        <x:v>10599</x:v>
      </x:c>
      <x:c r="F1607" s="9">
        <x:v>3215535100</x:v>
      </x:c>
      <x:c r="G1607" s="9">
        <x:v>4181433036.600001</x:v>
      </x:c>
      <x:c r="H1607" s="10" t="n">
        <x:f>G1607-F1607</x:f>
        <x:v>965897936.6000009</x:v>
      </x:c>
    </x:row>
    <x:row r="1608">
      <x:c r="A1608" s="7" t="str">
        <x:v>K3302003</x:v>
      </x:c>
      <x:c r="B1608" s="7" t="str">
        <x:v>RS K3302003</x:v>
      </x:c>
      <x:c r="C1608" s="7" t="str">
        <x:v>D</x:v>
      </x:c>
      <x:c r="D1608" s="7" t="str">
        <x:v>BANYUMAS</x:v>
      </x:c>
      <x:c r="E1608" s="8">
        <x:v>744</x:v>
      </x:c>
      <x:c r="F1608" s="9">
        <x:v>664645700</x:v>
      </x:c>
      <x:c r="G1608" s="9">
        <x:v>956644225.6699998</x:v>
      </x:c>
      <x:c r="H1608" s="10" t="n">
        <x:f>G1608-F1608</x:f>
        <x:v>291998525.66999984</x:v>
      </x:c>
    </x:row>
    <x:row r="1609">
      <x:c r="A1609" s="7" t="str">
        <x:v>K3303003</x:v>
      </x:c>
      <x:c r="B1609" s="7" t="str">
        <x:v>RS K3303003</x:v>
      </x:c>
      <x:c r="C1609" s="7" t="str">
        <x:v>D</x:v>
      </x:c>
      <x:c r="D1609" s="7" t="str">
        <x:v>PURBALINGGA</x:v>
      </x:c>
      <x:c r="E1609" s="8">
        <x:v>5485</x:v>
      </x:c>
      <x:c r="F1609" s="9">
        <x:v>3091171600</x:v>
      </x:c>
      <x:c r="G1609" s="9">
        <x:v>6381581387.189999</x:v>
      </x:c>
      <x:c r="H1609" s="10" t="n">
        <x:f>G1609-F1609</x:f>
        <x:v>3290409787.1899986</x:v>
      </x:c>
    </x:row>
    <x:row r="1610">
      <x:c r="A1610" s="7" t="str">
        <x:v>K3304001</x:v>
      </x:c>
      <x:c r="B1610" s="7" t="str">
        <x:v>RS K3304001</x:v>
      </x:c>
      <x:c r="C1610" s="7" t="str">
        <x:v>D</x:v>
      </x:c>
      <x:c r="D1610" s="7" t="str">
        <x:v>BANJARNEGARA</x:v>
      </x:c>
      <x:c r="E1610" s="8">
        <x:v>1968</x:v>
      </x:c>
      <x:c r="F1610" s="9">
        <x:v>2584986100</x:v>
      </x:c>
      <x:c r="G1610" s="9">
        <x:v>3359095309.5099998</x:v>
      </x:c>
      <x:c r="H1610" s="10" t="n">
        <x:f>G1610-F1610</x:f>
        <x:v>774109209.5099998</x:v>
      </x:c>
    </x:row>
    <x:row r="1611">
      <x:c r="A1611" s="7" t="str">
        <x:v>K3305003</x:v>
      </x:c>
      <x:c r="B1611" s="7" t="str">
        <x:v>RS K3305003</x:v>
      </x:c>
      <x:c r="C1611" s="7" t="str">
        <x:v>D</x:v>
      </x:c>
      <x:c r="D1611" s="7" t="str">
        <x:v>KEBUMEN</x:v>
      </x:c>
      <x:c r="E1611" s="8">
        <x:v>19303</x:v>
      </x:c>
      <x:c r="F1611" s="9">
        <x:v>8854724800</x:v>
      </x:c>
      <x:c r="G1611" s="9">
        <x:v>9892681636.82</x:v>
      </x:c>
      <x:c r="H1611" s="10" t="n">
        <x:f>G1611-F1611</x:f>
        <x:v>1037956836.8199997</x:v>
      </x:c>
    </x:row>
    <x:row r="1612">
      <x:c r="A1612" s="7" t="str">
        <x:v>K3309002</x:v>
      </x:c>
      <x:c r="B1612" s="7" t="str">
        <x:v>RS K3309002</x:v>
      </x:c>
      <x:c r="C1612" s="7" t="str">
        <x:v>D</x:v>
      </x:c>
      <x:c r="D1612" s="7" t="str">
        <x:v>BOYOLALI</x:v>
      </x:c>
      <x:c r="E1612" s="8">
        <x:v>119</x:v>
      </x:c>
      <x:c r="F1612" s="9">
        <x:v>114964600</x:v>
      </x:c>
      <x:c r="G1612" s="9">
        <x:v>138905237.20000002</x:v>
      </x:c>
      <x:c r="H1612" s="10" t="n">
        <x:f>G1612-F1612</x:f>
        <x:v>23940637.200000018</x:v>
      </x:c>
    </x:row>
    <x:row r="1613">
      <x:c r="A1613" s="7" t="str">
        <x:v>K3322001</x:v>
      </x:c>
      <x:c r="B1613" s="7" t="str">
        <x:v>RS K3322001</x:v>
      </x:c>
      <x:c r="C1613" s="7" t="str">
        <x:v>D</x:v>
      </x:c>
      <x:c r="D1613" s="7" t="str">
        <x:v>SEMARANG</x:v>
      </x:c>
      <x:c r="E1613" s="8">
        <x:v>2277</x:v>
      </x:c>
      <x:c r="F1613" s="9">
        <x:v>2654186700</x:v>
      </x:c>
      <x:c r="G1613" s="9">
        <x:v>3806931074.290001</x:v>
      </x:c>
      <x:c r="H1613" s="10" t="n">
        <x:f>G1613-F1613</x:f>
        <x:v>1152744374.290001</x:v>
      </x:c>
    </x:row>
    <x:row r="1614">
      <x:c r="A1614" s="7" t="str">
        <x:v>K3322002</x:v>
      </x:c>
      <x:c r="B1614" s="7" t="str">
        <x:v>RS K3322002</x:v>
      </x:c>
      <x:c r="C1614" s="7" t="str">
        <x:v>D</x:v>
      </x:c>
      <x:c r="D1614" s="7" t="str">
        <x:v>SEMARANG</x:v>
      </x:c>
      <x:c r="E1614" s="8">
        <x:v>2596</x:v>
      </x:c>
      <x:c r="F1614" s="9">
        <x:v>1842604200</x:v>
      </x:c>
      <x:c r="G1614" s="9">
        <x:v>2277482886.57</x:v>
      </x:c>
      <x:c r="H1614" s="10" t="n">
        <x:f>G1614-F1614</x:f>
        <x:v>434878686.5700002</x:v>
      </x:c>
    </x:row>
    <x:row r="1615">
      <x:c r="A1615" s="7" t="str">
        <x:v>K3324079</x:v>
      </x:c>
      <x:c r="B1615" s="7" t="str">
        <x:v>RS K3324079</x:v>
      </x:c>
      <x:c r="C1615" s="7" t="str">
        <x:v>D</x:v>
      </x:c>
      <x:c r="D1615" s="7" t="str">
        <x:v>KENDAL</x:v>
      </x:c>
      <x:c r="E1615" s="8">
        <x:v>772</x:v>
      </x:c>
      <x:c r="F1615" s="9">
        <x:v>953270500</x:v>
      </x:c>
      <x:c r="G1615" s="9">
        <x:v>1193484247.8199997</x:v>
      </x:c>
      <x:c r="H1615" s="10" t="n">
        <x:f>G1615-F1615</x:f>
        <x:v>240213747.8199997</x:v>
      </x:c>
    </x:row>
    <x:row r="1616">
      <x:c r="A1616" s="7" t="str">
        <x:v>K3374001</x:v>
      </x:c>
      <x:c r="B1616" s="7" t="str">
        <x:v>RS K3374001</x:v>
      </x:c>
      <x:c r="C1616" s="7" t="str">
        <x:v>D</x:v>
      </x:c>
      <x:c r="D1616" s="7" t="str">
        <x:v>KOTA SEMARANG</x:v>
      </x:c>
      <x:c r="E1616" s="8">
        <x:v>10792</x:v>
      </x:c>
      <x:c r="F1616" s="9">
        <x:v>8552220500</x:v>
      </x:c>
      <x:c r="G1616" s="9">
        <x:v>9216741240.909998</x:v>
      </x:c>
      <x:c r="H1616" s="10" t="n">
        <x:f>G1616-F1616</x:f>
        <x:v>664520740.9099979</x:v>
      </x:c>
    </x:row>
    <x:row r="1617">
      <x:c r="A1617" s="7" t="str">
        <x:v>K3374002</x:v>
      </x:c>
      <x:c r="B1617" s="7" t="str">
        <x:v>RS K3374002</x:v>
      </x:c>
      <x:c r="C1617" s="7" t="str">
        <x:v>D</x:v>
      </x:c>
      <x:c r="D1617" s="7" t="str">
        <x:v>KOTA SEMARANG</x:v>
      </x:c>
      <x:c r="E1617" s="8">
        <x:v>7833</x:v>
      </x:c>
      <x:c r="F1617" s="9">
        <x:v>6480460850</x:v>
      </x:c>
      <x:c r="G1617" s="9">
        <x:v>6969555710.970001</x:v>
      </x:c>
      <x:c r="H1617" s="10" t="n">
        <x:f>G1617-F1617</x:f>
        <x:v>489094860.9700012</x:v>
      </x:c>
    </x:row>
    <x:row r="1618">
      <x:c r="A1618" s="7" t="str">
        <x:v>K3507001</x:v>
      </x:c>
      <x:c r="B1618" s="7" t="str">
        <x:v>RS K3507001</x:v>
      </x:c>
      <x:c r="C1618" s="7" t="str">
        <x:v>D</x:v>
      </x:c>
      <x:c r="D1618" s="7" t="str">
        <x:v>MALANG</x:v>
      </x:c>
      <x:c r="E1618" s="8">
        <x:v>2498</x:v>
      </x:c>
      <x:c r="F1618" s="9">
        <x:v>2611988500</x:v>
      </x:c>
      <x:c r="G1618" s="9">
        <x:v>2965046360.7299995</x:v>
      </x:c>
      <x:c r="H1618" s="10" t="n">
        <x:f>G1618-F1618</x:f>
        <x:v>353057860.72999954</x:v>
      </x:c>
    </x:row>
    <x:row r="1619">
      <x:c r="A1619" s="7" t="str">
        <x:v>K3507002</x:v>
      </x:c>
      <x:c r="B1619" s="7" t="str">
        <x:v>RS K3507002</x:v>
      </x:c>
      <x:c r="C1619" s="7" t="str">
        <x:v>D</x:v>
      </x:c>
      <x:c r="D1619" s="7" t="str">
        <x:v>MALANG</x:v>
      </x:c>
      <x:c r="E1619" s="8">
        <x:v>2360</x:v>
      </x:c>
      <x:c r="F1619" s="9">
        <x:v>471124100</x:v>
      </x:c>
      <x:c r="G1619" s="9">
        <x:v>553847296.78</x:v>
      </x:c>
      <x:c r="H1619" s="10" t="n">
        <x:f>G1619-F1619</x:f>
        <x:v>82723196.77999997</x:v>
      </x:c>
    </x:row>
    <x:row r="1620">
      <x:c r="A1620" s="7" t="str">
        <x:v>K3507078</x:v>
      </x:c>
      <x:c r="B1620" s="7" t="str">
        <x:v>RS K3507078</x:v>
      </x:c>
      <x:c r="C1620" s="7" t="str">
        <x:v>D</x:v>
      </x:c>
      <x:c r="D1620" s="7" t="str">
        <x:v>MALANG</x:v>
      </x:c>
      <x:c r="E1620" s="8">
        <x:v>16271</x:v>
      </x:c>
      <x:c r="F1620" s="9">
        <x:v>7829974300</x:v>
      </x:c>
      <x:c r="G1620" s="9">
        <x:v>9426064693.839998</x:v>
      </x:c>
      <x:c r="H1620" s="10" t="n">
        <x:f>G1620-F1620</x:f>
        <x:v>1596090393.8399982</x:v>
      </x:c>
    </x:row>
    <x:row r="1621">
      <x:c r="A1621" s="7" t="str">
        <x:v>K3508001</x:v>
      </x:c>
      <x:c r="B1621" s="7" t="str">
        <x:v>RS K3508001</x:v>
      </x:c>
      <x:c r="C1621" s="7" t="str">
        <x:v>D</x:v>
      </x:c>
      <x:c r="D1621" s="7" t="str">
        <x:v>LUMAJANG</x:v>
      </x:c>
      <x:c r="E1621" s="8">
        <x:v>276</x:v>
      </x:c>
      <x:c r="F1621" s="9">
        <x:v>239219700</x:v>
      </x:c>
      <x:c r="G1621" s="9">
        <x:v>266015947.76</x:v>
      </x:c>
      <x:c r="H1621" s="10" t="n">
        <x:f>G1621-F1621</x:f>
        <x:v>26796247.75999999</x:v>
      </x:c>
    </x:row>
    <x:row r="1622">
      <x:c r="A1622" s="7" t="str">
        <x:v>K3514001</x:v>
      </x:c>
      <x:c r="B1622" s="7" t="str">
        <x:v>RS K3514001</x:v>
      </x:c>
      <x:c r="C1622" s="7" t="str">
        <x:v>D</x:v>
      </x:c>
      <x:c r="D1622" s="7" t="str">
        <x:v>PASURUAN</x:v>
      </x:c>
      <x:c r="E1622" s="8">
        <x:v>12844</x:v>
      </x:c>
      <x:c r="F1622" s="9">
        <x:v>9623523000</x:v>
      </x:c>
      <x:c r="G1622" s="9">
        <x:v>10438712348.489996</x:v>
      </x:c>
      <x:c r="H1622" s="10" t="n">
        <x:f>G1622-F1622</x:f>
        <x:v>815189348.489996</x:v>
      </x:c>
    </x:row>
    <x:row r="1623">
      <x:c r="A1623" s="7" t="str">
        <x:v>K3517001</x:v>
      </x:c>
      <x:c r="B1623" s="7" t="str">
        <x:v>RS K3517001</x:v>
      </x:c>
      <x:c r="C1623" s="7" t="str">
        <x:v>D</x:v>
      </x:c>
      <x:c r="D1623" s="7" t="str">
        <x:v>JOMBANG</x:v>
      </x:c>
      <x:c r="E1623" s="8">
        <x:v>6082</x:v>
      </x:c>
      <x:c r="F1623" s="9">
        <x:v>4795705700</x:v>
      </x:c>
      <x:c r="G1623" s="9">
        <x:v>6654917061.64</x:v>
      </x:c>
      <x:c r="H1623" s="10" t="n">
        <x:f>G1623-F1623</x:f>
        <x:v>1859211361.6400003</x:v>
      </x:c>
    </x:row>
    <x:row r="1624">
      <x:c r="A1624" s="7" t="str">
        <x:v>K3518001</x:v>
      </x:c>
      <x:c r="B1624" s="7" t="str">
        <x:v>RS K3518001</x:v>
      </x:c>
      <x:c r="C1624" s="7" t="str">
        <x:v>D</x:v>
      </x:c>
      <x:c r="D1624" s="7" t="str">
        <x:v>NGANJUK</x:v>
      </x:c>
      <x:c r="E1624" s="8">
        <x:v>4820</x:v>
      </x:c>
      <x:c r="F1624" s="9">
        <x:v>3360623000</x:v>
      </x:c>
      <x:c r="G1624" s="9">
        <x:v>4794014250.210001</x:v>
      </x:c>
      <x:c r="H1624" s="10" t="n">
        <x:f>G1624-F1624</x:f>
        <x:v>1433391250.210001</x:v>
      </x:c>
    </x:row>
    <x:row r="1625">
      <x:c r="A1625" s="7" t="str">
        <x:v>K3518002</x:v>
      </x:c>
      <x:c r="B1625" s="7" t="str">
        <x:v>RS K3518002</x:v>
      </x:c>
      <x:c r="C1625" s="7" t="str">
        <x:v>D</x:v>
      </x:c>
      <x:c r="D1625" s="7" t="str">
        <x:v>NGANJUK</x:v>
      </x:c>
      <x:c r="E1625" s="8">
        <x:v>8721</x:v>
      </x:c>
      <x:c r="F1625" s="9">
        <x:v>4306828000</x:v>
      </x:c>
      <x:c r="G1625" s="9">
        <x:v>5920019809.010002</x:v>
      </x:c>
      <x:c r="H1625" s="10" t="n">
        <x:f>G1625-F1625</x:f>
        <x:v>1613191809.0100021</x:v>
      </x:c>
    </x:row>
    <x:row r="1626">
      <x:c r="A1626" s="7" t="str">
        <x:v>K3519001</x:v>
      </x:c>
      <x:c r="B1626" s="7" t="str">
        <x:v>RS K3519001</x:v>
      </x:c>
      <x:c r="C1626" s="7" t="str">
        <x:v>D</x:v>
      </x:c>
      <x:c r="D1626" s="7" t="str">
        <x:v>MADIUN</x:v>
      </x:c>
      <x:c r="E1626" s="8">
        <x:v>820</x:v>
      </x:c>
      <x:c r="F1626" s="9">
        <x:v>879609100</x:v>
      </x:c>
      <x:c r="G1626" s="9">
        <x:v>1177124666.26</x:v>
      </x:c>
      <x:c r="H1626" s="10" t="n">
        <x:f>G1626-F1626</x:f>
        <x:v>297515566.26</x:v>
      </x:c>
    </x:row>
    <x:row r="1627">
      <x:c r="A1627" s="7" t="str">
        <x:v>K3519002</x:v>
      </x:c>
      <x:c r="B1627" s="7" t="str">
        <x:v>RS K3519002</x:v>
      </x:c>
      <x:c r="C1627" s="7" t="str">
        <x:v>D</x:v>
      </x:c>
      <x:c r="D1627" s="7" t="str">
        <x:v>MADIUN</x:v>
      </x:c>
      <x:c r="E1627" s="8">
        <x:v>78</x:v>
      </x:c>
      <x:c r="F1627" s="9">
        <x:v>77321600</x:v>
      </x:c>
      <x:c r="G1627" s="9">
        <x:v>108584332.06</x:v>
      </x:c>
      <x:c r="H1627" s="10" t="n">
        <x:f>G1627-F1627</x:f>
        <x:v>31262732.060000002</x:v>
      </x:c>
    </x:row>
    <x:row r="1628">
      <x:c r="A1628" s="7" t="str">
        <x:v>K3521014</x:v>
      </x:c>
      <x:c r="B1628" s="7" t="str">
        <x:v>RS K3521014</x:v>
      </x:c>
      <x:c r="C1628" s="7" t="str">
        <x:v>D</x:v>
      </x:c>
      <x:c r="D1628" s="7" t="str">
        <x:v>NGAWI</x:v>
      </x:c>
      <x:c r="E1628" s="8">
        <x:v>886</x:v>
      </x:c>
      <x:c r="F1628" s="9">
        <x:v>1278374100</x:v>
      </x:c>
      <x:c r="G1628" s="9">
        <x:v>1526765945.17</x:v>
      </x:c>
      <x:c r="H1628" s="10" t="n">
        <x:f>G1628-F1628</x:f>
        <x:v>248391845.17000008</x:v>
      </x:c>
    </x:row>
    <x:row r="1629">
      <x:c r="A1629" s="7" t="str">
        <x:v>K3522001</x:v>
      </x:c>
      <x:c r="B1629" s="7" t="str">
        <x:v>RS K3522001</x:v>
      </x:c>
      <x:c r="C1629" s="7" t="str">
        <x:v>D</x:v>
      </x:c>
      <x:c r="D1629" s="7" t="str">
        <x:v>BOJONEGORO</x:v>
      </x:c>
      <x:c r="E1629" s="8">
        <x:v>3450</x:v>
      </x:c>
      <x:c r="F1629" s="9">
        <x:v>4562800300</x:v>
      </x:c>
      <x:c r="G1629" s="9">
        <x:v>6423886525.060002</x:v>
      </x:c>
      <x:c r="H1629" s="10" t="n">
        <x:f>G1629-F1629</x:f>
        <x:v>1861086225.0600023</x:v>
      </x:c>
    </x:row>
    <x:row r="1630">
      <x:c r="A1630" s="7" t="str">
        <x:v>K3524001</x:v>
      </x:c>
      <x:c r="B1630" s="7" t="str">
        <x:v>RS K3524001</x:v>
      </x:c>
      <x:c r="C1630" s="7" t="str">
        <x:v>D</x:v>
      </x:c>
      <x:c r="D1630" s="7" t="str">
        <x:v>LAMONGAN</x:v>
      </x:c>
      <x:c r="E1630" s="8">
        <x:v>15165</x:v>
      </x:c>
      <x:c r="F1630" s="9">
        <x:v>11545290400</x:v>
      </x:c>
      <x:c r="G1630" s="9">
        <x:v>14067915829.730001</x:v>
      </x:c>
      <x:c r="H1630" s="10" t="n">
        <x:f>G1630-F1630</x:f>
        <x:v>2522625429.7300014</x:v>
      </x:c>
    </x:row>
    <x:row r="1631">
      <x:c r="A1631" s="7" t="str">
        <x:v>K3525001</x:v>
      </x:c>
      <x:c r="B1631" s="7" t="str">
        <x:v>RS K3525001</x:v>
      </x:c>
      <x:c r="C1631" s="7" t="str">
        <x:v>D</x:v>
      </x:c>
      <x:c r="D1631" s="7" t="str">
        <x:v>GRESIK</x:v>
      </x:c>
      <x:c r="E1631" s="8">
        <x:v>12723</x:v>
      </x:c>
      <x:c r="F1631" s="9">
        <x:v>8604466200</x:v>
      </x:c>
      <x:c r="G1631" s="9">
        <x:v>10051911256.160002</x:v>
      </x:c>
      <x:c r="H1631" s="10" t="n">
        <x:f>G1631-F1631</x:f>
        <x:v>1447445056.1600018</x:v>
      </x:c>
    </x:row>
    <x:row r="1632">
      <x:c r="A1632" s="7" t="str">
        <x:v>K3526001</x:v>
      </x:c>
      <x:c r="B1632" s="7" t="str">
        <x:v>RS K3526001</x:v>
      </x:c>
      <x:c r="C1632" s="7" t="str">
        <x:v>D</x:v>
      </x:c>
      <x:c r="D1632" s="7" t="str">
        <x:v>BANGKALAN</x:v>
      </x:c>
      <x:c r="E1632" s="8">
        <x:v>5897</x:v>
      </x:c>
      <x:c r="F1632" s="9">
        <x:v>4512572400</x:v>
      </x:c>
      <x:c r="G1632" s="9">
        <x:v>6713346361.42</x:v>
      </x:c>
      <x:c r="H1632" s="10" t="n">
        <x:f>G1632-F1632</x:f>
        <x:v>2200773961.42</x:v>
      </x:c>
    </x:row>
    <x:row r="1633">
      <x:c r="A1633" s="7" t="str">
        <x:v>K3526004</x:v>
      </x:c>
      <x:c r="B1633" s="7" t="str">
        <x:v>RS K3526004</x:v>
      </x:c>
      <x:c r="C1633" s="7" t="str">
        <x:v>D</x:v>
      </x:c>
      <x:c r="D1633" s="7" t="str">
        <x:v>BANGKALAN</x:v>
      </x:c>
      <x:c r="E1633" s="8">
        <x:v>11651</x:v>
      </x:c>
      <x:c r="F1633" s="9">
        <x:v>7442741300</x:v>
      </x:c>
      <x:c r="G1633" s="9">
        <x:v>9233372348.650002</x:v>
      </x:c>
      <x:c r="H1633" s="10" t="n">
        <x:f>G1633-F1633</x:f>
        <x:v>1790631048.6500015</x:v>
      </x:c>
    </x:row>
    <x:row r="1634">
      <x:c r="A1634" s="7" t="str">
        <x:v>K354007</x:v>
      </x:c>
      <x:c r="B1634" s="7" t="str">
        <x:v>RS K354007</x:v>
      </x:c>
      <x:c r="C1634" s="7" t="str">
        <x:v>D</x:v>
      </x:c>
      <x:c r="D1634" s="7" t="str">
        <x:v>TULUNGAGUNG</x:v>
      </x:c>
      <x:c r="E1634" s="8">
        <x:v>5808</x:v>
      </x:c>
      <x:c r="F1634" s="9">
        <x:v>3946490200</x:v>
      </x:c>
      <x:c r="G1634" s="9">
        <x:v>4276181999.59</x:v>
      </x:c>
      <x:c r="H1634" s="10" t="n">
        <x:f>G1634-F1634</x:f>
        <x:v>329691799.59000015</x:v>
      </x:c>
    </x:row>
    <x:row r="1635">
      <x:c r="A1635" s="7" t="str">
        <x:v>K3573001</x:v>
      </x:c>
      <x:c r="B1635" s="7" t="str">
        <x:v>RS K3573001</x:v>
      </x:c>
      <x:c r="C1635" s="7" t="str">
        <x:v>D</x:v>
      </x:c>
      <x:c r="D1635" s="7" t="str">
        <x:v>KOTA MALANG</x:v>
      </x:c>
      <x:c r="E1635" s="8">
        <x:v>25019</x:v>
      </x:c>
      <x:c r="F1635" s="9">
        <x:v>12098733500</x:v>
      </x:c>
      <x:c r="G1635" s="9">
        <x:v>13906614225.8</x:v>
      </x:c>
      <x:c r="H1635" s="10" t="n">
        <x:f>G1635-F1635</x:f>
        <x:v>1807880725.7999992</x:v>
      </x:c>
    </x:row>
    <x:row r="1636">
      <x:c r="A1636" s="7" t="str">
        <x:v>K3573002</x:v>
      </x:c>
      <x:c r="B1636" s="7" t="str">
        <x:v>RS K3573002</x:v>
      </x:c>
      <x:c r="C1636" s="7" t="str">
        <x:v>D</x:v>
      </x:c>
      <x:c r="D1636" s="7" t="str">
        <x:v>KOTA MALANG</x:v>
      </x:c>
      <x:c r="E1636" s="8">
        <x:v>16599</x:v>
      </x:c>
      <x:c r="F1636" s="9">
        <x:v>6227288500</x:v>
      </x:c>
      <x:c r="G1636" s="9">
        <x:v>7986690508.18</x:v>
      </x:c>
      <x:c r="H1636" s="10" t="n">
        <x:f>G1636-F1636</x:f>
        <x:v>1759402008.1800003</x:v>
      </x:c>
    </x:row>
    <x:row r="1637">
      <x:c r="A1637" s="7" t="str">
        <x:v>K3576001</x:v>
      </x:c>
      <x:c r="B1637" s="7" t="str">
        <x:v>RS K3576001</x:v>
      </x:c>
      <x:c r="C1637" s="7" t="str">
        <x:v>D</x:v>
      </x:c>
      <x:c r="D1637" s="7" t="str">
        <x:v>MOJOKERTO</x:v>
      </x:c>
      <x:c r="E1637" s="8">
        <x:v>3894</x:v>
      </x:c>
      <x:c r="F1637" s="9">
        <x:v>2791327600</x:v>
      </x:c>
      <x:c r="G1637" s="9">
        <x:v>3202137721.06</x:v>
      </x:c>
      <x:c r="H1637" s="10" t="n">
        <x:f>G1637-F1637</x:f>
        <x:v>410810121.05999994</x:v>
      </x:c>
    </x:row>
    <x:row r="1638">
      <x:c r="A1638" s="7" t="str">
        <x:v>K3578003</x:v>
      </x:c>
      <x:c r="B1638" s="7" t="str">
        <x:v>RS K3578003</x:v>
      </x:c>
      <x:c r="C1638" s="7" t="str">
        <x:v>D</x:v>
      </x:c>
      <x:c r="D1638" s="7" t="str">
        <x:v>KOTA SURABAYA</x:v>
      </x:c>
      <x:c r="E1638" s="8">
        <x:v>30797</x:v>
      </x:c>
      <x:c r="F1638" s="9">
        <x:v>15940202800</x:v>
      </x:c>
      <x:c r="G1638" s="9">
        <x:v>17838702302.95</x:v>
      </x:c>
      <x:c r="H1638" s="10" t="n">
        <x:f>G1638-F1638</x:f>
        <x:v>1898499502.9500008</x:v>
      </x:c>
    </x:row>
    <x:row r="1639">
      <x:c r="A1639" s="7" t="str">
        <x:v>K3578004</x:v>
      </x:c>
      <x:c r="B1639" s="7" t="str">
        <x:v>RS K3578004</x:v>
      </x:c>
      <x:c r="C1639" s="7" t="str">
        <x:v>D</x:v>
      </x:c>
      <x:c r="D1639" s="7" t="str">
        <x:v>KOTA SURABAYA</x:v>
      </x:c>
      <x:c r="E1639" s="8">
        <x:v>26099</x:v>
      </x:c>
      <x:c r="F1639" s="9">
        <x:v>12672980800</x:v>
      </x:c>
      <x:c r="G1639" s="9">
        <x:v>14405375614.220001</x:v>
      </x:c>
      <x:c r="H1639" s="10" t="n">
        <x:f>G1639-F1639</x:f>
        <x:v>1732394814.2200012</x:v>
      </x:c>
    </x:row>
    <x:row r="1640">
      <x:c r="A1640" s="7" t="str">
        <x:v>K3578005</x:v>
      </x:c>
      <x:c r="B1640" s="7" t="str">
        <x:v>RS K3578005</x:v>
      </x:c>
      <x:c r="C1640" s="7" t="str">
        <x:v>D</x:v>
      </x:c>
      <x:c r="D1640" s="7" t="str">
        <x:v>KOTA SURABAYA</x:v>
      </x:c>
      <x:c r="E1640" s="8">
        <x:v>10778</x:v>
      </x:c>
      <x:c r="F1640" s="9">
        <x:v>5912817000</x:v>
      </x:c>
      <x:c r="G1640" s="9">
        <x:v>6940372602.81</x:v>
      </x:c>
      <x:c r="H1640" s="10" t="n">
        <x:f>G1640-F1640</x:f>
        <x:v>1027555602.8100004</x:v>
      </x:c>
    </x:row>
    <x:row r="1641">
      <x:c r="A1641" s="7" t="str">
        <x:v>K3578007</x:v>
      </x:c>
      <x:c r="B1641" s="7" t="str">
        <x:v>RS K3578007</x:v>
      </x:c>
      <x:c r="C1641" s="7" t="str">
        <x:v>D</x:v>
      </x:c>
      <x:c r="D1641" s="7" t="str">
        <x:v>KOTA SURABAYA</x:v>
      </x:c>
      <x:c r="E1641" s="8">
        <x:v>862</x:v>
      </x:c>
      <x:c r="F1641" s="9">
        <x:v>705305700</x:v>
      </x:c>
      <x:c r="G1641" s="9">
        <x:v>759853674.3599999</x:v>
      </x:c>
      <x:c r="H1641" s="10" t="n">
        <x:f>G1641-F1641</x:f>
        <x:v>54547974.359999895</x:v>
      </x:c>
    </x:row>
    <x:row r="1642">
      <x:c r="A1642" s="7" t="str">
        <x:v>K3578796</x:v>
      </x:c>
      <x:c r="B1642" s="7" t="str">
        <x:v>RS K3578796</x:v>
      </x:c>
      <x:c r="C1642" s="7" t="str">
        <x:v>D</x:v>
      </x:c>
      <x:c r="D1642" s="7" t="str">
        <x:v>KOTA SURABAYA</x:v>
      </x:c>
      <x:c r="E1642" s="8">
        <x:v>972</x:v>
      </x:c>
      <x:c r="F1642" s="9">
        <x:v>809676000</x:v>
      </x:c>
      <x:c r="G1642" s="9">
        <x:v>871313674.17</x:v>
      </x:c>
      <x:c r="H1642" s="10" t="n">
        <x:f>G1642-F1642</x:f>
        <x:v>61637674.16999996</x:v>
      </x:c>
    </x:row>
    <x:row r="1643">
      <x:c r="A1643" s="7" t="str">
        <x:v>K3578797</x:v>
      </x:c>
      <x:c r="B1643" s="7" t="str">
        <x:v>RS K3578797</x:v>
      </x:c>
      <x:c r="C1643" s="7" t="str">
        <x:v>D</x:v>
      </x:c>
      <x:c r="D1643" s="7" t="str">
        <x:v>KOTA SURABAYA</x:v>
      </x:c>
      <x:c r="E1643" s="8">
        <x:v>7831</x:v>
      </x:c>
      <x:c r="F1643" s="9">
        <x:v>4000255000</x:v>
      </x:c>
      <x:c r="G1643" s="9">
        <x:v>4795775327.21</x:v>
      </x:c>
      <x:c r="H1643" s="10" t="n">
        <x:f>G1643-F1643</x:f>
        <x:v>795520327.21</x:v>
      </x:c>
    </x:row>
    <x:row r="1644">
      <x:c r="A1644" s="7" t="str">
        <x:v>K3578799</x:v>
      </x:c>
      <x:c r="B1644" s="7" t="str">
        <x:v>RS K3578799</x:v>
      </x:c>
      <x:c r="C1644" s="7" t="str">
        <x:v>D</x:v>
      </x:c>
      <x:c r="D1644" s="7" t="str">
        <x:v>KOTA SURABAYA</x:v>
      </x:c>
      <x:c r="E1644" s="8">
        <x:v>139</x:v>
      </x:c>
      <x:c r="F1644" s="9">
        <x:v>165205800</x:v>
      </x:c>
      <x:c r="G1644" s="9">
        <x:v>203384175.29</x:v>
      </x:c>
      <x:c r="H1644" s="10" t="n">
        <x:f>G1644-F1644</x:f>
        <x:v>38178375.28999999</x:v>
      </x:c>
    </x:row>
    <x:row r="1645">
      <x:c r="A1645" s="7" t="str">
        <x:v>K5171002</x:v>
      </x:c>
      <x:c r="B1645" s="7" t="str">
        <x:v>RS K5171002</x:v>
      </x:c>
      <x:c r="C1645" s="7" t="str">
        <x:v>D</x:v>
      </x:c>
      <x:c r="D1645" s="7" t="str">
        <x:v>KOTA DENPASAR</x:v>
      </x:c>
      <x:c r="E1645" s="8">
        <x:v>9456</x:v>
      </x:c>
      <x:c r="F1645" s="9">
        <x:v>7563371200</x:v>
      </x:c>
      <x:c r="G1645" s="9">
        <x:v>8070659440.460001</x:v>
      </x:c>
      <x:c r="H1645" s="10" t="n">
        <x:f>G1645-F1645</x:f>
        <x:v>507288240.460001</x:v>
      </x:c>
    </x:row>
    <x:row r="1646">
      <x:c r="A1646" s="7" t="str">
        <x:v>K5171003</x:v>
      </x:c>
      <x:c r="B1646" s="7" t="str">
        <x:v>RS K5171003</x:v>
      </x:c>
      <x:c r="C1646" s="7" t="str">
        <x:v>D</x:v>
      </x:c>
      <x:c r="D1646" s="7" t="str">
        <x:v>KOTA DENPASAR</x:v>
      </x:c>
      <x:c r="E1646" s="8">
        <x:v>2049</x:v>
      </x:c>
      <x:c r="F1646" s="9">
        <x:v>1724438400</x:v>
      </x:c>
      <x:c r="G1646" s="9">
        <x:v>1836214275.49</x:v>
      </x:c>
      <x:c r="H1646" s="10" t="n">
        <x:f>G1646-F1646</x:f>
        <x:v>111775875.49000001</x:v>
      </x:c>
    </x:row>
    <x:row r="1647">
      <x:c r="A1647" s="7" t="str">
        <x:v>K5171004</x:v>
      </x:c>
      <x:c r="B1647" s="7" t="str">
        <x:v>RS K5171004</x:v>
      </x:c>
      <x:c r="C1647" s="7" t="str">
        <x:v>D</x:v>
      </x:c>
      <x:c r="D1647" s="7" t="str">
        <x:v>KOTA DENPASAR</x:v>
      </x:c>
      <x:c r="E1647" s="8">
        <x:v>359</x:v>
      </x:c>
      <x:c r="F1647" s="9">
        <x:v>74035600</x:v>
      </x:c>
      <x:c r="G1647" s="9">
        <x:v>86986187.81999998</x:v>
      </x:c>
      <x:c r="H1647" s="10" t="n">
        <x:f>G1647-F1647</x:f>
        <x:v>12950587.819999978</x:v>
      </x:c>
    </x:row>
    <x:row r="1648">
      <x:c r="A1648" s="7" t="str">
        <x:v>K5171006</x:v>
      </x:c>
      <x:c r="B1648" s="7" t="str">
        <x:v>RS K5171006</x:v>
      </x:c>
      <x:c r="C1648" s="7" t="str">
        <x:v>D</x:v>
      </x:c>
      <x:c r="D1648" s="7" t="str">
        <x:v>KOTA DENPASAR</x:v>
      </x:c>
      <x:c r="E1648" s="8">
        <x:v>9163</x:v>
      </x:c>
      <x:c r="F1648" s="9">
        <x:v>2138169800</x:v>
      </x:c>
      <x:c r="G1648" s="9">
        <x:v>2487930126.4400005</x:v>
      </x:c>
      <x:c r="H1648" s="10" t="n">
        <x:f>G1648-F1648</x:f>
        <x:v>349760326.44000053</x:v>
      </x:c>
    </x:row>
    <x:row r="1649">
      <x:c r="A1649" s="7" t="str">
        <x:v>3401015</x:v>
      </x:c>
      <x:c r="B1649" s="7" t="str">
        <x:v>RS Umum Daerah Wates</x:v>
      </x:c>
      <x:c r="C1649" s="7" t="str">
        <x:v>B</x:v>
      </x:c>
      <x:c r="D1649" s="7" t="str">
        <x:v>KULON PROGO</x:v>
      </x:c>
      <x:c r="E1649" s="8">
        <x:v>101926</x:v>
      </x:c>
      <x:c r="F1649" s="9">
        <x:v>93905944900</x:v>
      </x:c>
      <x:c r="G1649" s="9">
        <x:v>106995158942.88008</x:v>
      </x:c>
      <x:c r="H1649" s="10" t="n">
        <x:f>G1649-F1649</x:f>
        <x:v>13089214042.880081</x:v>
      </x:c>
    </x:row>
    <x:row r="1650">
      <x:c r="A1650" s="7" t="str">
        <x:v>3401026</x:v>
      </x:c>
      <x:c r="B1650" s="7" t="str">
        <x:v>RSU Santo Yusup Boro</x:v>
      </x:c>
      <x:c r="C1650" s="7" t="str">
        <x:v>D</x:v>
      </x:c>
      <x:c r="D1650" s="7" t="str">
        <x:v>KULON PROGO</x:v>
      </x:c>
      <x:c r="E1650" s="8">
        <x:v>2732</x:v>
      </x:c>
      <x:c r="F1650" s="9">
        <x:v>1897275800</x:v>
      </x:c>
      <x:c r="G1650" s="9">
        <x:v>2639343957.51</x:v>
      </x:c>
      <x:c r="H1650" s="10" t="n">
        <x:f>G1650-F1650</x:f>
        <x:v>742068157.5100002</x:v>
      </x:c>
    </x:row>
    <x:row r="1651">
      <x:c r="A1651" s="7" t="str">
        <x:v>3401037</x:v>
      </x:c>
      <x:c r="B1651" s="7" t="str">
        <x:v>RS Umum Rizki Amalia Medika</x:v>
      </x:c>
      <x:c r="C1651" s="7" t="str">
        <x:v>D</x:v>
      </x:c>
      <x:c r="D1651" s="7" t="str">
        <x:v>KULON PROGO</x:v>
      </x:c>
      <x:c r="E1651" s="8">
        <x:v>26543</x:v>
      </x:c>
      <x:c r="F1651" s="9">
        <x:v>13827490400</x:v>
      </x:c>
      <x:c r="G1651" s="9">
        <x:v>18499533459.60999</x:v>
      </x:c>
      <x:c r="H1651" s="10" t="n">
        <x:f>G1651-F1651</x:f>
        <x:v>4672043059.609989</x:v>
      </x:c>
    </x:row>
    <x:row r="1652">
      <x:c r="A1652" s="7" t="str">
        <x:v>3401048</x:v>
      </x:c>
      <x:c r="B1652" s="7" t="str">
        <x:v>RS Umum Kharisma Paramedika</x:v>
      </x:c>
      <x:c r="C1652" s="7" t="str">
        <x:v>D</x:v>
      </x:c>
      <x:c r="D1652" s="7" t="str">
        <x:v>KULON PROGO</x:v>
      </x:c>
      <x:c r="E1652" s="8">
        <x:v>10556</x:v>
      </x:c>
      <x:c r="F1652" s="9">
        <x:v>5621556900</x:v>
      </x:c>
      <x:c r="G1652" s="9">
        <x:v>7111542678.399999</x:v>
      </x:c>
      <x:c r="H1652" s="10" t="n">
        <x:f>G1652-F1652</x:f>
        <x:v>1489985778.3999987</x:v>
      </x:c>
    </x:row>
    <x:row r="1653">
      <x:c r="A1653" s="7" t="str">
        <x:v>3401050</x:v>
      </x:c>
      <x:c r="B1653" s="7" t="str">
        <x:v>RS Umum PKU Muhammadiyah Nanggulan</x:v>
      </x:c>
      <x:c r="C1653" s="7" t="str">
        <x:v>D</x:v>
      </x:c>
      <x:c r="D1653" s="7" t="str">
        <x:v>KULON PROGO</x:v>
      </x:c>
      <x:c r="E1653" s="8">
        <x:v>9159</x:v>
      </x:c>
      <x:c r="F1653" s="9">
        <x:v>6242274200</x:v>
      </x:c>
      <x:c r="G1653" s="9">
        <x:v>8529566513.240002</x:v>
      </x:c>
      <x:c r="H1653" s="10" t="n">
        <x:f>G1653-F1653</x:f>
        <x:v>2287292313.2400017</x:v>
      </x:c>
    </x:row>
    <x:row r="1654">
      <x:c r="A1654" s="7" t="str">
        <x:v>3401051</x:v>
      </x:c>
      <x:c r="B1654" s="7" t="str">
        <x:v>RS Umum Rizki Amalia</x:v>
      </x:c>
      <x:c r="C1654" s="7" t="str">
        <x:v>D</x:v>
      </x:c>
      <x:c r="D1654" s="7" t="str">
        <x:v>KULON PROGO</x:v>
      </x:c>
      <x:c r="E1654" s="8">
        <x:v>9593</x:v>
      </x:c>
      <x:c r="F1654" s="9">
        <x:v>6892977350</x:v>
      </x:c>
      <x:c r="G1654" s="9">
        <x:v>8693957231.900002</x:v>
      </x:c>
      <x:c r="H1654" s="10" t="n">
        <x:f>G1654-F1654</x:f>
        <x:v>1800979881.9000015</x:v>
      </x:c>
    </x:row>
    <x:row r="1655">
      <x:c r="A1655" s="7" t="str">
        <x:v>3401052</x:v>
      </x:c>
      <x:c r="B1655" s="7" t="str">
        <x:v>RS Umum Daerah Nyi Ageng Serang</x:v>
      </x:c>
      <x:c r="C1655" s="7" t="str">
        <x:v>C</x:v>
      </x:c>
      <x:c r="D1655" s="7" t="str">
        <x:v>KULON PROGO</x:v>
      </x:c>
      <x:c r="E1655" s="8">
        <x:v>44734</x:v>
      </x:c>
      <x:c r="F1655" s="9">
        <x:v>21446648200</x:v>
      </x:c>
      <x:c r="G1655" s="9">
        <x:v>27417347077.89</x:v>
      </x:c>
      <x:c r="H1655" s="10" t="n">
        <x:f>G1655-F1655</x:f>
        <x:v>5970698877.889999</x:v>
      </x:c>
    </x:row>
    <x:row r="1656">
      <x:c r="A1656" s="7" t="str">
        <x:v>3401053</x:v>
      </x:c>
      <x:c r="B1656" s="7" t="str">
        <x:v>RS Umum Pura Raharja Medika</x:v>
      </x:c>
      <x:c r="C1656" s="7" t="str">
        <x:v>D</x:v>
      </x:c>
      <x:c r="D1656" s="7" t="str">
        <x:v>KULON PROGO</x:v>
      </x:c>
      <x:c r="E1656" s="8">
        <x:v>11526</x:v>
      </x:c>
      <x:c r="F1656" s="9">
        <x:v>8396695900</x:v>
      </x:c>
      <x:c r="G1656" s="9">
        <x:v>11193548289.439999</x:v>
      </x:c>
      <x:c r="H1656" s="10" t="n">
        <x:f>G1656-F1656</x:f>
        <x:v>2796852389.4399986</x:v>
      </x:c>
    </x:row>
    <x:row r="1657">
      <x:c r="A1657" s="7" t="str">
        <x:v>3401058</x:v>
      </x:c>
      <x:c r="B1657" s="7" t="str">
        <x:v>RS Umum Queen Latifa</x:v>
      </x:c>
      <x:c r="C1657" s="7" t="str">
        <x:v>D</x:v>
      </x:c>
      <x:c r="D1657" s="7" t="str">
        <x:v>KULON PROGO</x:v>
      </x:c>
      <x:c r="E1657" s="8">
        <x:v>21353</x:v>
      </x:c>
      <x:c r="F1657" s="9">
        <x:v>12872636500</x:v>
      </x:c>
      <x:c r="G1657" s="9">
        <x:v>15820419448.699997</x:v>
      </x:c>
      <x:c r="H1657" s="10" t="n">
        <x:f>G1657-F1657</x:f>
        <x:v>2947782948.699997</x:v>
      </x:c>
    </x:row>
    <x:row r="1658">
      <x:c r="A1658" s="7" t="str">
        <x:v>3402016</x:v>
      </x:c>
      <x:c r="B1658" s="7" t="str">
        <x:v>RS Umum Daerah Panembahan Senopati</x:v>
      </x:c>
      <x:c r="C1658" s="7" t="str">
        <x:v>B</x:v>
      </x:c>
      <x:c r="D1658" s="7" t="str">
        <x:v>BANTUL</x:v>
      </x:c>
      <x:c r="E1658" s="8">
        <x:v>138818</x:v>
      </x:c>
      <x:c r="F1658" s="9">
        <x:v>102809452870</x:v>
      </x:c>
      <x:c r="G1658" s="9">
        <x:v>114449830856.54</x:v>
      </x:c>
      <x:c r="H1658" s="10" t="n">
        <x:f>G1658-F1658</x:f>
        <x:v>11640377986.539993</x:v>
      </x:c>
    </x:row>
    <x:row r="1659">
      <x:c r="A1659" s="7" t="str">
        <x:v>3402020</x:v>
      </x:c>
      <x:c r="B1659" s="7" t="str">
        <x:v>RS Umum Santa Elisabeth</x:v>
      </x:c>
      <x:c r="C1659" s="7" t="str">
        <x:v>D</x:v>
      </x:c>
      <x:c r="D1659" s="7" t="str">
        <x:v>BANTUL</x:v>
      </x:c>
      <x:c r="E1659" s="8">
        <x:v>32115</x:v>
      </x:c>
      <x:c r="F1659" s="9">
        <x:v>14981639200</x:v>
      </x:c>
      <x:c r="G1659" s="9">
        <x:v>19831086953.73999</x:v>
      </x:c>
      <x:c r="H1659" s="10" t="n">
        <x:f>G1659-F1659</x:f>
        <x:v>4849447753.73999</x:v>
      </x:c>
    </x:row>
    <x:row r="1660">
      <x:c r="A1660" s="7" t="str">
        <x:v>3402031</x:v>
      </x:c>
      <x:c r="B1660" s="7" t="str">
        <x:v>RSU PKU Muhammadiyah Bantul</x:v>
      </x:c>
      <x:c r="C1660" s="7" t="str">
        <x:v>C</x:v>
      </x:c>
      <x:c r="D1660" s="7" t="str">
        <x:v>BANTUL</x:v>
      </x:c>
      <x:c r="E1660" s="8">
        <x:v>119442</x:v>
      </x:c>
      <x:c r="F1660" s="9">
        <x:v>82447969300</x:v>
      </x:c>
      <x:c r="G1660" s="9">
        <x:v>99329870264.20999</x:v>
      </x:c>
      <x:c r="H1660" s="10" t="n">
        <x:f>G1660-F1660</x:f>
        <x:v>16881900964.209991</x:v>
      </x:c>
    </x:row>
    <x:row r="1661">
      <x:c r="A1661" s="7" t="str">
        <x:v>3402053</x:v>
      </x:c>
      <x:c r="B1661" s="7" t="str">
        <x:v>RS Umum Nur Hidayah</x:v>
      </x:c>
      <x:c r="C1661" s="7" t="str">
        <x:v>D</x:v>
      </x:c>
      <x:c r="D1661" s="7" t="str">
        <x:v>BANTUL</x:v>
      </x:c>
      <x:c r="E1661" s="8">
        <x:v>47031</x:v>
      </x:c>
      <x:c r="F1661" s="9">
        <x:v>26237072100</x:v>
      </x:c>
      <x:c r="G1661" s="9">
        <x:v>32412842415.73999</x:v>
      </x:c>
      <x:c r="H1661" s="10" t="n">
        <x:f>G1661-F1661</x:f>
        <x:v>6175770315.73999</x:v>
      </x:c>
    </x:row>
    <x:row r="1662">
      <x:c r="A1662" s="7" t="str">
        <x:v>3402064</x:v>
      </x:c>
      <x:c r="B1662" s="7" t="str">
        <x:v>RS Umum Rachma Husada</x:v>
      </x:c>
      <x:c r="C1662" s="7" t="str">
        <x:v>C</x:v>
      </x:c>
      <x:c r="D1662" s="7" t="str">
        <x:v>BANTUL</x:v>
      </x:c>
      <x:c r="E1662" s="8">
        <x:v>13202</x:v>
      </x:c>
      <x:c r="F1662" s="9">
        <x:v>8474131300</x:v>
      </x:c>
      <x:c r="G1662" s="9">
        <x:v>10451176759.699995</x:v>
      </x:c>
      <x:c r="H1662" s="10" t="n">
        <x:f>G1662-F1662</x:f>
        <x:v>1977045459.699995</x:v>
      </x:c>
    </x:row>
    <x:row r="1663">
      <x:c r="A1663" s="7" t="str">
        <x:v>3402075</x:v>
      </x:c>
      <x:c r="B1663" s="7" t="str">
        <x:v>RS Umum Permata Husada</x:v>
      </x:c>
      <x:c r="C1663" s="7" t="str">
        <x:v>D</x:v>
      </x:c>
      <x:c r="D1663" s="7" t="str">
        <x:v>BANTUL</x:v>
      </x:c>
      <x:c r="E1663" s="8">
        <x:v>3893</x:v>
      </x:c>
      <x:c r="F1663" s="9">
        <x:v>2663209600</x:v>
      </x:c>
      <x:c r="G1663" s="9">
        <x:v>3652574784.490001</x:v>
      </x:c>
      <x:c r="H1663" s="10" t="n">
        <x:f>G1663-F1663</x:f>
        <x:v>989365184.4900012</x:v>
      </x:c>
    </x:row>
    <x:row r="1664">
      <x:c r="A1664" s="7" t="str">
        <x:v>3402076</x:v>
      </x:c>
      <x:c r="B1664" s="7" t="str">
        <x:v>RS Khusus Bedah Ring Road Selatan</x:v>
      </x:c>
      <x:c r="C1664" s="7" t="str">
        <x:v>C</x:v>
      </x:c>
      <x:c r="D1664" s="7" t="str">
        <x:v>BANTUL</x:v>
      </x:c>
      <x:c r="E1664" s="8">
        <x:v>4744</x:v>
      </x:c>
      <x:c r="F1664" s="9">
        <x:v>5515014400</x:v>
      </x:c>
      <x:c r="G1664" s="9">
        <x:v>7168332553.54</x:v>
      </x:c>
      <x:c r="H1664" s="10" t="n">
        <x:f>G1664-F1664</x:f>
        <x:v>1653318153.54</x:v>
      </x:c>
    </x:row>
    <x:row r="1665">
      <x:c r="A1665" s="7" t="str">
        <x:v>3402077</x:v>
      </x:c>
      <x:c r="B1665" s="7" t="str">
        <x:v>RS 3402077</x:v>
      </x:c>
      <x:c r="C1665" s="7" t="str">
        <x:v>D</x:v>
      </x:c>
      <x:c r="D1665" s="7" t="str">
        <x:v>BANTUL</x:v>
      </x:c>
      <x:c r="E1665" s="8">
        <x:v>1683</x:v>
      </x:c>
      <x:c r="F1665" s="9">
        <x:v>949853100</x:v>
      </x:c>
      <x:c r="G1665" s="9">
        <x:v>1140887231.3199997</x:v>
      </x:c>
      <x:c r="H1665" s="10" t="n">
        <x:f>G1665-F1665</x:f>
        <x:v>191034131.3199997</x:v>
      </x:c>
    </x:row>
    <x:row r="1666">
      <x:c r="A1666" s="7" t="str">
        <x:v>3402084</x:v>
      </x:c>
      <x:c r="B1666" s="7" t="str">
        <x:v>RS Universitas Islam Indonesia</x:v>
      </x:c>
      <x:c r="C1666" s="7" t="str">
        <x:v>C</x:v>
      </x:c>
      <x:c r="D1666" s="7" t="str">
        <x:v>BANTUL</x:v>
      </x:c>
      <x:c r="E1666" s="8">
        <x:v>47297</x:v>
      </x:c>
      <x:c r="F1666" s="9">
        <x:v>33443027600</x:v>
      </x:c>
      <x:c r="G1666" s="9">
        <x:v>40442955766.52999</x:v>
      </x:c>
      <x:c r="H1666" s="10" t="n">
        <x:f>G1666-F1666</x:f>
        <x:v>6999928166.529991</x:v>
      </x:c>
    </x:row>
    <x:row r="1667">
      <x:c r="A1667" s="7" t="str">
        <x:v>3402086</x:v>
      </x:c>
      <x:c r="B1667" s="7" t="str">
        <x:v>RS Rajawali Citra</x:v>
      </x:c>
      <x:c r="C1667" s="7" t="str">
        <x:v>D</x:v>
      </x:c>
      <x:c r="D1667" s="7" t="str">
        <x:v>BANTUL</x:v>
      </x:c>
      <x:c r="E1667" s="8">
        <x:v>42179</x:v>
      </x:c>
      <x:c r="F1667" s="9">
        <x:v>17659069300</x:v>
      </x:c>
      <x:c r="G1667" s="9">
        <x:v>22529645392.420013</x:v>
      </x:c>
      <x:c r="H1667" s="10" t="n">
        <x:f>G1667-F1667</x:f>
        <x:v>4870576092.420013</x:v>
      </x:c>
    </x:row>
    <x:row r="1668">
      <x:c r="A1668" s="7" t="str">
        <x:v>3402097</x:v>
      </x:c>
      <x:c r="B1668" s="7" t="str">
        <x:v>RS Umum Daerah Saras Adyatma</x:v>
      </x:c>
      <x:c r="C1668" s="7" t="str">
        <x:v>D</x:v>
      </x:c>
      <x:c r="D1668" s="7" t="str">
        <x:v>BANTUL</x:v>
      </x:c>
      <x:c r="E1668" s="8">
        <x:v>6615</x:v>
      </x:c>
      <x:c r="F1668" s="9">
        <x:v>4425495100</x:v>
      </x:c>
      <x:c r="G1668" s="9">
        <x:v>6329485073.97</x:v>
      </x:c>
      <x:c r="H1668" s="10" t="n">
        <x:f>G1668-F1668</x:f>
        <x:v>1903989973.9700003</x:v>
      </x:c>
    </x:row>
    <x:row r="1669">
      <x:c r="A1669" s="7" t="str">
        <x:v>3403010</x:v>
      </x:c>
      <x:c r="B1669" s="7" t="str">
        <x:v>RS Umum Daerah Wonosari</x:v>
      </x:c>
      <x:c r="C1669" s="7" t="str">
        <x:v>B</x:v>
      </x:c>
      <x:c r="D1669" s="7" t="str">
        <x:v>GUNUNG KIDUL</x:v>
      </x:c>
      <x:c r="E1669" s="8">
        <x:v>87155</x:v>
      </x:c>
      <x:c r="F1669" s="9">
        <x:v>50305284110</x:v>
      </x:c>
      <x:c r="G1669" s="9">
        <x:v>61089756675.979996</x:v>
      </x:c>
      <x:c r="H1669" s="10" t="n">
        <x:f>G1669-F1669</x:f>
        <x:v>10784472565.979996</x:v>
      </x:c>
    </x:row>
    <x:row r="1670">
      <x:c r="A1670" s="7" t="str">
        <x:v>3403021</x:v>
      </x:c>
      <x:c r="B1670" s="7" t="str">
        <x:v>RS Umum Nur Rohmah</x:v>
      </x:c>
      <x:c r="C1670" s="7" t="str">
        <x:v>D</x:v>
      </x:c>
      <x:c r="D1670" s="7" t="str">
        <x:v>GUNUNG KIDUL</x:v>
      </x:c>
      <x:c r="E1670" s="8">
        <x:v>14004</x:v>
      </x:c>
      <x:c r="F1670" s="9">
        <x:v>10342090300</x:v>
      </x:c>
      <x:c r="G1670" s="9">
        <x:v>13390026177.540003</x:v>
      </x:c>
      <x:c r="H1670" s="10" t="n">
        <x:f>G1670-F1670</x:f>
        <x:v>3047935877.540003</x:v>
      </x:c>
    </x:row>
    <x:row r="1671">
      <x:c r="A1671" s="7" t="str">
        <x:v>3403022</x:v>
      </x:c>
      <x:c r="B1671" s="7" t="str">
        <x:v>RS Umum Pelita Husada</x:v>
      </x:c>
      <x:c r="C1671" s="7" t="str">
        <x:v>D</x:v>
      </x:c>
      <x:c r="D1671" s="7" t="str">
        <x:v>GUNUNG KIDUL</x:v>
      </x:c>
      <x:c r="E1671" s="8">
        <x:v>9606</x:v>
      </x:c>
      <x:c r="F1671" s="9">
        <x:v>10564775000</x:v>
      </x:c>
      <x:c r="G1671" s="9">
        <x:v>13733575402.880005</x:v>
      </x:c>
      <x:c r="H1671" s="10" t="n">
        <x:f>G1671-F1671</x:f>
        <x:v>3168800402.880005</x:v>
      </x:c>
    </x:row>
    <x:row r="1672">
      <x:c r="A1672" s="7" t="str">
        <x:v>3403023</x:v>
      </x:c>
      <x:c r="B1672" s="7" t="str">
        <x:v>RS Umum Panti Rahayu</x:v>
      </x:c>
      <x:c r="C1672" s="7" t="str">
        <x:v>C</x:v>
      </x:c>
      <x:c r="D1672" s="7" t="str">
        <x:v>GUNUNG KIDUL</x:v>
      </x:c>
      <x:c r="E1672" s="8">
        <x:v>72506</x:v>
      </x:c>
      <x:c r="F1672" s="9">
        <x:v>41257619100</x:v>
      </x:c>
      <x:c r="G1672" s="9">
        <x:v>49000645742.67001</x:v>
      </x:c>
      <x:c r="H1672" s="10" t="n">
        <x:f>G1672-F1672</x:f>
        <x:v>7743026642.670013</x:v>
      </x:c>
    </x:row>
    <x:row r="1673">
      <x:c r="A1673" s="7" t="str">
        <x:v>3403024</x:v>
      </x:c>
      <x:c r="B1673" s="7" t="str">
        <x:v>RS Umum PKU Muhammadiyah Wonosari</x:v>
      </x:c>
      <x:c r="C1673" s="7" t="str">
        <x:v>D</x:v>
      </x:c>
      <x:c r="D1673" s="7" t="str">
        <x:v>GUNUNG KIDUL</x:v>
      </x:c>
      <x:c r="E1673" s="8">
        <x:v>21200</x:v>
      </x:c>
      <x:c r="F1673" s="9">
        <x:v>14892752450</x:v>
      </x:c>
      <x:c r="G1673" s="9">
        <x:v>19249805174.70001</x:v>
      </x:c>
      <x:c r="H1673" s="10" t="n">
        <x:f>G1673-F1673</x:f>
        <x:v>4357052724.700008</x:v>
      </x:c>
    </x:row>
    <x:row r="1674">
      <x:c r="A1674" s="7" t="str">
        <x:v>3403025</x:v>
      </x:c>
      <x:c r="B1674" s="7" t="str">
        <x:v>RS Bethesda Wonosari</x:v>
      </x:c>
      <x:c r="C1674" s="7" t="str">
        <x:v>D</x:v>
      </x:c>
      <x:c r="D1674" s="7" t="str">
        <x:v>GUNUNG KIDUL</x:v>
      </x:c>
      <x:c r="E1674" s="8">
        <x:v>18996</x:v>
      </x:c>
      <x:c r="F1674" s="9">
        <x:v>8850450800</x:v>
      </x:c>
      <x:c r="G1674" s="9">
        <x:v>11603066564.230005</x:v>
      </x:c>
      <x:c r="H1674" s="10" t="n">
        <x:f>G1674-F1674</x:f>
        <x:v>2752615764.2300053</x:v>
      </x:c>
    </x:row>
    <x:row r="1675">
      <x:c r="A1675" s="7" t="str">
        <x:v>3403027</x:v>
      </x:c>
      <x:c r="B1675" s="7" t="str">
        <x:v>RS Umum Daerah Saptosari</x:v>
      </x:c>
      <x:c r="C1675" s="7" t="str">
        <x:v>D</x:v>
      </x:c>
      <x:c r="D1675" s="7" t="str">
        <x:v>GUNUNG KIDUL</x:v>
      </x:c>
      <x:c r="E1675" s="8">
        <x:v>13950</x:v>
      </x:c>
      <x:c r="F1675" s="9">
        <x:v>7932980800</x:v>
      </x:c>
      <x:c r="G1675" s="9">
        <x:v>11027274373.89</x:v>
      </x:c>
      <x:c r="H1675" s="10" t="n">
        <x:f>G1675-F1675</x:f>
        <x:v>3094293573.8899994</x:v>
      </x:c>
    </x:row>
    <x:row r="1676">
      <x:c r="A1676" s="7" t="str">
        <x:v>3403038</x:v>
      </x:c>
      <x:c r="B1676" s="7" t="str">
        <x:v>RS Islam Gunungkidul</x:v>
      </x:c>
      <x:c r="C1676" s="7" t="str">
        <x:v>D</x:v>
      </x:c>
      <x:c r="D1676" s="7" t="str">
        <x:v>GUNUNG KIDUL</x:v>
      </x:c>
      <x:c r="E1676" s="8">
        <x:v>11398</x:v>
      </x:c>
      <x:c r="F1676" s="9">
        <x:v>12164771200</x:v>
      </x:c>
      <x:c r="G1676" s="9">
        <x:v>17240871967.120003</x:v>
      </x:c>
      <x:c r="H1676" s="10" t="n">
        <x:f>G1676-F1676</x:f>
        <x:v>5076100767.120003</x:v>
      </x:c>
    </x:row>
    <x:row r="1677">
      <x:c r="A1677" s="7" t="str">
        <x:v>3404011</x:v>
      </x:c>
      <x:c r="B1677" s="7" t="str">
        <x:v>RS Umum Daerah Sleman</x:v>
      </x:c>
      <x:c r="C1677" s="7" t="str">
        <x:v>B</x:v>
      </x:c>
      <x:c r="D1677" s="7" t="str">
        <x:v>SLEMAN</x:v>
      </x:c>
      <x:c r="E1677" s="8">
        <x:v>92043</x:v>
      </x:c>
      <x:c r="F1677" s="9">
        <x:v>70973169270</x:v>
      </x:c>
      <x:c r="G1677" s="9">
        <x:v>78547281556.57</x:v>
      </x:c>
      <x:c r="H1677" s="10" t="n">
        <x:f>G1677-F1677</x:f>
        <x:v>7574112286.570007</x:v>
      </x:c>
    </x:row>
    <x:row r="1678">
      <x:c r="A1678" s="7" t="str">
        <x:v>3404015</x:v>
      </x:c>
      <x:c r="B1678" s="7" t="str">
        <x:v>RSUP Dr. Sardjito</x:v>
      </x:c>
      <x:c r="C1678" s="7" t="str">
        <x:v>A</x:v>
      </x:c>
      <x:c r="D1678" s="7" t="str">
        <x:v>SLEMAN</x:v>
      </x:c>
      <x:c r="E1678" s="8">
        <x:v>472040</x:v>
      </x:c>
      <x:c r="F1678" s="9">
        <x:v>843694562900</x:v>
      </x:c>
      <x:c r="G1678" s="9">
        <x:v>690656468883.0903</x:v>
      </x:c>
      <x:c r="H1678" s="10" t="n">
        <x:f>G1678-F1678</x:f>
        <x:v>-153038094016.90967</x:v>
      </x:c>
    </x:row>
    <x:row r="1679">
      <x:c r="A1679" s="7" t="str">
        <x:v>3404022</x:v>
      </x:c>
      <x:c r="B1679" s="7" t="str">
        <x:v>RS Jiwa Grhasia</x:v>
      </x:c>
      <x:c r="C1679" s="7" t="str">
        <x:v>A</x:v>
      </x:c>
      <x:c r="D1679" s="7" t="str">
        <x:v>SLEMAN</x:v>
      </x:c>
      <x:c r="E1679" s="8">
        <x:v>16389</x:v>
      </x:c>
      <x:c r="F1679" s="9">
        <x:v>10730625400</x:v>
      </x:c>
      <x:c r="G1679" s="9">
        <x:v>10195721348.789995</x:v>
      </x:c>
      <x:c r="H1679" s="10" t="n">
        <x:f>G1679-F1679</x:f>
        <x:v>-534904051.2100048</x:v>
      </x:c>
    </x:row>
    <x:row r="1680">
      <x:c r="A1680" s="7" t="str">
        <x:v>3404033</x:v>
      </x:c>
      <x:c r="B1680" s="7" t="str">
        <x:v>Charitas Hospital Klepu</x:v>
      </x:c>
      <x:c r="C1680" s="7" t="str">
        <x:v>D</x:v>
      </x:c>
      <x:c r="D1680" s="7" t="str">
        <x:v>SLEMAN</x:v>
      </x:c>
      <x:c r="E1680" s="8">
        <x:v>20185</x:v>
      </x:c>
      <x:c r="F1680" s="9">
        <x:v>10838108100</x:v>
      </x:c>
      <x:c r="G1680" s="9">
        <x:v>15689382649.990004</x:v>
      </x:c>
      <x:c r="H1680" s="10" t="n">
        <x:f>G1680-F1680</x:f>
        <x:v>4851274549.990004</x:v>
      </x:c>
    </x:row>
    <x:row r="1681">
      <x:c r="A1681" s="7" t="str">
        <x:v>3404045</x:v>
      </x:c>
      <x:c r="B1681" s="7" t="str">
        <x:v>RS Umum Queen Latifa</x:v>
      </x:c>
      <x:c r="C1681" s="7" t="str">
        <x:v>C</x:v>
      </x:c>
      <x:c r="D1681" s="7" t="str">
        <x:v>SLEMAN</x:v>
      </x:c>
      <x:c r="E1681" s="8">
        <x:v>79476</x:v>
      </x:c>
      <x:c r="F1681" s="9">
        <x:v>41831243600</x:v>
      </x:c>
      <x:c r="G1681" s="9">
        <x:v>49705993073.57</x:v>
      </x:c>
      <x:c r="H1681" s="10" t="n">
        <x:f>G1681-F1681</x:f>
        <x:v>7874749473.57</x:v>
      </x:c>
    </x:row>
    <x:row r="1682">
      <x:c r="A1682" s="7" t="str">
        <x:v>3404070</x:v>
      </x:c>
      <x:c r="B1682" s="7" t="str">
        <x:v>RS Khusus Bedah An-Nur</x:v>
      </x:c>
      <x:c r="C1682" s="7" t="str">
        <x:v>C</x:v>
      </x:c>
      <x:c r="D1682" s="7" t="str">
        <x:v>SLEMAN</x:v>
      </x:c>
      <x:c r="E1682" s="8">
        <x:v>1556</x:v>
      </x:c>
      <x:c r="F1682" s="9">
        <x:v>2281329700</x:v>
      </x:c>
      <x:c r="G1682" s="9">
        <x:v>2817673254.1200004</x:v>
      </x:c>
      <x:c r="H1682" s="10" t="n">
        <x:f>G1682-F1682</x:f>
        <x:v>536343554.12000036</x:v>
      </x:c>
    </x:row>
    <x:row r="1683">
      <x:c r="A1683" s="7" t="str">
        <x:v>3404081</x:v>
      </x:c>
      <x:c r="B1683" s="7" t="str">
        <x:v>RS Umum Condong Catur</x:v>
      </x:c>
      <x:c r="C1683" s="7" t="str">
        <x:v>D</x:v>
      </x:c>
      <x:c r="D1683" s="7" t="str">
        <x:v>SLEMAN</x:v>
      </x:c>
      <x:c r="E1683" s="8">
        <x:v>39179</x:v>
      </x:c>
      <x:c r="F1683" s="9">
        <x:v>13767470650</x:v>
      </x:c>
      <x:c r="G1683" s="9">
        <x:v>15650215119.740004</x:v>
      </x:c>
      <x:c r="H1683" s="10" t="n">
        <x:f>G1683-F1683</x:f>
        <x:v>1882744469.7400036</x:v>
      </x:c>
    </x:row>
    <x:row r="1684">
      <x:c r="A1684" s="7" t="str">
        <x:v>3404092</x:v>
      </x:c>
      <x:c r="B1684" s="7" t="str">
        <x:v>RS Umum Puri Husada Yogyakarta</x:v>
      </x:c>
      <x:c r="C1684" s="7" t="str">
        <x:v>D</x:v>
      </x:c>
      <x:c r="D1684" s="7" t="str">
        <x:v>SLEMAN</x:v>
      </x:c>
      <x:c r="E1684" s="8">
        <x:v>20959</x:v>
      </x:c>
      <x:c r="F1684" s="9">
        <x:v>9435895700</x:v>
      </x:c>
      <x:c r="G1684" s="9">
        <x:v>11343719756.99</x:v>
      </x:c>
      <x:c r="H1684" s="10" t="n">
        <x:f>G1684-F1684</x:f>
        <x:v>1907824056.9899998</x:v>
      </x:c>
    </x:row>
    <x:row r="1685">
      <x:c r="A1685" s="7" t="str">
        <x:v>3404102</x:v>
      </x:c>
      <x:c r="B1685" s="7" t="str">
        <x:v>RS Umum Panti Rini</x:v>
      </x:c>
      <x:c r="C1685" s="7" t="str">
        <x:v>C</x:v>
      </x:c>
      <x:c r="D1685" s="7" t="str">
        <x:v>SLEMAN</x:v>
      </x:c>
      <x:c r="E1685" s="8">
        <x:v>47123</x:v>
      </x:c>
      <x:c r="F1685" s="9">
        <x:v>18908290200</x:v>
      </x:c>
      <x:c r="G1685" s="9">
        <x:v>24653795245.040005</x:v>
      </x:c>
      <x:c r="H1685" s="10" t="n">
        <x:f>G1685-F1685</x:f>
        <x:v>5745505045.040005</x:v>
      </x:c>
    </x:row>
    <x:row r="1686">
      <x:c r="A1686" s="7" t="str">
        <x:v>3404124</x:v>
      </x:c>
      <x:c r="B1686" s="7" t="str">
        <x:v>RS Umum Panti Nugroho</x:v>
      </x:c>
      <x:c r="C1686" s="7" t="str">
        <x:v>D</x:v>
      </x:c>
      <x:c r="D1686" s="7" t="str">
        <x:v>SLEMAN</x:v>
      </x:c>
      <x:c r="E1686" s="8">
        <x:v>38583</x:v>
      </x:c>
      <x:c r="F1686" s="9">
        <x:v>16890017700</x:v>
      </x:c>
      <x:c r="G1686" s="9">
        <x:v>22983827493.25</x:v>
      </x:c>
      <x:c r="H1686" s="10" t="n">
        <x:f>G1686-F1686</x:f>
        <x:v>6093809793.25</x:v>
      </x:c>
    </x:row>
    <x:row r="1687">
      <x:c r="A1687" s="7" t="str">
        <x:v>3404146</x:v>
      </x:c>
      <x:c r="B1687" s="7" t="str">
        <x:v>RS Islam Yayasan PDHI</x:v>
      </x:c>
      <x:c r="C1687" s="7" t="str">
        <x:v>C</x:v>
      </x:c>
      <x:c r="D1687" s="7" t="str">
        <x:v>SLEMAN</x:v>
      </x:c>
      <x:c r="E1687" s="8">
        <x:v>128580</x:v>
      </x:c>
      <x:c r="F1687" s="9">
        <x:v>95576956200</x:v>
      </x:c>
      <x:c r="G1687" s="9">
        <x:v>114541478271.43997</x:v>
      </x:c>
      <x:c r="H1687" s="10" t="n">
        <x:f>G1687-F1687</x:f>
        <x:v>18964522071.439972</x:v>
      </x:c>
    </x:row>
    <x:row r="1688">
      <x:c r="A1688" s="7" t="str">
        <x:v>3404157</x:v>
      </x:c>
      <x:c r="B1688" s="7" t="str">
        <x:v>RS Umum Sakina Idaman</x:v>
      </x:c>
      <x:c r="C1688" s="7" t="str">
        <x:v>C</x:v>
      </x:c>
      <x:c r="D1688" s="7" t="str">
        <x:v>SLEMAN</x:v>
      </x:c>
      <x:c r="E1688" s="8">
        <x:v>31412</x:v>
      </x:c>
      <x:c r="F1688" s="9">
        <x:v>18353387450</x:v>
      </x:c>
      <x:c r="G1688" s="9">
        <x:v>21608779163.09</x:v>
      </x:c>
      <x:c r="H1688" s="10" t="n">
        <x:f>G1688-F1688</x:f>
        <x:v>3255391713.09</x:v>
      </x:c>
    </x:row>
    <x:row r="1689">
      <x:c r="A1689" s="7" t="str">
        <x:v>3404168</x:v>
      </x:c>
      <x:c r="B1689" s="7" t="str">
        <x:v>RS Umum Daerah Prambanan</x:v>
      </x:c>
      <x:c r="C1689" s="7" t="str">
        <x:v>C</x:v>
      </x:c>
      <x:c r="D1689" s="7" t="str">
        <x:v>SLEMAN</x:v>
      </x:c>
      <x:c r="E1689" s="8">
        <x:v>60488</x:v>
      </x:c>
      <x:c r="F1689" s="9">
        <x:v>29092127100</x:v>
      </x:c>
      <x:c r="G1689" s="9">
        <x:v>34833945422.579994</x:v>
      </x:c>
      <x:c r="H1689" s="10" t="n">
        <x:f>G1689-F1689</x:f>
        <x:v>5741818322.579994</x:v>
      </x:c>
    </x:row>
    <x:row r="1690">
      <x:c r="A1690" s="7" t="str">
        <x:v>3404179</x:v>
      </x:c>
      <x:c r="B1690" s="7" t="str">
        <x:v>RS Umum Mitra Paramedika</x:v>
      </x:c>
      <x:c r="C1690" s="7" t="str">
        <x:v>D</x:v>
      </x:c>
      <x:c r="D1690" s="7" t="str">
        <x:v>SLEMAN</x:v>
      </x:c>
      <x:c r="E1690" s="8">
        <x:v>37155</x:v>
      </x:c>
      <x:c r="F1690" s="9">
        <x:v>21636697600</x:v>
      </x:c>
      <x:c r="G1690" s="9">
        <x:v>28091414069.379993</x:v>
      </x:c>
      <x:c r="H1690" s="10" t="n">
        <x:f>G1690-F1690</x:f>
        <x:v>6454716469.379993</x:v>
      </x:c>
    </x:row>
    <x:row r="1691">
      <x:c r="A1691" s="7" t="str">
        <x:v>3404180</x:v>
      </x:c>
      <x:c r="B1691" s="7" t="str">
        <x:v>RS Ibu Anak Arvita Bunda</x:v>
      </x:c>
      <x:c r="C1691" s="7" t="str">
        <x:v>C</x:v>
      </x:c>
      <x:c r="D1691" s="7" t="str">
        <x:v>SLEMAN</x:v>
      </x:c>
      <x:c r="E1691" s="8">
        <x:v>413</x:v>
      </x:c>
      <x:c r="F1691" s="9">
        <x:v>550427400</x:v>
      </x:c>
      <x:c r="G1691" s="9">
        <x:v>659190840.3899997</x:v>
      </x:c>
      <x:c r="H1691" s="10" t="n">
        <x:f>G1691-F1691</x:f>
        <x:v>108763440.38999975</x:v>
      </x:c>
    </x:row>
    <x:row r="1692">
      <x:c r="A1692" s="7" t="str">
        <x:v>3404181</x:v>
      </x:c>
      <x:c r="B1692" s="7" t="str">
        <x:v>RS At-Turots Al-Islamy</x:v>
      </x:c>
      <x:c r="C1692" s="7" t="str">
        <x:v>D</x:v>
      </x:c>
      <x:c r="D1692" s="7" t="str">
        <x:v>SLEMAN</x:v>
      </x:c>
      <x:c r="E1692" s="8">
        <x:v>16358</x:v>
      </x:c>
      <x:c r="F1692" s="9">
        <x:v>5657435600</x:v>
      </x:c>
      <x:c r="G1692" s="9">
        <x:v>10957622455.640001</x:v>
      </x:c>
      <x:c r="H1692" s="10" t="n">
        <x:f>G1692-F1692</x:f>
        <x:v>5300186855.640001</x:v>
      </x:c>
    </x:row>
    <x:row r="1693">
      <x:c r="A1693" s="7" t="str">
        <x:v>3404182</x:v>
      </x:c>
      <x:c r="B1693" s="7" t="str">
        <x:v>RS Umum Gramedika 10</x:v>
      </x:c>
      <x:c r="C1693" s="7" t="str">
        <x:v>D</x:v>
      </x:c>
      <x:c r="D1693" s="7" t="str">
        <x:v>SLEMAN</x:v>
      </x:c>
      <x:c r="E1693" s="8">
        <x:v>2079</x:v>
      </x:c>
      <x:c r="F1693" s="9">
        <x:v>1005940800</x:v>
      </x:c>
      <x:c r="G1693" s="9">
        <x:v>1266246555.0699997</x:v>
      </x:c>
      <x:c r="H1693" s="10" t="n">
        <x:f>G1693-F1693</x:f>
        <x:v>260305755.0699997</x:v>
      </x:c>
    </x:row>
    <x:row r="1694">
      <x:c r="A1694" s="7" t="str">
        <x:v>3404183</x:v>
      </x:c>
      <x:c r="B1694" s="7" t="str">
        <x:v>RS Umum PKU Muhammadiyah Gamping</x:v>
      </x:c>
      <x:c r="C1694" s="7" t="str">
        <x:v>B</x:v>
      </x:c>
      <x:c r="D1694" s="7" t="str">
        <x:v>SLEMAN</x:v>
      </x:c>
      <x:c r="E1694" s="8">
        <x:v>118835</x:v>
      </x:c>
      <x:c r="F1694" s="9">
        <x:v>121738350100</x:v>
      </x:c>
      <x:c r="G1694" s="9">
        <x:v>133976641797.84999</x:v>
      </x:c>
      <x:c r="H1694" s="10" t="n">
        <x:f>G1694-F1694</x:f>
        <x:v>12238291697.84999</x:v>
      </x:c>
    </x:row>
    <x:row r="1695">
      <x:c r="A1695" s="7" t="str">
        <x:v>3404184</x:v>
      </x:c>
      <x:c r="B1695" s="7" t="str">
        <x:v>RS Umum Bhayangkara POLDA DIY</x:v>
      </x:c>
      <x:c r="C1695" s="7" t="str">
        <x:v>D</x:v>
      </x:c>
      <x:c r="D1695" s="7" t="str">
        <x:v>SLEMAN</x:v>
      </x:c>
      <x:c r="E1695" s="8">
        <x:v>24227</x:v>
      </x:c>
      <x:c r="F1695" s="9">
        <x:v>13637106805</x:v>
      </x:c>
      <x:c r="G1695" s="9">
        <x:v>17448419684.100002</x:v>
      </x:c>
      <x:c r="H1695" s="10" t="n">
        <x:f>G1695-F1695</x:f>
        <x:v>3811312879.1000023</x:v>
      </x:c>
    </x:row>
    <x:row r="1696">
      <x:c r="A1696" s="7" t="str">
        <x:v>3404187</x:v>
      </x:c>
      <x:c r="B1696" s="7" t="str">
        <x:v>RS Sadewa</x:v>
      </x:c>
      <x:c r="C1696" s="7" t="str">
        <x:v>C</x:v>
      </x:c>
      <x:c r="D1696" s="7" t="str">
        <x:v>SLEMAN</x:v>
      </x:c>
      <x:c r="E1696" s="8">
        <x:v>12277</x:v>
      </x:c>
      <x:c r="F1696" s="9">
        <x:v>11666227300</x:v>
      </x:c>
      <x:c r="G1696" s="9">
        <x:v>12882641371.550001</x:v>
      </x:c>
      <x:c r="H1696" s="10" t="n">
        <x:f>G1696-F1696</x:f>
        <x:v>1216414071.5500011</x:v>
      </x:c>
    </x:row>
    <x:row r="1697">
      <x:c r="A1697" s="7" t="str">
        <x:v>3404189</x:v>
      </x:c>
      <x:c r="B1697" s="7" t="str">
        <x:v>RS Akademik Universitas Gadjah Mada</x:v>
      </x:c>
      <x:c r="C1697" s="7" t="str">
        <x:v>B</x:v>
      </x:c>
      <x:c r="D1697" s="7" t="str">
        <x:v>SLEMAN</x:v>
      </x:c>
      <x:c r="E1697" s="8">
        <x:v>247837</x:v>
      </x:c>
      <x:c r="F1697" s="9">
        <x:v>234412618615</x:v>
      </x:c>
      <x:c r="G1697" s="9">
        <x:v>269573793881.19998</x:v>
      </x:c>
      <x:c r="H1697" s="10" t="n">
        <x:f>G1697-F1697</x:f>
        <x:v>35161175266.19998</x:v>
      </x:c>
    </x:row>
    <x:row r="1698">
      <x:c r="A1698" s="7" t="str">
        <x:v>3404190</x:v>
      </x:c>
      <x:c r="B1698" s="7" t="str">
        <x:v>RS Umum Mitra Sehat</x:v>
      </x:c>
      <x:c r="C1698" s="7" t="str">
        <x:v>D</x:v>
      </x:c>
      <x:c r="D1698" s="7" t="str">
        <x:v>SLEMAN</x:v>
      </x:c>
      <x:c r="E1698" s="8">
        <x:v>13185</x:v>
      </x:c>
      <x:c r="F1698" s="9">
        <x:v>6868603100</x:v>
      </x:c>
      <x:c r="G1698" s="9">
        <x:v>8726918511.219995</x:v>
      </x:c>
      <x:c r="H1698" s="10" t="n">
        <x:f>G1698-F1698</x:f>
        <x:v>1858315411.2199955</x:v>
      </x:c>
    </x:row>
    <x:row r="1699">
      <x:c r="A1699" s="7" t="str">
        <x:v>3404191</x:v>
      </x:c>
      <x:c r="B1699" s="7" t="str">
        <x:v>RS Universitas Ahmad Dahlan</x:v>
      </x:c>
      <x:c r="C1699" s="7" t="str">
        <x:v>D</x:v>
      </x:c>
      <x:c r="D1699" s="7" t="str">
        <x:v>SLEMAN</x:v>
      </x:c>
      <x:c r="E1699" s="8">
        <x:v>42536</x:v>
      </x:c>
      <x:c r="F1699" s="9">
        <x:v>19080298500</x:v>
      </x:c>
      <x:c r="G1699" s="9">
        <x:v>25427214783.81001</x:v>
      </x:c>
      <x:c r="H1699" s="10" t="n">
        <x:f>G1699-F1699</x:f>
        <x:v>6346916283.810009</x:v>
      </x:c>
    </x:row>
    <x:row r="1700">
      <x:c r="A1700" s="7" t="str">
        <x:v>3404193</x:v>
      </x:c>
      <x:c r="B1700" s="7" t="str">
        <x:v>RS Umum Hermina Yogya</x:v>
      </x:c>
      <x:c r="C1700" s="7" t="str">
        <x:v>C</x:v>
      </x:c>
      <x:c r="D1700" s="7" t="str">
        <x:v>SLEMAN</x:v>
      </x:c>
      <x:c r="E1700" s="8">
        <x:v>108446</x:v>
      </x:c>
      <x:c r="F1700" s="9">
        <x:v>63330840550</x:v>
      </x:c>
      <x:c r="G1700" s="9">
        <x:v>75759647229.73001</x:v>
      </x:c>
      <x:c r="H1700" s="10" t="n">
        <x:f>G1700-F1700</x:f>
        <x:v>12428806679.730011</x:v>
      </x:c>
    </x:row>
    <x:row r="1701">
      <x:c r="A1701" s="7" t="str">
        <x:v>3404210</x:v>
      </x:c>
      <x:c r="B1701" s="7" t="str">
        <x:v>RS PKU Muhammadiyah Sleman</x:v>
      </x:c>
      <x:c r="C1701" s="7" t="str">
        <x:v>C</x:v>
      </x:c>
      <x:c r="D1701" s="7" t="str">
        <x:v>SLEMAN</x:v>
      </x:c>
      <x:c r="E1701" s="8">
        <x:v>18631</x:v>
      </x:c>
      <x:c r="F1701" s="9">
        <x:v>10998742800</x:v>
      </x:c>
      <x:c r="G1701" s="9">
        <x:v>13885438588.349995</x:v>
      </x:c>
      <x:c r="H1701" s="10" t="n">
        <x:f>G1701-F1701</x:f>
        <x:v>2886695788.3499947</x:v>
      </x:c>
    </x:row>
    <x:row r="1702">
      <x:c r="A1702" s="7" t="str">
        <x:v>3471026</x:v>
      </x:c>
      <x:c r="B1702" s="7" t="str">
        <x:v>RS Islam Hidayatullah Yogyakarta</x:v>
      </x:c>
      <x:c r="C1702" s="7" t="str">
        <x:v>D</x:v>
      </x:c>
      <x:c r="D1702" s="7" t="str">
        <x:v>KOTA YOGYAKARTA</x:v>
      </x:c>
      <x:c r="E1702" s="8">
        <x:v>34864</x:v>
      </x:c>
      <x:c r="F1702" s="9">
        <x:v>17992617700</x:v>
      </x:c>
      <x:c r="G1702" s="9">
        <x:v>25296058955.720005</x:v>
      </x:c>
      <x:c r="H1702" s="10" t="n">
        <x:f>G1702-F1702</x:f>
        <x:v>7303441255.720005</x:v>
      </x:c>
    </x:row>
    <x:row r="1703">
      <x:c r="A1703" s="7" t="str">
        <x:v>3471030</x:v>
      </x:c>
      <x:c r="B1703" s="7" t="str">
        <x:v>RS Tk. III 04.06.03 Dr. Soetarto</x:v>
      </x:c>
      <x:c r="C1703" s="7" t="str">
        <x:v>C</x:v>
      </x:c>
      <x:c r="D1703" s="7" t="str">
        <x:v>KOTA YOGYAKARTA</x:v>
      </x:c>
      <x:c r="E1703" s="8">
        <x:v>56668</x:v>
      </x:c>
      <x:c r="F1703" s="9">
        <x:v>26396506905</x:v>
      </x:c>
      <x:c r="G1703" s="9">
        <x:v>31977987830.869987</x:v>
      </x:c>
      <x:c r="H1703" s="10" t="n">
        <x:f>G1703-F1703</x:f>
        <x:v>5581480925.8699875</x:v>
      </x:c>
    </x:row>
    <x:row r="1704">
      <x:c r="A1704" s="7" t="str">
        <x:v>3471041</x:v>
      </x:c>
      <x:c r="B1704" s="7" t="str">
        <x:v>RS PKU Muhammadiyah Yogyakarta</x:v>
      </x:c>
      <x:c r="C1704" s="7" t="str">
        <x:v>B</x:v>
      </x:c>
      <x:c r="D1704" s="7" t="str">
        <x:v>KOTA YOGYAKARTA</x:v>
      </x:c>
      <x:c r="E1704" s="8">
        <x:v>79386</x:v>
      </x:c>
      <x:c r="F1704" s="9">
        <x:v>83519841360</x:v>
      </x:c>
      <x:c r="G1704" s="9">
        <x:v>83548760041.75</x:v>
      </x:c>
      <x:c r="H1704" s="10" t="n">
        <x:f>G1704-F1704</x:f>
        <x:v>28918681.75</x:v>
      </x:c>
    </x:row>
    <x:row r="1705">
      <x:c r="A1705" s="7" t="str">
        <x:v>3471052</x:v>
      </x:c>
      <x:c r="B1705" s="7" t="str">
        <x:v>RS Umum Panti Rapih</x:v>
      </x:c>
      <x:c r="C1705" s="7" t="str">
        <x:v>B</x:v>
      </x:c>
      <x:c r="D1705" s="7" t="str">
        <x:v>KOTA YOGYAKARTA</x:v>
      </x:c>
      <x:c r="E1705" s="8">
        <x:v>85370</x:v>
      </x:c>
      <x:c r="F1705" s="9">
        <x:v>105250659920</x:v>
      </x:c>
      <x:c r="G1705" s="9">
        <x:v>109220494852.82002</x:v>
      </x:c>
      <x:c r="H1705" s="10" t="n">
        <x:f>G1705-F1705</x:f>
        <x:v>3969834932.8200226</x:v>
      </x:c>
    </x:row>
    <x:row r="1706">
      <x:c r="A1706" s="7" t="str">
        <x:v>3471063</x:v>
      </x:c>
      <x:c r="B1706" s="7" t="str">
        <x:v>RS Bethesda Yogyakarta</x:v>
      </x:c>
      <x:c r="C1706" s="7" t="str">
        <x:v>B</x:v>
      </x:c>
      <x:c r="D1706" s="7" t="str">
        <x:v>KOTA YOGYAKARTA</x:v>
      </x:c>
      <x:c r="E1706" s="8">
        <x:v>116713</x:v>
      </x:c>
      <x:c r="F1706" s="9">
        <x:v>117284528980</x:v>
      </x:c>
      <x:c r="G1706" s="9">
        <x:v>120516671858.80997</x:v>
      </x:c>
      <x:c r="H1706" s="10" t="n">
        <x:f>G1706-F1706</x:f>
        <x:v>3232142878.809967</x:v>
      </x:c>
    </x:row>
    <x:row r="1707">
      <x:c r="A1707" s="7" t="str">
        <x:v>3471074</x:v>
      </x:c>
      <x:c r="B1707" s="7" t="str">
        <x:v>RSPAU Dr.  Suhardi Harjolukito</x:v>
      </x:c>
      <x:c r="C1707" s="7" t="str">
        <x:v>B</x:v>
      </x:c>
      <x:c r="D1707" s="7" t="str">
        <x:v>KOTA YOGYAKARTA</x:v>
      </x:c>
      <x:c r="E1707" s="8">
        <x:v>114666</x:v>
      </x:c>
      <x:c r="F1707" s="9">
        <x:v>108523070995</x:v>
      </x:c>
      <x:c r="G1707" s="9">
        <x:v>120609913269.89001</x:v>
      </x:c>
      <x:c r="H1707" s="10" t="n">
        <x:f>G1707-F1707</x:f>
        <x:v>12086842274.890015</x:v>
      </x:c>
    </x:row>
    <x:row r="1708">
      <x:c r="A1708" s="7" t="str">
        <x:v>3471096</x:v>
      </x:c>
      <x:c r="B1708" s="7" t="str">
        <x:v>RS  Mata Dr. Yap</x:v>
      </x:c>
      <x:c r="C1708" s="7" t="str">
        <x:v>B</x:v>
      </x:c>
      <x:c r="D1708" s="7" t="str">
        <x:v>KOTA YOGYAKARTA</x:v>
      </x:c>
      <x:c r="E1708" s="8">
        <x:v>39329</x:v>
      </x:c>
      <x:c r="F1708" s="9">
        <x:v>58853049200</x:v>
      </x:c>
      <x:c r="G1708" s="9">
        <x:v>54029893063.41</x:v>
      </x:c>
      <x:c r="H1708" s="10" t="n">
        <x:f>G1708-F1708</x:f>
        <x:v>-4823156136.589996</x:v>
      </x:c>
    </x:row>
    <x:row r="1709">
      <x:c r="A1709" s="7" t="str">
        <x:v>3471107</x:v>
      </x:c>
      <x:c r="B1709" s="7" t="str">
        <x:v>RS Khusus Ibu dan Anak  PKU Muhammadiyah Kotagede</x:v>
      </x:c>
      <x:c r="C1709" s="7" t="str">
        <x:v>C</x:v>
      </x:c>
      <x:c r="D1709" s="7" t="str">
        <x:v>KOTA YOGYAKARTA</x:v>
      </x:c>
      <x:c r="E1709" s="8">
        <x:v>2278</x:v>
      </x:c>
      <x:c r="F1709" s="9">
        <x:v>2842923200</x:v>
      </x:c>
      <x:c r="G1709" s="9">
        <x:v>3281494850.089999</x:v>
      </x:c>
      <x:c r="H1709" s="10" t="n">
        <x:f>G1709-F1709</x:f>
        <x:v>438571650.0899992</x:v>
      </x:c>
    </x:row>
    <x:row r="1710">
      <x:c r="A1710" s="7" t="str">
        <x:v>3471121</x:v>
      </x:c>
      <x:c r="B1710" s="7" t="str">
        <x:v>RS Paru Respira</x:v>
      </x:c>
      <x:c r="C1710" s="7" t="str">
        <x:v>C</x:v>
      </x:c>
      <x:c r="D1710" s="7" t="str">
        <x:v>KOTA YOGYAKARTA</x:v>
      </x:c>
      <x:c r="E1710" s="8">
        <x:v>14633</x:v>
      </x:c>
      <x:c r="F1710" s="9">
        <x:v>6015990600</x:v>
      </x:c>
      <x:c r="G1710" s="9">
        <x:v>7308617884.81</x:v>
      </x:c>
      <x:c r="H1710" s="10" t="n">
        <x:f>G1710-F1710</x:f>
        <x:v>1292627284.8100004</x:v>
      </x:c>
    </x:row>
    <x:row r="1711">
      <x:c r="A1711" s="7" t="str">
        <x:v>3471234</x:v>
      </x:c>
      <x:c r="B1711" s="7" t="str">
        <x:v>RS Umum Daerah Kota Yogyakarta</x:v>
      </x:c>
      <x:c r="C1711" s="7" t="str">
        <x:v>B</x:v>
      </x:c>
      <x:c r="D1711" s="7" t="str">
        <x:v>KOTA YOGYAKARTA</x:v>
      </x:c>
      <x:c r="E1711" s="8">
        <x:v>97582</x:v>
      </x:c>
      <x:c r="F1711" s="9">
        <x:v>73445308070</x:v>
      </x:c>
      <x:c r="G1711" s="9">
        <x:v>80068889733.9</x:v>
      </x:c>
      <x:c r="H1711" s="10" t="n">
        <x:f>G1711-F1711</x:f>
        <x:v>6623581663.899994</x:v>
      </x:c>
    </x:row>
    <x:row r="1712">
      <x:c r="A1712" s="7" t="str">
        <x:v>3471282</x:v>
      </x:c>
      <x:c r="B1712" s="7" t="str">
        <x:v>RS Ludira Husada Tama</x:v>
      </x:c>
      <x:c r="C1712" s="7" t="str">
        <x:v>D</x:v>
      </x:c>
      <x:c r="D1712" s="7" t="str">
        <x:v>KOTA YOGYAKARTA</x:v>
      </x:c>
      <x:c r="E1712" s="8">
        <x:v>34609</x:v>
      </x:c>
      <x:c r="F1712" s="9">
        <x:v>10676432600</x:v>
      </x:c>
      <x:c r="G1712" s="9">
        <x:v>12769108013.979996</x:v>
      </x:c>
      <x:c r="H1712" s="10" t="n">
        <x:f>G1712-F1712</x:f>
        <x:v>2092675413.9799957</x:v>
      </x:c>
    </x:row>
    <x:row r="1713">
      <x:c r="A1713" s="7" t="str">
        <x:v>3471336</x:v>
      </x:c>
      <x:c r="B1713" s="7" t="str">
        <x:v>RS Bethesda Lempuyangwangi</x:v>
      </x:c>
      <x:c r="C1713" s="7" t="str">
        <x:v>D</x:v>
      </x:c>
      <x:c r="D1713" s="7" t="str">
        <x:v>KOTA YOGYAKARTA</x:v>
      </x:c>
      <x:c r="E1713" s="8">
        <x:v>52395</x:v>
      </x:c>
      <x:c r="F1713" s="9">
        <x:v>19198237000</x:v>
      </x:c>
      <x:c r="G1713" s="9">
        <x:v>23690432523.48999</x:v>
      </x:c>
      <x:c r="H1713" s="10" t="n">
        <x:f>G1713-F1713</x:f>
        <x:v>4492195523.48999</x:v>
      </x:c>
    </x:row>
    <x:row r="1714">
      <x:c r="A1714" s="7" t="str">
        <x:v>3471362</x:v>
      </x:c>
      <x:c r="B1714" s="7" t="str">
        <x:v>RS Gigi dan Mulut UGM Prof. Soedomo</x:v>
      </x:c>
      <x:c r="C1714" s="7" t="str">
        <x:v>B</x:v>
      </x:c>
      <x:c r="D1714" s="7" t="str">
        <x:v>SLEMAN</x:v>
      </x:c>
      <x:c r="E1714" s="8">
        <x:v>16128</x:v>
      </x:c>
      <x:c r="F1714" s="9">
        <x:v>6708725000</x:v>
      </x:c>
      <x:c r="G1714" s="9">
        <x:v>7299372984.579998</x:v>
      </x:c>
      <x:c r="H1714" s="10" t="n">
        <x:f>G1714-F1714</x:f>
        <x:v>590647984.579998</x:v>
      </x:c>
    </x:row>
    <x:row r="1715">
      <x:c r="A1715" s="7" t="str">
        <x:v>3471373</x:v>
      </x:c>
      <x:c r="B1715" s="7" t="str">
        <x:v>RS Happy Land Medical Centre</x:v>
      </x:c>
      <x:c r="C1715" s="7" t="str">
        <x:v>C</x:v>
      </x:c>
      <x:c r="D1715" s="7" t="str">
        <x:v>KOTA YOGYAKARTA</x:v>
      </x:c>
      <x:c r="E1715" s="8">
        <x:v>58616</x:v>
      </x:c>
      <x:c r="F1715" s="9">
        <x:v>28311666900</x:v>
      </x:c>
      <x:c r="G1715" s="9">
        <x:v>31274280735.38999</x:v>
      </x:c>
      <x:c r="H1715" s="10" t="n">
        <x:f>G1715-F1715</x:f>
        <x:v>2962613835.3899918</x:v>
      </x:c>
    </x:row>
    <x:row r="1716">
      <x:c r="A1716" s="7" t="str">
        <x:v>3471377</x:v>
      </x:c>
      <x:c r="B1716" s="7" t="str">
        <x:v>RS Pratama Kota Yogyakarta</x:v>
      </x:c>
      <x:c r="C1716" s="7" t="str">
        <x:v>D</x:v>
      </x:c>
      <x:c r="D1716" s="7" t="str">
        <x:v>KOTA YOGYAKARTA</x:v>
      </x:c>
      <x:c r="E1716" s="8">
        <x:v>20365</x:v>
      </x:c>
      <x:c r="F1716" s="9">
        <x:v>8827260400</x:v>
      </x:c>
      <x:c r="G1716" s="9">
        <x:v>11725503915.700003</x:v>
      </x:c>
      <x:c r="H1716" s="10" t="n">
        <x:f>G1716-F1716</x:f>
        <x:v>2898243515.7000027</x:v>
      </x:c>
    </x:row>
    <x:row r="1717">
      <x:c r="A1717" s="7" t="str">
        <x:v>3471380</x:v>
      </x:c>
      <x:c r="B1717" s="7" t="str">
        <x:v>RS Siloam Yogyakarta</x:v>
      </x:c>
      <x:c r="C1717" s="7" t="str">
        <x:v>C</x:v>
      </x:c>
      <x:c r="D1717" s="7" t="str">
        <x:v>KOTA YOGYAKARTA</x:v>
      </x:c>
      <x:c r="E1717" s="8">
        <x:v>64086</x:v>
      </x:c>
      <x:c r="F1717" s="9">
        <x:v>27110558000</x:v>
      </x:c>
      <x:c r="G1717" s="9">
        <x:v>30709478856.770004</x:v>
      </x:c>
      <x:c r="H1717" s="10" t="n">
        <x:f>G1717-F1717</x:f>
        <x:v>3598920856.7700043</x:v>
      </x:c>
    </x:row>
    <x:row r="1718">
      <x:c r="A1718" s="7" t="str">
        <x:v>3471381</x:v>
      </x:c>
      <x:c r="B1718" s="7" t="str">
        <x:v>RS AMC Muhammadiyah</x:v>
      </x:c>
      <x:c r="C1718" s="7" t="str">
        <x:v>D</x:v>
      </x:c>
      <x:c r="D1718" s="7" t="str">
        <x:v>KOTA YOGYAKARTA</x:v>
      </x:c>
      <x:c r="E1718" s="8">
        <x:v>49551</x:v>
      </x:c>
      <x:c r="F1718" s="9">
        <x:v>22978432700</x:v>
      </x:c>
      <x:c r="G1718" s="9">
        <x:v>29113462212.580017</x:v>
      </x:c>
      <x:c r="H1718" s="10" t="n">
        <x:f>G1718-F1718</x:f>
        <x:v>6135029512.580017</x:v>
      </x:c>
    </x:row>
    <x:row r="1719">
      <x:c r="A1719" s="7" t="str">
        <x:v>K1236516</x:v>
      </x:c>
      <x:c r="B1719" s="7" t="str">
        <x:v>RS K1236516</x:v>
      </x:c>
      <x:c r="C1719" s="7" t="str">
        <x:v>D</x:v>
      </x:c>
      <x:c r="D1719" s="7" t="str">
        <x:v>GUNUNG KIDUL</x:v>
      </x:c>
      <x:c r="E1719" s="8">
        <x:v>1300</x:v>
      </x:c>
      <x:c r="F1719" s="9">
        <x:v>520782100</x:v>
      </x:c>
      <x:c r="G1719" s="9">
        <x:v>672599926.63</x:v>
      </x:c>
      <x:c r="H1719" s="10" t="n">
        <x:f>G1719-F1719</x:f>
        <x:v>151817826.63</x:v>
      </x:c>
    </x:row>
    <x:row r="1720">
      <x:c r="A1720" s="7" t="str">
        <x:v>K1239182</x:v>
      </x:c>
      <x:c r="B1720" s="7" t="str">
        <x:v>RS K1239182</x:v>
      </x:c>
      <x:c r="C1720" s="7" t="str">
        <x:v>D</x:v>
      </x:c>
      <x:c r="D1720" s="7" t="str">
        <x:v>KOTA YOGYAKARTA</x:v>
      </x:c>
      <x:c r="E1720" s="8">
        <x:v>11136</x:v>
      </x:c>
      <x:c r="F1720" s="9">
        <x:v>4962857500</x:v>
      </x:c>
      <x:c r="G1720" s="9">
        <x:v>6801925187.95</x:v>
      </x:c>
      <x:c r="H1720" s="10" t="n">
        <x:f>G1720-F1720</x:f>
        <x:v>1839067687.9499998</x:v>
      </x:c>
    </x:row>
    <x:row r="1721">
      <x:c r="A1721" s="7" t="str">
        <x:v>K3402001</x:v>
      </x:c>
      <x:c r="B1721" s="7" t="str">
        <x:v>RS K3402001</x:v>
      </x:c>
      <x:c r="C1721" s="7" t="str">
        <x:v>D</x:v>
      </x:c>
      <x:c r="D1721" s="7" t="str">
        <x:v>BANTUL</x:v>
      </x:c>
      <x:c r="E1721" s="8">
        <x:v>18831</x:v>
      </x:c>
      <x:c r="F1721" s="9">
        <x:v>15686098050</x:v>
      </x:c>
      <x:c r="G1721" s="9">
        <x:v>16885413264.25</x:v>
      </x:c>
      <x:c r="H1721" s="10" t="n">
        <x:f>G1721-F1721</x:f>
        <x:v>1199315214.25</x:v>
      </x:c>
    </x:row>
    <x:row r="1722">
      <x:c r="A1722" s="7" t="str">
        <x:v>K344211</x:v>
      </x:c>
      <x:c r="B1722" s="7" t="str">
        <x:v>RS K344211</x:v>
      </x:c>
      <x:c r="C1722" s="7" t="str">
        <x:v>D</x:v>
      </x:c>
      <x:c r="D1722" s="7" t="str">
        <x:v>SLEMAN</x:v>
      </x:c>
      <x:c r="E1722" s="8">
        <x:v>6758</x:v>
      </x:c>
      <x:c r="F1722" s="9">
        <x:v>5629414000</x:v>
      </x:c>
      <x:c r="G1722" s="9">
        <x:v>6056887782.679999</x:v>
      </x:c>
      <x:c r="H1722" s="10" t="n">
        <x:f>G1722-F1722</x:f>
        <x:v>427473782.67999935</x:v>
      </x:c>
    </x:row>
    <x:row r="1723">
      <x:c r="A1723" s="7" t="str">
        <x:v>K344212</x:v>
      </x:c>
      <x:c r="B1723" s="7" t="str">
        <x:v>RS K344212</x:v>
      </x:c>
      <x:c r="C1723" s="7" t="str">
        <x:v>D</x:v>
      </x:c>
      <x:c r="D1723" s="7" t="str">
        <x:v>SLEMAN</x:v>
      </x:c>
      <x:c r="E1723" s="8">
        <x:v>5203</x:v>
      </x:c>
      <x:c r="F1723" s="9">
        <x:v>4334099000</x:v>
      </x:c>
      <x:c r="G1723" s="9">
        <x:v>4663501650.2300005</x:v>
      </x:c>
      <x:c r="H1723" s="10" t="n">
        <x:f>G1723-F1723</x:f>
        <x:v>329402650.2300005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30.83203125" customWidth="1"/>
    <x:col min="2" max="2" width="36.83203125" customWidth="1"/>
    <x:col min="3" max="3" width="18.83203125" customWidth="1"/>
    <x:col min="4" max="4" width="18.83203125" customWidth="1"/>
    <x:col min="5" max="5" width="14.83203125" customWidth="1"/>
    <x:col min="6" max="6" width="70.83203125" customWidth="1"/>
    <x:col min="7" max="7" width="14.83203125" customWidth="1"/>
    <x:col min="8" max="8" width="70.83203125" customWidth="1"/>
    <x:col min="9" max="9" width="14.83203125" customWidth="1"/>
    <x:col min="10" max="10" width="70.83203125" customWidth="1"/>
    <x:col min="11" max="11" width="16.83203125" customWidth="1"/>
    <x:col min="12" max="12" width="70.83203125" customWidth="1"/>
    <x:col min="13" max="13" width="22.83203125" customWidth="1"/>
    <x:col min="14" max="14" width="90.83203125" customWidth="1"/>
  </x:cols>
  <x:sheetData>
    <x:row r="1">
      <x:c r="A1" s="4" t="str">
        <x:v>Kode Layanan</x:v>
      </x:c>
      <x:c r="B1" s="4" t="str">
        <x:v>Nama Layanan</x:v>
      </x:c>
      <x:c r="C1" s="4" t="str">
        <x:v>Rank Kompetensi Target</x:v>
      </x:c>
      <x:c r="D1" s="4" t="str">
        <x:v>Kompetensi Target</x:v>
      </x:c>
      <x:c r="E1" s="4" t="str">
        <x:v>Jumlah Dasar</x:v>
      </x:c>
      <x:c r="F1" s="4" t="str">
        <x:v>Daftar RS Dasar</x:v>
      </x:c>
      <x:c r="G1" s="4" t="str">
        <x:v>Jumlah Madya</x:v>
      </x:c>
      <x:c r="H1" s="4" t="str">
        <x:v>Daftar RS Madya</x:v>
      </x:c>
      <x:c r="I1" s="4" t="str">
        <x:v>Jumlah Utama</x:v>
      </x:c>
      <x:c r="J1" s="4" t="str">
        <x:v>Daftar RS Utama</x:v>
      </x:c>
      <x:c r="K1" s="4" t="str">
        <x:v>Jumlah Paripurna</x:v>
      </x:c>
      <x:c r="L1" s="4" t="str">
        <x:v>Daftar RS Paripurna</x:v>
      </x:c>
      <x:c r="M1" s="4" t="str">
        <x:v>Jumlah Setara/Lebih Tinggi</x:v>
      </x:c>
      <x:c r="N1" s="4" t="str">
        <x:v>Daftar RS Setara/Lebih Tinggi</x:v>
      </x:c>
    </x:row>
    <x:row r="2">
      <x:c r="A2" s="7" t="str">
        <x:v>ALERGI IMUNOLOGI DAN RHEUMATOLOGI</x:v>
      </x:c>
      <x:c r="B2" s="7" t="str">
        <x:v>Alergi, Imunologi &amp; Rheumatologi</x:v>
      </x:c>
      <x:c r="C2" s="8">
        <x:v>4</x:v>
      </x:c>
      <x:c r="D2" s="7" t="str">
        <x:v>Paripurna</x:v>
      </x:c>
      <x:c r="E2" s="8">
        <x:v>496</x:v>
      </x:c>
      <x:c r="F2" s="7" t="str">
        <x:v>RS Umum BKM; RS Umum Daerah Solok Selatan; RS Umum Daerah Prof. Dr. M.A. Hanafiah; RS Umum Daerah dr. Achmad Darwis; RS Umum Daerah Lubuk Basung; RS Umum Islam Ibnu Sina; RS Umum Daerah Sungai Dareh; RS Tk. III Reksodiwiryo Padang; RS Bhayangkara Padang; RS Umum Daerah dr. Rasidin Padang; RS Umum Naili DBS; RS Umum Daerah Sawah Lunto; RS Umum Daerah Padang Panjang; RS Umum Ibnu Sina Padang Panjang; RS Umum Daerah Kota Bukittinggi; RS Umum Ibnu Sina Kota Payakumbuh; RS Umum Daerah Dr. Adnaan WD; RS Umum Tamar Medical Centre; RS Umum Daerah Teluk Kuantan; RS Umum Daerah  Indrasari Rengat; RS Muizzah; RS 3M Plus; RS Umum  Medicare Sorek; RS Umum  Amalia Medika; RS Umum  Mesra; RS Umum Pelita; RS Umum Daerah  Rokan Hulu; RS Umum  Surya Insani; RS Umum Daerah  Bengkalis; RS Umum Mutiasari; RS Umum  Thursina; RS Umum  Permata Hati; RS Umum Daerah  Dr. RM. Pratomo Bagansiapiapi; RS Umum Daerah  Kabupaten Kepulauan Meranti; RS Tk. IV Pekanbaru; RS Prof. Dr. Tabrani; RS Umum  Pekanbaru Medical Center; RS Ibu dan Anak  Zainab; RS Umum  Universitas Riau; Aulia Hospital; RS Daerah Madani Kota Pekanbaru; RS Hermina Pekanbaru; RS Umum Daerah  Kota Dumai; Naray Hospital; RS Umum Daerah Mayjen H. A. Thalib; RS Langit Golden Medika; RS Umum Daerah Ahmad Ripin; RS Umum Daerah Nurdin Hamzah; RS Umum Daerah Suryah Khairuddin; RS Umum Permata Hati; RS Bhayangkara Jambi; RS Umum Santa Theresia; RS Umum Daerah H. Abdul Manap; RS Islam Arafah; RS As-syifa; RS Umum Daerah Kabupaten Rejang Lebong; RS Assalam; RS Umum Daerah Arga Makmur; Charitas Hospital Arga Makmur; RS Umum Daerah Tais Kabupaten Seluma; RS Umum Daerah Mukomuko; RS Umum Daerah Kepahiang; RS Umum Daerah Bengkulu Tengah; RS Umum Ummi Bengkulu; RS Gading Medika; RS Rafflesia Bengkulu; RS Tk. IV Bengkulu; RS Bhayangkara Jitra Kota Bengkulu; RS Tiara Sella; RS Umum Bhakti Timah; RS Umum Daerah Natuna; RS Umum Harapan Bunda Batam; RS Umum Charis Medika; RS Umum Graha Hermine; RS Umum Camatha Sahidya; RS Umum Soedarsono Darmosoewito; RS Umum Daerah Kota Tanjung Pinang; RS Hj. Bunda Halimah Batam; RS Umum Annisa; RS Mitra Keluarga Bina Husada; RS Umum Family Medical Center; RS Umum Mary Cileungsi Hijau; RS dr. Abdul Radjak Cileungsi; RS Umum Islam Bogor; RS Umum Hermina Mekarsari; RSU Assalam; RS Umum Juliana; RS Umum Ummi; RS Umum Permata Jonggol; RS Helsa Citeureup; RS Umum Nuraida; RS Pena 98; RS Islam Aysha; RS Paragon; RS Hermina Ciawi; RS Umum Daerah Palabuhanratu; RS Umum Betha Medika; RS Umum Bhakti Medicare; Rumah Sakit DKH Cibadak; RS Umum Daerah Cimacan; RS Umum Daerah Pagelaran; RS Umum Karya Pangalengan Bhakti Sehat; RS Kartini; RS Umum TNI AU Lanud Sulaiman; RS Hermina Soreang; RS Oetomo; RS Muhammadiyah Bandung Selatan; RS Umum Daerah Bedas Cimaung; RS Umum Daerah Bedas Kertasari; RS Umum Daerah dr. Slamet Garut; RS Umum Daerah Pameungpeuk Prov. Jabar; RS Medina; RS Umum Daerah dr. Soekardjo; RS Umum Islam Hj. Siti Muniroh; RS Umum Daerah 45 Kuningan; RS Umum Wijaya Kusumah; RS Umum Juanda; RS Umum El-Syifa; RS Umum Daerah Linggajati Kuningan; RS Mitra Husada; RS Permata Kuningan; RS Umum Universitas Muhammadiyah Cirebon; RS Umum Pakuwon; RS Umum Harapan Keluarga; RS Universitas Padjadjaran; RS Cimalaka; RS Umum Bhayangkara Indramayu; RS Umum MM Indramayu; RS Umum Daerah Mursid Ibnu Syafiuddin; RS Sentra Medika Langut; RS Islam Zam-Zam Muhammadiyah Jatibarang; RS Umum PTPN VIII; RS Umum dr. Abdul Radjak Purwakarta; RS Umum Asri Purwakarta; RS Umum Rama Hadi; RS Umum Amira; RS Umum Holistic Purwakarta; RS Umum Bhakti Husada II Purwakarta; RS Umum Dewi Sri; RS Umum Karya Husada; RS Umum Islam Karawang; RS Umum Delima Asih Sisma Medika; RS Umum Daerah Jatisari Kabupaten Karawang; RS Umum Fikri Medika; RS Umum Sentral Medika; RS Umum Amanda Mitra Keluarga; RS Hastien; RS Umum Karya Medika; RS Umum Annisa; RS Umum Hosana Medica; RS Umum Ananda; RS Umum Medirossa Cikarang; RS dr. Abdul Radjak Jababeka; RS Amanda Cikarang Selatan; RS Umum Hermina Galaxy; RS Uni Medika Setu Bekasi; RS Umum Anna Medika; RS Umum Metro Hospitals; RS Umum Harapan Mulia; RS Umum Cikarang Medika; RS Umum Kartika Husada Setu; RS Umum Medirossa 2; RS Umum Puspa Husada; RS Umum Kartika Husada; RS Umum Tarumajaya; RS Umum Daerah Cabangbungin; RS Ananda Babelan; RS Ibu dan Anak Kartini; RS Umum Salak; RS Jiwa dr. H. Marzoeki Mahdi; RS Umum Melania; RS Umum Vania; RS Graha Medika Bogor; RS Umum Muhammadiyah; RS Paru Dr. H. A. Rotinsulu; RS Khusus Ginjal Ny. R. A. Habibie; RS Umum Tk. III Ciremai; RS Umum Panti Abdi Dharma; RS Umum Pelabuhan Cirebon; RS Umum Putera Bahagia; RS Umum Sumber Kasih; RS Umum Medimas; RS Umum Sumber Hurip; RS Ibu dan Anak Cahaya Bunda; RS Karunia Kasih; RS Mekar Sari; RS Umum Karya Medika Bantar Gebang; RS Helsa; RS Siloam Bekasi Timur; RS Primaya Bekasi Utara; RS Umum Daerah Pondokgede; RS Umum Daerah Bantar Gebang; RS Umum Jati Sampurna; RS Umum Grha Permata Ibu; RS Umum Simpangan Depok; RS Umum Citra Medika Depok; RS Umum Daerah Anugerah Sehat Afiat; RS Umum Avisena; RS Umum Kasih Bunda; RS Umum Baros; RS Umum Syifa Medina; RS Hermina Tasikmalaya; RS Umum Banjar Patroman; RS Umum Islam Fatimah; RS Umum Duta Mulya; RS Umum Santa Maria Cilacap; RS Umum Aghisna Medika Sidareja; RS Priscilla Medical Center; RS Umum PKU Muhammadiyah Amanah Sumpiuh; RS Umum Ananda Purwokerto; RS Umum Medika Lestari Banyumas; RS Umum Dadi Keluarga; RS Umum Harapan Ibu; RS Umum Siaga Medika Purbalingga; RS Umum PKU Muhammadiyah Purbalingga; RS Islam At-Tin Husada Purbalingga; RS Umum Permata Medika Kebumen; RS Umum Palang Biru Gombong; RS Umum Wijayakusuma; RS Umum Purwogondo; RS Umum PKU Muhammadiyah Kutowinangun; RS Umum Panti Waluyo Yakkum Purworejo; RS Umum Palang Biru Kutoarjo; RS Umum Budi Sehat Purworejo; RS Umum Islam Wonosobo; RS Umum Daerah Muntilan Kab. Magelang; RS Umum Aisyiyah Muntilan; RS Umum PKU Aisyiyah Boyolali; RS Umum Umi Barokah; RS Umum Asy-Syifa Sambi; RS Umum Hidayah Boyolali; RS Umum Islam Banyubening Boyolali; RS Jiwa Daerah Dr. RM. Soedjarwadi; RS Umum PKU Muhammadiyah Delanggu; RS Umum PKU Muhammadiyah Jatinom; RS Umum PKU Muhammadiyah Pedan; RS PKU Muhammadiyah Prambanan; RS PKU Muhammadiyah Kartasura; RS Umum Maguan Husada; RS Umum Muhammadiyah Selogiri; RS Umum  Amal Sehat; RS Umum Mulia Hati Wonogiri; RS Umum Astrini; RS PKU Muhammadiyah Wonogiri; RSAU dr. Siswanto Lanud Adi Soemarmo; RS Umum Jati Husada Karanganyar; RS Umum Jafar Medika Karanganyar; RS Mangesti Rahayu; RS Umum Sarila Husada; RS Umum Assalam; RS Umum Daerah dr. Soeratno Gemolong; RS Umum PKU Muhammadiyah Sragen; RS Umum Islam Yakssi Gemolong; RS Permata Bunda;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Umum Islam Arafah; RS Bhina Bhakti Husada; RS PKU Muhammadiyah Pamotan; RS Umum Islam Pati; RS Umum Sebening Kasih; RS Umum As-Suyuthiyyah; RS Umum  Nurussyifa; RS Sarkies 'Aisyiyah Kudus; RS Umum Sultan Hadlirin Jepara; RS Graha Husada Jepara; Charlie Hospital Demak; RS Umum Daerah dr. Gondo Suwarno; RS Umum Bina Kasih; At-Tin Hospital; RS Umum Muhammadiyah Darul Istiqomah Kendal; RS Umum Charlie Hospital; RS PKU Muhammadiyah Boja; RS Umum Daerah Limpung; RS Islam PKU Muhammadiyah Pekajangan; RS Umum Daerah Dr. M. Ashari Pemalang; RS Umum Santa Maria Pemalang; RS Umum Islam Al-Ikhlas; RS Umum Prima Medika; RS Umum Muhammadiyah Mardhatillah; RS Umum Daerah Suradadi; RS Umum Adella; RS Harapan Sehat Slawi; RS Umum Siti Asiyah; RS Umum Muhammadiyah Siti Aminah; RS Umum Dedy Jaya; RS Umum Dera As-Syifa; RS Umum Islami Mutiara Bunda; RS Umum Allam Medica Bumiayu; RS Umum Amanah Mahmudah; RS Harapan Sehat Jatibarang; RS Umum Daerah Ir. Soekarno Kab. Brebes; RS Umum Lestari Raharja; RS Umum Tk III Slamet Riyadi Surakarta; RS Umum Triharsi; RS Umum Hermina Solo; RS PKU Muhammadiyah Sampangan Surakarta; RS Umum Daerah Bung Karno Kota Surakarta; RS Umum Tk. IV 04.07.03 dr. Asmir; RS Islam Tunas Harapan; RS Umum William Booth; RS Umum Permata Medika; RS Umum Bhayangkara Semarang; RS Umum Hermina Pandanaran; RS Umum Banyumanik; RS Umum Daerah Mijen; RS Umum Anugerah Pekalongan; RS Umum H. A. Zaky Djunaid; RS Umum Hermina Pekalongan; RS Umum Darmayu Ponorogo; RS Umum Muslimat Ponorogo; RS Umum Daerah Bantarangin; RS Umum Satiti Prima Husada; RS Umum Islam  Madinah; RS Umum Muhammadiyah Bandung; RS Putra Waspada Tulungagung; RS Umum Wava Husada Kesamben; RS Umum Daerah Srengat Kab. Blitar; RS Toeloengredjo; RS Umum Muhammadiyah Surya Melati; RS Umum  Aura Syifa; RS Umum  Wilujeng; RS Marsudi Waluyo; RS Prasetya Husada; RS Ben Mari; RS Umum Pindad; RS Umum Wajak Husada; RS Umum Islam Gondang Legi; RS Sumber Sentosa; RS Umum Islam Madinah Kasembon; RS Bedah Hasta Husada; RS Enggal Dangan; RS Bhayangkara Lumajang; RS Umum Muhammadiyah Lumajang; RS Utama Husada Jember; RS Daerah Kalisat Jember; RS Umum Citra Husada Jember; RS Umum Universitas Muhammadiyah Jember; RS Islam Fatimah; RS Yasmin; RS Nahdlatul Ulama Banyuwangi; RS Umum PKU Muhammadiyah Rogojampi; RS Umum Bakti Mulia Banyuwangi; RS Umum Rahayu Medika; RS Umum Fatimah Lamongan; RS Umum Daerah Besuki Kabupaten Situbondo; RS Umum Mitra Sehat Kabupaten Situbondo; RS Umum Daerah Waluyo Jati Kraksaan; RS Umum Daerah Tongas; RS Umum Daerah Grati; RS Umum Mitra Keluarga Waru; RS Umum Assakinah Medika; RS Umum Citra Medika; RS Arafah Anwar Medika Sukodono; RS Umum Kartini; RS Airlangga Jombang; RS Unipdu Medika Jombang; RS Umum dr. Moedjito Dwidjosiswojo; RS Umum PKU Muhammadiyah Mojoagung; RS Hasyim Asy'ari; RS Islam Aisyiyah Nganjuk; RS Umum Daerah Dungus; RS Umum Daerah Caruban; RS Umum Daerah Dolopo; RS Angkatan Udara dr. Efram Harsana; RS Umum Widodo; RS Umum Daerah Mantingan; RSI Muhammadiyah Sumberrejo; RS Muhammadiyah Kalitidu; RS Ibu dan Anak Fatma; RS Umum Daerah Kepohbaru; RS Medika Mulia Tuban; RS Nahdlatul Ulama Tuban; RS Graha Husada; RS Umum dr. Suyudi; RS Muhammadiyah Babat; RS Umum Muhammadiyah Babat; RS Muhammadiyah Kalikapas Lamongan; RS Permata Hati Lamongan; RS Umum Daerah Ki Ageng Brondong; RS Denisa; RS Umum Mabarrot MWC NU; RS Grha Husada Gresik; RS Fathma Medika; RS PKU Muhammadiyah Sekapuk; RS Surya Medika; RS Umum Randegansari Husada; RS Eka Husada; RS Umum Daerah Ketapang; RS Umum Daerah Waru Pamekasan; RS Umum Kusuma Hospital; RS Umum Ratih; RS Islam Aminah; RS Umum Panti Nirmala; RS Islam Unisma Malang; RS Umum Permata Bunda; RS Ibu dan Anak Galeri Candra Malang; RS Universitas Brawijaya; RS Umum BRI Medika Malang; RS Umum Amanah; RS Umum Daerah Ar Rozy; RS Asih Abyakta; RS Reksa Waluya; RS Hermina Madiun; RS William Booth Surabaya; RS Umum Tk. III Brawijaya; RS Umum Daerah Husada Prima; RS Al Irsyad Surabaya; RS Bhakti Rahayu; RS Surabaya Medical Service; Mayapada Hospital Surabaya; RS Umum Pusat Surabaya; RS Umum dr. Etty Asharto Batu; RS Baptis Batu; RS Umum Negara; RS Umum Bunda; RS Umum Balimed Negara; RS Umum Bhakti Rahayu Tabanan; RS Umum Wisma Prashanti; RS Umum Kasih Ibu Tabanan; RS Umum Daerah Singasana; RS Umum Semara Ratih; RS Ibu dan Anak Puri Bunda Tabanan; RS Umum Kasih Ibu Kedonganan; RS Umum Surya Husadha Nusa Dua; RS Bali Jimbaran; RS Umum Garba Med; RS Windu Husada; RS Umum Ganesha; RS Umum Famili Husada; RS Umum Kasih Ibu Saba; RS Umum Payangan; RS Kenak Medika; RS Umum Permata Hati; RS Umum Bintang; RS Umum Daerah Gema Santi Nusa Penida; RS Umum Balimed Karangasem; RS Kasna Medika; RS umum Karya Dharma Husada; RS Umum Parama Sidhi; RS Umum Daerah Tangguwisia; RS Umum Daerah Giri Emas; RS Balimed Buleleng; RS Umum Daerah Wangaya; RS TK. II Udayana; RS Umum Surya Husadha; RS Umum Dharma Yadnya; RS Umum Puri Raharja; RS Umum Bhakti Rahayu; RS Bhayangkara Denpasar; RS Umum Surya Husadha; RS 1407013S; RS K1216468; RS K1232846; RS K1235252; RS K1235929; RS K3522001; RS K5171006; RS Umum Rizki Amalia Medika; RS Umum Daerah Nyi Ageng Serang; RS Umum Pura Raharja Medika; RS Umum Queen Latifa; RS Umum Nur Hidayah; RS Rajawali Citra; RS Umum Daerah Saras Adyatma; RS Umum Nur Rohmah; RS Umum Pelita Husada; RS Umum PKU Muhammadiyah Wonosari; RS Bethesda Wonosari; RS Umum Daerah Saptosari; RS Islam Gunungkidul; Charitas Hospital Klepu; RS Umum Condong Catur; RS Umum Puri Husada Yogyakarta; RS Umum Panti Nugroho; RS Umum Sakina Idaman; RS Umum Daerah Prambanan; RS Umum Mitra Paramedika; RS Umum PKU Muhammadiyah Gamping; RS Sadewa; RS Umum Mitra Sehat; RS Universitas Ahmad Dahlan; RS Umum Hermina Yogya; RS PKU Muhammadiyah Sleman; RS Islam Hidayatullah Yogyakarta; RS Tk. III 04.06.03 Dr. Soetarto; RS Ludira Husada Tama; RS Bethesda Lempuyangwangi</x:v>
      </x:c>
      <x:c r="G2" s="8">
        <x:v>454</x:v>
      </x:c>
      <x:c r="H2" s="7" t="str">
        <x:v>RS Umum Daerah Dr. Muhammad Zein Painan; RS Umum Daerah Prof H Muhammad Yamin, SH; RS Umum Daerah Tuanku Imam Bonjol; RS Umum Yos Sudarso; RS Umum Islam Ibnu Sina; RS Umum Semen Padang Hospital; RS Umum Bunda Padang; RS Islam Siti Rahmah; RS Umum Hermina Padang; RS Umum Daerah Mohammad Natsir; RS Umum Daerah Dr. Achmad Mochtar; RS Otak DR. Drs. M. Hatta Bukittinggi; RS Islam Ibnu Sina Bukittinggi; RS Umum Daerah  Puri Husada Tembilahan; RS Umum  Efarina; RS Umum Daerah Tengku Rafi'an Siak Sri Indrapura; RS Umum Daerah  Bangkinang; RS Umum  Awal Bros Ujung Batu; RS Umum Daerah  Kec.Mandau; RS Umum Awal Bros Bagan Batu; RS Bhayangkara Tk. III Kota Pekanbaru; RS Santa Maria Pekanbaru; RS Umum  Eka Hospital Pekanbaru; RS Umum  Syafira; RS Umum Daerah  Petala Bumi; RS Umum  Islam Ibnu Sina; RS Murni Teguh Eria; RS Awal Bros A. Yani; RS Umum  Awal Bros Panam; RS Umum  Prima Pekanbaru; RS Awal Bros Dumai; RS Pertamina Dumai; RS Umum Daerah Raden Mattaher Jambi; RS Tk. III 02.06.01  dr. Bratanata; RS Umum Kambang; RS Umum Baiturahim Jambi; RS Mitra; RS Umum Daerah H. Abdurrahman Sayoeti; RS Umum Daerah Harapan dan Doa; RS Umum Daerah Dr. M. Yunus Bengkulu; RS Umum Daerah Muhammad Sani Kabupaten Karimun; RS Umum Daerah  Kabupaten Bintan; RS Jiwa dan Ketergantungan Obat Engku Haji Daud; RS Umum Budi Kemuliaan Batam; RS Umum Santa Elisabeth Batam; RS Badan Pengusahaan Batam;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Daerah R. Moh. Noh Nur; RS Umum Hermina Depok; RS Umum Sentra Medika Cibinong; RS Umum Daerah RH. Satibi; RS Umum Rumah Sehat Terpadu Dompet Dhuafa; RS Umum Medika Dramaga; RS Umum Karya Bhakti Pratiwi; Bogor Senior Hospital; RS Universitas Indonesia; RS Umum Daerah Sekarwangi; RS Umum Daerah Jampang Kulon; RS Umum Hermina Sukabumi; RS Primaya Sukabumi; RS Umum Daerah Sayang; RS Umum Dr. Hafiz; RS Umum Daerah Majalaya; RS Umum Kebonjati; RS Umum Mitra Kasih; RS Umum Daerah Oto Iskandar Di Nata; RS Umum Daerah Cicalengka; RS Maranatha; RS Umum Daerah Kesehatan Kerja; Rumah Sakit TK.IV 03.07.04 Guntur; RS Umum Daerah KHZ Musthafa Kabupaten Tasikmalaya; RS Umum Jasa Kartini; RS Umum Daerah Kab. Ciamis; RS Umum Daerah Banjar; RS Umum Dadi Keluarga Ciamis; RS Umum Sekar Kamulyan; RS Umum Daerah Waled; RS Daerah Sidawangi; RS Umum Daerah Arjawinangun; RS Umum Mitra Plumbon; RS Umum Permata Cirebon; RS Umum Sumber Waras; Sentra Medika Hospital Gempol; RS Umum Daerah Majalengka; RS Umum Daerah Cideres; RS Mitra Plumbon Majalengka; RS Umum Daerah Umar Wirahadikusumah; RS Umum Daerah Kab. Indramayu; RS Mitra Plumbon Indramayu; RS Mitra Plumbon Patrol; RS Umum Daerah Subang; RS Umum Pamanukan Medical Center (PMC); RS Umum Daerah Bayu Asih; RS Umum Siloam Purwakarta; RS Umum Daerah Karawang; RS Umum Citra Sari Husada; RS Umum Izza; RS Umum Mandaya; RS Umum Lira Medika; RS Hermina Karawang; RS Primaya Karawang; RS Permata Keluarga Karawang; Sentra Medika Hospital Cikarang; RS Umum Daerah Kab.Bekasi; RS Umum St. Elisabeth; RS Umum Hermina Grand Wisata; RS Umum Karya Medika II; RS Mitra Plumbon Cibitung; RS Umum Ridhoka Salma; RS Umum Tiara; RS Umum Permata Keluarga Jababeka; RS EMC Pekayon; RS Mitra Keluarga Pratama; RS Eka Bekasi; RS Hermina Metland Cibitung; RS Umum Cahya Kawaluyan; RS Umum Daerah Pandega Pangandaran; RS Umum PMI Bogor; RSAU Dr. M. Hassan Toto; RS Umum Azra; RS Umum Daerah Kota Bogor; RS Umum Hermina Bogor; RS Umum Mulia Pajajaran; RS Umum Daerah R. Syamsudin, SH; RS Umum Assyifa Sukabumi;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Hermina Pasteur; RS Edelweiss; RS Daerah Gunung Jati; RS Umum Daerah dr. Chasbullah Abdulmadjid; RS Siloam Sentosa; RS Umum Juwita; RS Umum Taman Harapan Baru; RS Umum Satria Medika; RS Primaya; RS Umum Bhakti Kartini; RS Umum Permata Bekasi; RS Umum Anna; RS Siloam Bekasi Sepanjang Jaya; RS Umum Sentra Medika; RS Umum Mitra Keluarga Depok; RS Umum Bhayangkara Brimob; RS Umum Daerah Khidmat Sehat Afiat Kota Depok; RS Umum Hasanah Graha Afiah; RS Siloam Heart Hospital; RS Umum Permata Depok; RS Umum Citra Arafiq; RS Umum Alia Hospital; RS Umum Citra Arafiq Sawangan; RS Primaya Depok; RS Umum Daerah Cibabat; RS Umum Tk. II Dustira; RS Umum Tasik Medika Citratama (TMC); RS Umum Permata Bunda; RS Umum Daerah Cilacap; RS Umum Pertamina Cilacap; RS Umum Daerah Majenang; RS Umum PKU Muhammdiyah Aghisna Kroya; RS Umum Raffa Majenang; RS umum Daerah Banyumas; RS Umum Tk. III Wijayakusuma; RS Umum An Ni'mah; RS Umum Islam Purwokerto; RS Umum Daerah Ajibarang; RS Umum Wiradadi Husada; RS Umum Siaga Medika Banyumas; RS Hermina Purwokerto; RS Umum Daerah dr. R. Goeteng Taroenadibrata; RS Umum Daerah Hj. Anna Lasmanah Banjarnegara; RS Umum Emmanuel; RS Umum Islam Banjarnegara; RS Umum Daerah dr. Soedirman Kabupaten Kebumen; RS Umum PKU Muhamadiyah Gombong; RS Umum PKU Muhammadiyah Sruweng; RS Umum Daerah Prembun; RS Umum Daerah Dr. Tjitrowardojo Purworejo; RS Umum Daerah R.A.A Tjokronegoro; RS Umum Setjonegoro Wonosobo; RS Umum  PKU Muhammadiyah Wonosobo; RS Umum Daerah Merah Putih; RS Umum Daerah Pandan Arang Boyolali; RS Umum  Karanggede Sisma Medika; RS Umum Daerah Waras Wiris; RS Indriati Boyolali; RS Umum Islam Boyolali; RS Umum Pusat Dr. Soeradji Tirtonegoro; RS Umum Islam Klaten; RS Umum Cakra Husada; RS Umum Diponegoro Dua Satu Klaten; RS Umum Islam Cawas Klaten; RS Umum Daerah Bagas Waras; RS Umum Daerah Ir. Soekarno Kabupaten Sukoharjo; RS Umum Nirmala Suri; RS Umum Dr. Oen Solo Baru; RS Umum PKU Muhammadiyah Sukoharjo; RS Umum Universitas Sebelas Maret; RS Umum Daerah Dr. Soediran Mangun Sumarso Wonogi; RS Hermina Wonogiri; RS Umum Daerah Kartini Karanganyar; RS PKU Muhammadiyah Karanganyar; RS Umum Daerah dr. Soehadi Prijonegoro; RS Umum Islam Amal Sehat Sragen; RS Umum Daerah Dr. R.Soedjati Soemodiardjo; RS Umum Panti Rahayu; RS Umum Daerah dr. R. Soetrasno Rembang; RS Umum Daerah RAA Soewondo; RS Umum Mitra Bangsa Pati; RS Umum Daerah Kayen Pati; RS Umum Keluarga Sehat; RS Umum  Budi Agung Pati; RS Umum Fastabiq Sehat PKU Muhammadiyah Pati; RS Keluarga Sehat Tayu; RS Umum Daerah dr. Loekmono Hadi; RS Umum Mardi Rahayu; RS Umum  Islam Sunan Kudus; RS Umum Daerah R. A. Kartini; RS Umum Daerah dr. Rehatta Provinsi Jawa Tengah; RS Umum PKU Muhammadiyah Mayong; RS Umum Daerah Sunan Kalijaga; RS Umum Pelita Anugerah; RS Umum Daerah Sultan Fatah Karangawen Demak; RS Umum Daerah dr. Gunawan Mangunkusumo; RS Umum Ken Saras; RS Umum Daerah Kabupaten Temanggung; RS Umum Ngesti Waluyo; RS PKU Muhammadiyah Temanggung; RS Umum Daerah  Dr. H. Soewondo Kendal; RS Umum Islam Kendal; RS Umum Daerah Batang; RS Umum Qim; RS Umum Daerah Kraton Kab. Pekalongan; RS Umum Daerah Kajen Kab. Pekalongan; RS Umum Daerah Bendan Kota Pekalongan; RS Muhammadiyah Rodliyah Achid; RS Umum Siaga Medika Pemalang; RS Umum Daerah dr. Soeselo Slawi Kabupaten Tegal; RSI PKU Muhammadiyah Tegal; RS Umum Daerah Brebes; RS Umum Daerah Bumiayu; RS Umum Daerah Tidar; RS Umum Tk. II Dr. Soedjono; RS Jiwa Prof. Dr. Soerojo; RS Umum Brayat Minulya; RS 3372051; RS Orthopedi Prof. Dr. R. Soeharso; RS Umum Panti Waluyo; RS PKU Muhammadiyah Surakarta; RS Umum Kasih Ibu; RS Umum Daerah Ibu Fatmawati Soekarno; RS Umum Daerah Kota Salatiga; RS Paru Dr. Ario Wirawan; RS Umum Puri Asih; RS Umum St. Elisabeth Semarang; RS Umum Telogorejo Semarang; RS Umum Tk.III Bhakti Wira Tamtama Smg; RS Umum Sultan Agung Semarang; RS Roemani Muhammadiyah Semarang; RS Umum Panti Wilasa Citarum; RS Umum Daerah dr. Adhyatma, MPH; RS Panti Wilasa "Dr. Cipto" Semarang; RS Daerah KRMT Wongsonegoro; RS Umum Hermina Banyumanik Semarang; RS Umum Nasional Diponegoro; RS Umum Banyumanik 2; RS Primaya Kota Semarang; RS Unimus; RS Umum Budi Rahayu; RS Umum Siti Khodijah;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Islam Orpeha; RS Umum Bhayangkara Tulungagung; RS Umum Prima Medika; RS Umum Daerah Campurdarat; RS Umum Daerah Ngudi Waluyo Wlingi; RS Umum Daerah Kabupaten Kediri; RS Muhammadiyah Siti Khodijah; RS Umum Daerah Simpang Lima Gumul Kediri; RS Umum Daerah Kanjuruhan Kepanjen Kab. Malang; RS Umum Daerah Lawang; RS Umum Wava Husada; RS Prima Husada; RS Umum Universitas Muhammadiyah Malang; RS Umum Daerah Dr. Haryoto Kabupaten Lumajang; RS Wijaya Kusuma Lumajang; RS Umum Djatiroto; RS Islam Lumajang; RS Umum Daerah Dr. Soebandi Jember; RS Perkebunan PTPN X (Persero) Jember; RS Tk. III Baladhika Husada Jember; RS Paru Jember; RS Daerah Balung Jember; RS Bina Sehat Jember; RS Kaliwates Jember; RS Siloam Jember; RS Umum Daerah Blambangan; RS Umum Bhakti Husada; RS Umum Daerah Genteng; RS Al Huda; RS Graha Medika; RS Umum dr. H.Koesnadi Bondowoso; RS Bhayangkara Bondowoso; RS Umum Daerah dr. Abdoer Rahem Situbondo; RS Elizabeth; RS Umum Daerah Asembagus Kabupaten Situbondo; RS Umum  Wonolangan; RS Rizani; RS Umum Daerah Bangil; RS Umum Bhayangkara Pusdik Brimob; RS Graha Sehat Medika;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Mawaddah Medika; RS Umum Daerah Kab. Jombang; RS Kristen Mojowarno; RS Umum Islam Jombang; RS Umum Daerah Ploso; RS Umum Nadhlatul Ulama Jombang; RS Umum Daerah Nganjuk; RS Umum Bhayangkara Tk. III Nganjuk; RS Umum Daerah dr. Sayidiman Magetan; RS Umum Daerah Dr. Soeroto Ngawi; RS Umum Daerah Dr. R. Sosodoro Djatikoesoemo; Rumah Sakit Aisyiyah Bojonegoro; RS Umum Daerah Sumberrejo; RS umum Daerah Padangan; RS Bhayangkara Wahyu Tutuko Bojonegoro; RS Umum Daerah Dr. R. Koesma Tuban; RS Umum Daerah R. Ali Manshur; RS Umum Daerah Dr. Soegiri Lamongan; RS Umum Muhammadiyah Lamongan; RS Umum Intan Medika; RS Semen Gresik; RS Petrokimia Gresik; RS Umum Daerah Syarifah Ambami Rato Ebu; RS Umum Daerah dr. Mohammad Zyn Kab. Sampang; RS Umum Daerah Dr. H. Slamet Martodirdjo Pamekasan; RS 3528038; RS Umum Daerah dr. H. Moh. Anwar; RS Islam Garam Kalianget; RS Umum Daerah Gambiran; RS TK. IV 05.07.02 Kediri; RS Umum Bhayangkara Kediri; RS Baptis Kediri; RS Muhammadiyah Ahmad Dahlan; RS Umum Daerah Kilisuci; RS Umum Daerah Mardi Waluyo; RS Umum Aminah Blitar; RS Umum Daerah Dr. Saiful Anwar; RS Tk. II Dr. Soepraoen; RS Umum Panti Waluya Sawahan Malang; RS Umum Lavalette Malang; RS Umum Islam Aisyiyah Malang; RS Umum Hermina Tangkubanprahu; RS Umum Daerah Kota Malang; RS Umum Daerah dr. Mohamad Saleh Kota Probolinggo; RS Umum Daerah Dr. R. Soedarsono Kota Pasuruan; RSUD dr. Wahidin Sudiro Husodo Kota Mojokerto; RS Gatoel; RS Umum Daerah Dr. Soedono Madiun; RS Umum Islam Siti Aisyah; RS Umum Daerah Kota Madiun; RS Umum Darmayu Madiun; RSPAL dr. Ramelan; RS Primasatya Husada Citra (PHC) Surabaya; RS Umum Adi Husada Kapasari; RS Islam Surabaya; RS Umum Daerah Bhakti Dharma Husada; RS Umum Islam Surabaya Jemursari; RS Umum Daerah Haji Provinsi Jawa Timur; RS Husada Utama Surabaya; RS Umum Daerah dr. Mohamad Soewandhie; RS Gotong Royong; RS Bhayangkara TK II HS. Samsoeri Mertojoso; RS Wiyung Sejahtera; RS Manyar Medical Centre; RS Universitas Airlangga; RS Umum Royal Surabaya; RS Ubaya; RS Umum Daerah Eka Candrarini; RS Bhayangkara Hasta Brata Batu; RS Umum Karsa Husada Kota Batu; RS Umum Daerah Tabanan; RS Umum Dharma Kerti; RS Daerah Mangusada; RS Universitas Udayana; RS Umum Murni Teguh Tuban Bali; RS Umum Daerah Sanjiwani Gianyar; RS Umum Ari Canti; RS Umum Daerah Klungkung; RS Umum Grha Bhakti Medika; RS Umum Daerah Bangli; RS Umum Bangli Medika Canti; RS Umum Daerah Kab. Buleleng; RS Umum Kertha Usadha; RS Umum Bali Royal; RS Umum Prima Medika; RS BaliMed; RS Umum Daerah Bali Mandara Provinsi Bali; RS Umum Daerah Wates; RS Umum Daerah Panembahan Senopati; RS Umum Santa Elisabeth; RSU PKU Muhammadiyah Bantul; RS Universitas Islam Indonesia; RS Umum Daerah Wonosari; RS Umum Panti Rahayu; RS Umum Daerah Sleman; RS Umum Queen Latifa; RS Umum Panti Rini; RS Islam Yayasan PDHI; RS Akademik Universitas Gadjah Mada; RS PKU Muhammadiyah Yogyakarta; RS Umum Panti Rapih; RSPAU Dr.  Suhardi Harjolukito; RS Umum Daerah Kota Yogyakarta; RS Siloam Yogyakarta</x:v>
      </x:c>
      <x:c r="I2" s="8">
        <x:v>13</x:v>
      </x:c>
      <x:c r="J2" s="7" t="str">
        <x:v>RS. Universitas Andalas; RS Umum Daerah  Arifin Achmad; RS Umum Daerah Welas Asih Provinsi Jawa Barat; RS Umum Pusat Dr. Hasan Sadikin; RS Umum Santosa Hospital Bandung Central; RS Umum Santosa Hospital Bandung Kopo; RS Umum Hermina Bekasi; RS Primaya Bekasi Barat; RS Umum Daerah Prof Dr. Margono Soekarjo; RS Umum Indriati; RS Umum Dr. Oen; RS Umum Pusat Dr. Kariadi; RS Bethesda Yogyakarta</x:v>
      </x:c>
      <x:c r="K2" s="8">
        <x:v>5</x:v>
      </x:c>
      <x:c r="L2" s="7" t="str">
        <x:v>RSUP Dr. M. Djamil; RS Umum  Awal Bros Pekanbaru; RS Umum Daerah Dr. Soetomo; RSUP Prof. Dr. I.G.N.G. Ngoerah; RSUP Dr. Sardjito</x:v>
      </x:c>
      <x:c r="M2" s="8">
        <x:v>5</x:v>
      </x:c>
      <x:c r="N2" s="7" t="str">
        <x:v>RSUP Dr. M. Djamil (Paripurna); RS Umum  Awal Bros Pekanbaru (Paripurna); RS Umum Daerah Dr. Soetomo (Paripurna); RSUP Prof. Dr. I.G.N.G. Ngoerah (Paripurna); RSUP Dr. Sardjito (Paripurna)</x:v>
      </x:c>
    </x:row>
    <x:row r="3">
      <x:c r="A3" s="7" t="str">
        <x:v>ENDOKRIN, NUTRISI DAN METABOLIK</x:v>
      </x:c>
      <x:c r="B3" s="7" t="str">
        <x:v>Endokrin, Nutrisi &amp; Metabolik</x:v>
      </x:c>
      <x:c r="C3" s="8">
        <x:v>4</x:v>
      </x:c>
      <x:c r="D3" s="7" t="str">
        <x:v>Paripurna</x:v>
      </x:c>
      <x:c r="E3" s="8">
        <x:v>780</x:v>
      </x:c>
      <x:c r="F3" s="7" t="str">
        <x:v>RS Umum Daerah Dr. Muhammad Zein Painan; RS Umum BKM; RS Umum Daerah Solok Selatan; RS Umum Daerah Lubuk Basung; RS Umum Islam Ibnu Sina; RS Umum Islam Ibnu Sina; RS Umum Aisyiyah Padang; RS Umum Bunda Padang; RS Umum Naili DBS; RS Ibu dan Anak Permata Bunda Solok; RS Umum Daerah Sawah Lunto; RS Umum Daerah Kota Bukittinggi; RS Umum Ibnu Sina Kota Payakumbuh; RS Umum Daerah Dr. Adnaan WD; RS Umum Tamar Medical Centre; RS Umum  Kasih Ibu Rengat; RS Muizzah; RS Umum  Medicare Sorek; RS Umum  Amalia Medika; RS Umum Daerah Tualang; RS Umum Daerah  Bangkinang; RS Umum  Tandun; RS Umum  Mesra;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Tk. IV Pekanbaru; RS Umum Daerah  Petala Bumi; RS Prof. Dr. Tabrani; RS Umum  Pekanbaru Medical Center; RS Ibu dan Anak  Zainab; RS Umum  Universitas Riau; RS Ibu Anak  Budhi Mulia; RS Daerah Madani Kota Pekanbaru; RS Hermina Pekanbaru; RS Pertamina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Umum Santa Theresia; RS Jiwa Daerah Provinsi Jambi; RS Islam Arafah; RS Umum Kambang; RS Umum Baiturahim Jambi; RS Umum Daerah H. Abdurrahman Sayoeti; RS Umum Melati; RS As-syifa; RS Umum Daerah Kabupaten Rejang Lebong; RS Assalam; Charitas Hospital Arga Makmur; RS Umum Daerah Mukomuko; RS Umum Daerah Kepahiang; RS Umum Daerah Harapan dan Doa; RS Umum Ummi Bengkulu; RS Gading Medika; RS Rafflesia Bengkulu; RS Bhayangkara Jitra Kota Bengkulu; RS Umum Bhakti Timah; RS Jiwa dan Ketergantungan Obat Engku Haji Daud; RS Umum Daerah Natuna; RS Umum Santa Elisabeth Batam; RS Umum Harapan Bunda Batam; RS Umum Charis Medika; RS Umum Camatha Sahidya; RS Umum Soedarsono Darmosoewito; RS Umum Daerah Raja Ahmad Tabib; RS Bhayangkara Batam Polda Kepri; RS Santa Elisabeth Sei Lekop; RS Paru Dr. M. Goenawan Partowidigdo; RS Umum Tugu Ibu; RS Umum Annisa; RS Ibu dan Anak Tumbuh Kembang; RS Umum Mary Cileungsi Hijau; RS Umum Meilia; RS Umum Islam Bogor; RS Umum Citama; RS Sentosa; RS Umum Medika Dramaga; RSU Assalam; RS Umum Kenari Graha Medika; RS Ibu dan Anak Sawojajar; RS Asysyifaa; RS Helsa Citeureup; RS Umum Nuraida; RS Islam Aysha; RS Hermina Ciawi; RS Umum Daerah Sekarwangi; RS Umum Daerah Jampang Kulon; RS Umum Bhakti Medicare; RS Umum Daerah Sayang; RS 3203062; RS Umum Daerah Cicalengka; RS Umum Humana Prima; RS Umum Daerah Kesehatan Kerja; RS Umum Karya Pangalengan Bhakti Sehat; RS Kartini; RS Umum TNI AU Lanud Sulaiman; RS Oetomo; RS Umum Daerah Bedas Cimaung; RS Umum Daerah Bedas Kertasari; RS Umum Daerah Bedas Tegalluar; RS Umum Daerah Pameungpeuk Prov. Jabar; RS 3205035; RS Umum Islam Hj. Siti Muniroh; RS Umum Jasa Kartini; RS Umum Daerah Kab. Ciamis; RS Umum Al-Arif; RS Umum Daerah Kawali; RS Umum Wijaya Kusumah; RS Umum Sekar Kamulyan; RS Umum Juanda; RS Umum El-Syifa; RS Umum Daerah Linggajati Kuningan; RS Umum KMC Luragung; RS Jantung Hasna Medika Kuningan; RS Mitra Husada; RS Permata Kuningan; RS Pradipa Medika; RS Pertamina Cirebon; RS Daerah Sidawangi; RS Umum Universitas Muhammadiyah Cirebon; RS Umum Khalishah; RS Pasar Minggu Cirebon; RS Umum Daerah Majalengka; RS Umum Daerah Cideres; Rumah Sakit Umum Djuansih Majalengka; RS Umum Pakuwon; RS Umum Harapan Keluarga; RS Cimalaka;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Asri Purwakarta; RS Umum Amira; RS Suliawati; RS Umum Holistic Purwakarta; RS Umum Bhakti Husada II Purwakarta; RS Umum Karina Medika; RS Umum Dewi Sri; RS Umum Karya Husada; RS Umum Proklamasi; RS Umum Saraswati; RS Umum Delima Asih Sisma Medika; RS Umum Izza; RS Umum Mandaya; RS Umum Daerah Jatisari Kabupaten Karawang; RS Umum Puri Asih; RS Umum Mitra Family; RS Umum Helsa; RS Umum Rosela; RS Umum Sentral Medika; RS Umum Amanda Mitra Keluarga; RS Hastien; RS EFARINA ETAHAM KARAWANG; Siloam Hospitals Lippo Cikarang; RS Umum Rawa Lumbu; RS Umum Ananda; RS Umum St. Elisabeth; RS Umum Medirossa Cikarang; RS dr. Abdul Radjak Jababeka; RS Amanda Cikarang Selatan; RS DKH Cikarang Barat; RS Uni Medika Setu Bekasi; RS Umum Anna Medika; RS Umum Harapan Mulia; RS Umum Cikarang Medika; RS Umum Kartika Husada Setu; RS Umum Amanda; RS Umum Ridhoka Salma; RS Umum Medirossa 2; RS Umum Kartika Husada; RS Dokter Adam Talib Cikunir; RS Umum Tarumajaya; RS Umum Pinna; RS Umum Daerah Cabangbungin; RS Cenka; RS Hermina Metland Cibitung; RS Umum dr. Abdul Radjak Cibitung; RS Umum Daerah Lembang; RS Ibu dan Anak Kartini; RS Umum Daerah Pandega Pangandaran; RS Jiwa dr. H. Marzoeki Mahdi; RS Umum Trimitra; RS Ibu dan Anak Pasutri; RS Umum Bhayangkara Tk. IV Bogor; RS Graha Medika Bogor; RS Umum Ridogalih; RS Umum Assyifa Sukabumi; RS Umum Daerah Al-Mulk; RS 3273046; RS Umum Muhammadiyah; RS Umum Tk. IV 03.07.03 Sariningsih; RS Khusus Mata Cicendo; RS Paru Dr. H. A. Rotinsulu; RS Ibu dan Anak Al Islam; RS Jantung dan Pembuluh Darah Paramarta; RS Pasundan; RS Umum Panti Abdi Dharma; RS Umum Pelabuhan Cirebon; RS Umum Medimas; RS Umum Sumber Hurip; RS Karunia Kasih; RS Mekar Sari; RS Umum Masmitra; RS Umum Juwita; RS Umum Taman Harapan Baru; RS Umum Karya Medika Bantar Gebang; RS Umum Satria Medika; RS Nusantara; RS Umum Daerah Jatisampurna; RS Seto Hasbadi; RS Umum Bhakti Kartini; RS Umum Bella; RS Umum Graha Juanda; RS Umum Anna; RS Umum Islam dr. Subki Abdulkadir; RS Ibu dan Anak Selasih Medika; RS Umum Simpangan Depok; RS Ibu dan Anak Asyifa Depok; RS Ibu dan Anak Setya Bhakti; RS Umum Citra Arafiq Sawangan; RS Umum Daerah Anugerah Sehat Afiat; RS Umum Mitra Anugrah Lestari; RS Umum Avisena; RS Umum Baros; RS Umum Syifa Medina; RS Umum Prasetya Bunda; RS Umum Permata Bunda; RS Hermina Tasikmalaya; RS Jantung dan Pembuluh Darah Tasikmalaya; RS Umum Mitra Idaman; RS Umum Banjar Patroman; RS Umum Duta Mulya; RS Umum PKU Muhammdiyah Aghisna Kroya; RS Umum Afdila Cilacap; RS Umum Raffa Majenang; RS Umum Aghisna Medika Sidareja; RS Priscilla Medical Center; RS Umum An Ni'mah; RS Umum PKU Muhammadiyah Amanah Sumpiuh; RS Umum Islam Purwokerto; RS Umum Bunda; RS Umum Ananda Purwokerto; RS Umum Sinar Kasih; RS Umum Daerah Ajibarang; RS Hermina Purwokerto; RS Umum Nirmala; RS Umum Harapan Ibu; RS Umum Daerah Panti Nugroho; RS Ibu dan Anak Ummu Hani; RS Umum PKU Muhammadiyah Purbalingga; RS Islam At-Tin Husada Purbalingga; RS Umum Islam Banjarnegara; RS Umum Permata Medika Kebumen; RS Umum Wijayakusuma; RS Umum Purbowangi; RS Umum PKU Muhammadiyah Sruweng; RS Umum Purwogondo; RS Umum PKU Muhammadiyah Kutowinangun; RS Umum  Aisyiyah; RS Umum Panti Waluyo Yakkum Purworejo; RS Umum Budi Sehat Purworejo; RS Amanah Umat Purworejo; RS Umum Islam Wonosobo; RS Umum  PKU Muhammadiyah Wonosobo; RS Umum Syubbanul Wathon; RS Umum Daerah Merah Putih; RS Umum PKU Aisyiyah Boyolali; RS Umum  Karanggede Sisma Medika; RS Umum Daerah Simo; RS Umum Asy-Syifa Sambi; RS Umum Islam Banyubening Boyolali; RS Umum Natalia; RS Umum Islam Boyolali; RS Umum PKU dr. Soemowidagdo Boyolali; RS Jiwa Daerah Dr. RM. Soedjarwadi; RS 3310040; RS Umum 'Aisyiyah Klaten; RS Umum Diponegoro Dua Satu Klaten; RS Umum PKU Muhammadiyah Delanggu; RS Umum Mitra Pedan; RS Umum Daerah Bagas Waras; RS PKU Muhammadiyah Prambanan; RS Khusus Orthopedi Karima Utama; RS Umum PKU Muhammadiyah Sukoharjo; RS PKU Muhammadiyah Kartasura; RS Islam Surakarta YARSIS; RS Umum Maguan Husada; RS Umum Muhammadiyah Selogiri; RS Fitri Candra; RS Umum Mulia Hati Wonogiri; RS PKU Muhammadiyah Wonogiri; RSAU dr. Siswanto Lanud Adi Soemarmo; RS Umum Jati Husada Karanganyar; RS Umum Indo Sehat Karanganyar; RS Umum Daerah dr. Soehadi Prijonegoro; RS Umum Mardi Lestari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Islam Arafah; RS 3318041; RS Umum Daerah Kayen Pati; RS Umum  Budi Agung Pati; RS Umum Fastabiq Sehat PKU Muhammadiyah Pati; RS Umum Sebening Kasih; RS Umum As-Suyuthiyyah; RS Keluarga Sehat Tayu; RS Umum Kumala Siwimijen Kudus; RS Umum  Nurussyifa; RS Umum Daerah dr. Rehatta Provinsi Jawa Tengah; RS Umum Sultan Hadlirin Jepara; RS Graha Husada Jepara; RS PKU Aisyiyah Jepara; RS Hj. Fatimah Sulhan PKU Muhammadiyah Demak; RS 3322037; RS Umum Bina Kasih; RS Ibu dan Anak Plamongan Indah; RS Umum Kusuma Ungaran; RS Umum Daerah Kabupaten Temanggung; RS Umum Gunung Sawo Kab. Temanggung; RS Umum Muhammadiyah Darul Istiqomah Kendal; RS Umum Charlie Hospital; RS PKU Aisyiyah Kendal; RS PKU Muhammadiyah Boja; RS Umum Daerah Batang; RS Umum Daerah Limpung; RS Umum Daerah Dr. M. Ashari Pemalang; RS Umum Santa Maria Pemalang; RS Muhammadiyah Rodliyah Achid; RS Umum Islam Al-Ikhlas; RS Umum Prima Medika; RS Harapan Sehat Pemalang; RS Umum Daerah Suradadi; RSI PKU Muhammadiyah Tegal; RS Umum Adella; RS Harapan Sehat Slawi; RS Hawari Essa; RS Mitra Siaga Tarub; RS Umum Muhammadiyah Siti Aminah; RS Umum Dedy Jaya; RS Umum Dera As-Syifa; RS Umum Daerah Bumiayu; RS Umum Islami Mutiara Bunda; RS Umum Allam Medica Bumiayu; RS Umum Amanah Mahmudah; RS Harapan Sehat Jatibarang; RS 3371039; RS Umum Lestari Raharja; RS Umum Harapan; RS Umum Islam Magelang; RS Umum Daerah Budi Rahayu; RS Jiwa Daerah Dr. Arif Zainudin Provinsi Jawa Tengah; RS Orthopedi Prof. Dr. R. Soeharso; RS Umum Daerah Ibu Fatmawati Soekarno; RS PKU Muhammadiyah Sampangan Surakarta; RS Bhayangkara Surakarta; RS Umum Tk. IV 04.07.03 dr. Asmir; RS Islam Tunas Harapan; RS Umum William Booth; RS 3374035; RS Umum Bhayangkara Semarang; RS Jiwa Daerah  Dr. Amino Gondohutomo; RS Umum Hermina Pandanaran; RS Umum Banyumanik; RS Cepoko; RS Umum Daerah Mijen; RS Umum Siti Khodijah; RS Umum H. A. Zaky Djunaid; RS Umum  ARO; RS Umum Hermina Pekalongan; RS Umum Tk. IV Tegal; RS 3376037; RS Umum Medical Mandiri Pacitan; RS Umum Aisyiyah Ponorogo; RS Umum Daerah Bantarangin;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An-Nisaa; RS Umum Arga Husada; RS Muhammadiyah Siti Khodijah; RS Umum  Aura Syifa; RS Umum Daerah Simpang Lima Gumul Kediri; RS Jiwa Dr. Radjiman Wediodiningrat Lawang; RS Marsudi Waluyo; RS Mitra Delima; RS Prasetya Husada; RS Siti Miriam; RS Angkatan Udara dr. Munir Lanud Abdulrachman Saleh; RS Prima Husada; RS Lawang Medika; RS Umum Wajak Husada; RS Sumber Sentosa; RS Umum Islam Madinah Kasembon; RS Bedah Hasta Husada; RS Enggal Dangan; RS Umum Cahaya Medika; RS AU dr. Mohammad Moenir; RS Wijaya Kusuma Lumajang; RS Islam Lumajang; RS Umum Daerah Pasirian Kabupaten Lumajang; RS Umum Muhammadiyah Lumajang; RS Utama Husada Jember; RS Daerah Kalisat Jember; RS Daerah Balung Jember; RS Umum Citra Husada Jember; RS Umum Universitas Muhammadiyah Jember; RS Umum Bhakti Husada; RS Nahdlatul Ulama Banyuwangi; RS Umum Bakti Mulia Banyuwangi; RS Umum Daerah Besuki Kabupaten Situbondo; RS Umum Daerah Asembagus Kabupaten Situbondo; RS Umum Mitra Sehat Kabupaten Situbondo; RS Graha Sehat; RS Umum  Wonolangan; RS Umum Daerah Tongas; RS Islam Masyithoh Bangil; RS Mitra Sehat Medika; RS Sahabat; RS Graha Sehat Medika; RS Umum Jasem; RS Umum Assakinah Medika; RS Umum Citra Medika; RS Umum Aisyiyah Siti Fatimah; RS Arafah Anwar Medika Sukodono; RS Umum Bunda; RS Umum Aminah; RS Pusura Candi; RS Dharma Husada; RS Mutiara Hati Mojokerto; RS Umum Kartini;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Islam Aisyiyah Nganjuk; RS Umum Daerah Dungus; RS Umum Daerah Caruban; RS Umum Daerah Dolopo; RS Umum Daerah dr. Sayidiman Magetan; RS Umum Bhakti Persada; RS Angkatan Udara dr. Efram Harsana; RS Umum Daerah Dr. Soeroto Ngawi; RS Umum Daerah Geneng; RSI Muhammadiyah Sumberrejo; RS Umum Daerah Sumberrejo; RS umum Daerah Padangan; RS Muhammadiyah Kalitidu; RS Ibu dan Anak Fatma; RS Umum Daerah Kepohbaru; RS Umum Daerah Dr. R. Koesma Tuban; RS Muhammadiyah Tuban; RS Umum Daerah R. Ali Manshur; RS Graha Husada; RS Islam Nashrul Ummah; RS Umum dr. Suyudi; RS Muhammadiyah Babat; RS Umum Muhammadiyah Babat; RS Umum Daerah Karangkembang; RS Nahdlatul Ulama Babat; RS Umum Daerah Ki Ageng Brondong; RS Semen Gresik; RS Umum Nyai Ageng Pinatih Gresik; RS Denisa; RS Umum Mabarrot MWC NU; RS Umum Wates Husada; RS Umum Wali Songo I; RS Grha Husada Gresik; RS PKU Muhammadiyah Sekapuk; RS Petrokimia Gresik Driyorejo; RS Surya Medika; RS Umum Daerah Umar Mas'ud Bawean; RS Umum Randegansari Husada; RS Eka Husada; RS Umum Daerah Gresik Sehati; RS Nindhita; RS Sukma Wijaya; RS Qona'ah; RS Umum Larasati Pamekasan; RS Umum Daerah Waru Pamekasan; RS Umum Kusuma Hospital; RS Umum Daerah dr. H. Moh. Anwar; RS Islam Garam Kalianget; Rumah Sakit Baghraf Health Care; RS TK. IV 05.07.02 Kediri; RS Umum Bhayangkara Kediri; RS Umum Daha Husada; RS Muhammadiyah Ahmad Dahlan; RS Umum Lirboyo; RS Umum Daerah Kilisuci; RS Katolik Budi Rahayu; RS Umum Syuhada Haji; RS Islam Aminah; RS Islam Unisma Malang; RS Umum Daerah Kota Malang; RS Umum BRI Medika Malang; RS Umum Dharma Husada; RS Umum Amanah; RS Umum Daerah Ar Rozy; RS Asih Abyakta; RS Reksa Waluya; RS Islam Hasanah Muhammadiyah; RS Kamar Medika; RS Emma; RS Umum Santa Clara; RS Umum Griya Husada Madiun; RS Jiwa Menur; RS Bunda; RS Al Irsyad Surabaya; RS Ibu dan Anak Pura Raharja; RS Bhakti Rahayu; RS Islam Darus Syifa; RS Wiyung Sejahtera; RS Wijaya Surabaya; RS Ibu dan Anak Putri Surabaya; RS Manyar Medical Centre; RS PKU Muhammadiyah Surabaya; RS Umum Daerah Eka Candrarini; RS Umum dr. Etty Asharto Batu; RS Umum Negara; RS Umum Bunda; RS Umum Dharma Kerti; RS Umum Semara Ratih; RS Umum Kasih Ibu Kedonganan; RS Umum Surya Husadha Nusa Dua; RS Windu Husada; RS Umum Kasih Ibu Saba; RS Umum Payangan; RS Kenak Medika; RS Umum Daerah Klungkung; RS Umum Permata Hati; RS Umum Bintang; RS Umum Daerah Gema Santi Nusa Penida; RS Umum Bangli Medika Canti; RS umum Karya Dharma Husada; RS Umum Parama Sidhi; RS Umum Shanti Graha;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K1218227; RS K1218417; RS K1230271; RS K1230383; RS K1230932; RS K1231071; RS K1231367; RS K1231529; RS K1231618; RS K1232020; RS K1232070; RS K1232425; RS K1232458; RS K1232846; RS K1233911; RS K1234534; RS K1234784; RS K1234821; RS K1234875; RS K1234958; RS K1235035; RS K1235252; RS K1235929; RS K1236049; RS K1236080; RS K1236408; RS K1236487; RS K1236595; RS K1236718; RS K1236856; RS K1237215; RS K1237254; RS K1237357; RS K1237398; RS K1237472; RS K1237986; RS K1238056; RS K1238132; RS K1238168; RS K1238199; RS K1238392; RS K1238395; RS K1238411; RS K1238492; RS K1238494; RS K1238787; RS K1238824; RS K1238862; RS K1239005; RS K1239006; RS K1239091; RS K1239353; RS K1239838; RS K1239933; RS K1250030; RS K1250201; RS K1250398; RS K1305001; RS K1306009; RS K1471002; RS K1471003; RS K2171001; RS K3201004; RS K3204002; RS K3204005; RS K3204006; RS K3204128; RS K3208001; RS K3208002; RS K3209001; RS K3209002; RS K3210024; RS K3212001; RS K3213001; RS K3214002; RS K3214003; RS K3271002; RS K3273002; RS K3273005; RS K3273007; RS K3273008; RS K3274013; RS K3276002; RS K3276006; RS K3276079; RS K3276120; RS K329012; RS K3302002; RS K3302003; RS K3304001; RS K3322001; RS K3322002; RS K3324079; RS K3374001; RS K3374002; RS K3507001; RS K3507002; RS K3507078; RS K3508001; RS K3518002; RS K3519001; RS K3519002; RS K3522001; RS K3524001; RS K3525001; RS K354007; RS K3573002; RS K3578003; RS K3578007; RS K3578799; RS K5171002; RS K5171004; RS K5171006; RSU Santo Yusup Boro; RS Umum Rizki Amalia Medika; RS Umum PKU Muhammadiyah Nanggulan; RS Umum Rizki Amalia; RS Umum Pura Raharja Medika; RS Umum Queen Latifa; RS Umum Santa Elisabeth; RS Umum Nur Hidayah; RS 3402077; RS Rajawali Citra; RS Umum Daerah Saras Adyatma; RS Umum Daerah Wonosari; RS Umum Nur Rohmah; RS Umum Pelita Husada;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Sadewa; RS Umum Mitra Sehat; RS Universitas Ahmad Dahlan; RS PKU Muhammadiyah Sleman; RS Islam Hidayatullah Yogyakarta; RS Khusus Ibu dan Anak  PKU Muhammadiyah Kotagede; RS Paru Respira; RS Ludira Husada Tama; RS Bethesda Lempuyangwangi; RS Happy Land Medical Centre; RS Pratama Kota Yogyakarta; RS K1236516</x:v>
      </x:c>
      <x:c r="G3" s="8">
        <x:v>473</x:v>
      </x:c>
      <x:c r="H3" s="7" t="str">
        <x:v>RS Umum Daerah Ahmad Syafi'I Ma'arif; RS Umum Daerah Prof H Muhammad Yamin, SH; RS Umum Daerah Tuanku Imam Bonjol; RS Umum Daerah Sungai Dareh; RS Tk. III Reksodiwiryo Padang; RS Umum Yos Sudarso; RS Umum Semen Padang Hospital; RS Umum Daerah dr. Rasidin Padang; RS Islam Siti Rahmah; RS. Universitas Andalas; RS Umum Hermina Padang; RS Umum Daerah Mohammad Natsir; RS Umum Daerah Dr. Achmad Mochtar; RS Otak DR. Drs. M. Hatta Bukittinggi; RS Islam Ibnu Sina Bukittinggi; RS Umum Daerah Teluk Kuantan; RS Umum Daerah  Puri Husada Tembilahan; RS Umum  Efarina; RS Umum Daerah Tengku Rafi'an Siak Sri Indrapura; RS Umum  Awal Bros Ujung Batu; RS Umum Awal Bros Bagan Batu; RS Umum Daerah  Arifin Achmad; RS Santa Maria Pekanbaru; RS Umum  Eka Hospital Pekanbaru; RS Umum  Syafira; RS Umum  Islam Ibnu Sina; RS Murni Teguh Eria; RS Awal Bros A. Yani; RS Umum  Awal Bros Panam; Aulia Hospital; RS Umum  Prima Pekanbaru; RS Awal Bros Dumai; RS Umum Daerah  Kota Dumai; RS Umum Daerah Raden Mattaher Jambi; RS Tk. III 02.06.01  dr. Bratanata; RS Bhayangkara Jambi; RS Siloam Jambi; RS Umum Daerah H. Abdul Manap; RS Mitra; RS Rapha Theresia; RS Umum Daerah Dr. M. Yunus Bengkulu; RS Tiara Sella; RS Umum Daerah Muhammad Sani Kabupaten Karimun; RS Umum Budi Kemuliaan Batam; RS Badan Pengusahaan Batam; RS Umum Graha Hermine; RS Umum Santa Elisabeth Batam Kota; RS Umum Daerah Embung Fatimah Kota Batam; RS Awal Bros Botania; RS Mutiara Aini; RS Umum Bhakti Yudha; RS Umum Daerah Cibinong; RS Umum Daerah Ciawi; RS Umum Daerah R. Moh. Noh Nur; RS Mitra Keluarga Bina Husada; RS Umum Hermina Depok; RS Umum Family Medical Center; RS Umum Bunda Margonda; RS dr. Abdul Radjak Cileungsi; RS Umum Sentra Medika Cibinong; RS Umum Daerah RH. Satibi; RS Umum Rumah Sehat Terpadu Dompet Dhuafa; RS Umum Hermina Mekarsari; RS Umum Ummi; RS Umum Permata Jonggol; RS Umum Karya Bhakti Pratiwi; RS EMC Sentul; Bogor Senior Hospital; RS Eka Hospital; RS Pena 98; RS Paragon; RS Umum Hermina Sukabumi; RS Umum Betha Medika; Rumah Sakit DKH Cibadak; RS Primaya Sukabumi; RS Umum Daerah Cimacan; RS Umum Dr. Hafiz; RS Umum Daerah Pagelaran; RS Umum Daerah Majalaya; RS Umum Kebonjati; RS Umum Mitra Kasih; RS Umum Daerah Welas Asih Provinsi Jawa Barat; RS Umum Daerah Oto Iskandar Di Nata; RS Maranatha; RS Hermina Soreang; RS Umum Daerah dr. Slamet Garut; Rumah Sakit TK.IV 03.07.04 Guntur; RS Umum Daerah dr. Soekardjo; RS Umum Daerah KHZ Musthafa Kabupaten Tasikmalaya; RS Umum Dadi Keluarga Ciamis; RS Umum Daerah 45 Kuningan; RS Umum Daerah Waled; RS Umum Daerah Arjawinangun; RS Umum Mitra Plumbon; RS Umum Permata Cirebon; RS Umum Sumber Waras; Sentra Medika Hospital Gempol; RS Mitra Plumbon Majalengka; RS Umum Daerah Umar Wirahadikusumah; RS Universitas Padjadjaran; RS Umum Daerah Kab. Indramayu; RS Umum Daerah M. A. Sentot Patrol; RS Mitra Plumbon Indramayu; RS Mitra Plumbon Patrol; RS Umum Daerah Bayu Asih; RS Umum Siloam Purwakarta; RS Umum dr. Abdul Radjak Purwakarta; RS Umum Rama Hadi; RS Umum Daerah Karawang; RS Umum Citra Sari Husada; RS Umum Lira Medika; RS Umum Fikri Medika; RS Hermina Karawang; RS Primaya Karawang; RS Permata Keluarga Karawang; RS Umum Karya Medika; RS Umum Annisa; Sentra Medika Hospital Cikarang; RS Umum Daerah Kab.Bekasi; RS Umum Hermina Grand Wisata; RS Umum Karya Medika II; RS Mitra Plumbon Cibitung; RS Umum Hermina Galaxy; RS Umum Permata Keluarga Lippo Cikarang; RS Umum Tiara; RS EMC Cikarang; RS Umum Permata Keluarga Jababeka; RS EMC Cibitung; RS EMC Pekayon; RS Mitra Keluarga Pratama; RS Ananda Babelan; RS Eka Bekasi; RS Umum Cahya Kawaluyan; RS Umum PMI Bogor; RSAU Dr. M. Hassan Toto; RS Umum Azra; RS Umum Daerah Kota Bogor; RS Umum Hermina Bogor; RS Umum Melania; RS Umum Vania; RS Umum Mulia Pajajaran; RS Umum Daerah R. Syamsudin, SH; RS Umum Bhayangkara Setukpa Lemdikpol;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Umum Sumber Kasih; RS Umum Daerah dr. Chasbullah Abdulmadjid; RS Siloam Sentosa; RS Umum Mitra Keluarga Bekasi Timur; RS Helsa; RS Siloam Bekasi Timur; RS Primaya; RS Primaya Bekasi Utara; RS Umum Permata Bekasi; RS Siloam Bekasi Sepanjang Jaya; RS Umum Sentra Medika; RS Umum Mitra Keluarga Depok; RS Umum Bhayangkara Brimob; RS Umum Grha Permata Ibu; RS Umum Daerah Khidmat Sehat Afiat Kota Depok; RS Umum Hasanah Graha Afiah; RS Umum Permata Depok; RS Umum Citra Medika Depok; RS Umum Citra Arafiq; RS Umum Alia Hospital; RS Primaya Depok; RS Umum Daerah Cibabat; RS Umum Kasih Bunda; RS Umum Tk. II Dustira; RS Umum Tasik Medika Citratama (TMC); RS Umum Daerah Cilacap; RS Umum Pertamina Cilacap; RS Umum Islam Fatimah; RS Umum Daerah Majenang; RS umum Daerah Banyumas; RS Umum Daerah Prof Dr. Margono Soekarjo; RS Umum Tk. III Wijayakusuma; RS Umum Santa Elisabeth Purwokerto; RS Umum Wiradadi Husada; RS Umum Siaga Medika Banyumas; RS Umum Dadi Keluarga; RS Umum Daerah dr. R. Goeteng Taroenadibrata; RS Umum Siaga Medika Purbalingga; RS Umum Daerah Hj. Anna Lasmanah Banjarnegara; RS Umum Emmanuel; RS Umum Daerah dr. Soedirman Kabupaten Kebumen; RS Umum Palang Biru Gombong; RS Umum PKU Muhamadiyah Gombong; RS Umum Daerah Prembun; RS Umum Daerah Dr. Tjitrowardojo Purworejo; RS Umum Palang Biru Kutoarjo; RS Umum Daerah R.A.A Tjokronegoro; RS Umum Setjonegoro Wonosobo; RS Umum Daerah Muntilan Kab. Magelang; RS Umum Aisyiyah Muntilan; RS Umum Daerah Pandan Arang Boyolali; RS Umum Daerah Waras Wiris; RS Umum Hidayah Boyolali; RS Indriati Boyolali; RS Umum Pusat Dr. Soeradji Tirtonegoro; RS Umum Islam Klaten; RS Umum Cakra Husada; RS Umum Islam Cawas Klaten; RS Umum PKU Muhammadiyah Jatinom; RS Umum Daerah Ir. Soekarno Kabupaten Sukoharjo; RS Umum Nirmala Suri; RS Umum Dr. Oen Solo Baru; RS Umum Universitas Sebelas Maret; RS Umum Daerah Dr. Soediran Mangun Sumarso Wonogi; RS Hermina Wonogiri; RS Umum  Amal Sehat; RS Umum Astrini; RS Umum Daerah Kartini Karanganyar; RS PKU Muhammadiyah Karanganyar; RS Umum Sarila Husada; RS Umum Islam Amal Sehat Sragen; RS Umum Daerah Dr. R.Soedjati Soemodiardjo; RS Umum Panti Rahayu; RS Umum Daerah dr. R. Soetrasno Rembang; RS Bhina Bhakti Husada; RS PKU Muhammadiyah Pamotan; RS Umum Daerah RAA Soewondo; RS Umum Islam Pati; RS Umum Mitra Bangsa Pati; RS Umum Keluarga Sehat; RS Umum Daerah dr. Loekmono Hadi; RS Umum Mardi Rahayu; RS Umum  Islam Sunan Kudus; RS Sarkies 'Aisyiyah Kudus; RS Umum Daerah R. A. Kartini;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Ngesti Waluyo; RS PKU Muhammadiyah Temanggung; RS Umum Daerah  Dr. H. Soewondo Kendal; RS Umum Islam Kendal; RS Umum Qim; RS Umum Daerah Kraton Kab. Pekalongan; RS Islam PKU Muhammadiyah Pekajangan; RS Umum Daerah Kajen Kab. Pekalongan; RS Umum Daerah Bendan Kota Pekalongan; RS Umum Siaga Medika Pemalang; RS Umum Muhammadiyah Mardhatillah; RS Umum Daerah dr. Soeselo Slawi Kabupaten Tegal; RS Umum Daerah Brebes; RS Umum Bhakti Asih Brebes; RS Umum Tk. II Dr. Soedjono; RS Jiwa Prof. Dr. Soerojo; RS Umum Dr. Oen; RS Umum Tk III Slamet Riyadi Surakarta; RS Umum Brayat Minulya; RS 3372051; RS Umum Panti Waluyo; RS Umum Islam Kustati; RS Umum Kasih Ibu; RS Umum Triharsi; RS Umum Hermina Solo; RS Umum Daerah Bung Karno Kota Surakarta; RS Umum Daerah Kota Salatiga; RS Paru Dr. Ario Wirawan; RS Umum Puri Asih; RS Umum St. Elisabeth Semarang; RS Umum Telogorejo Semarang; RS Umum Permata Medika; RS Umum Tk.III Bhakti Wira Tamtama Smg; RS Umum Sultan Agung Semarang; RS Roemani Muhammadiyah Semarang; RS Umum Panti Wilasa Citarum; RS Umum Daerah dr. Adhyatma, MPH; RS Panti Wilasa "Dr. Cipto" Semarang; RS Daerah KRMT Wongsonegoro; RS Umum Hermina Banyumanik Semarang; RS Khusus Bedah Columbia Asia Semarang; RS Umum Nasional Diponegoro; RS Umum Banyumanik 2; RS Primaya Kota Semarang; RS Keluarga Sehat III Semarang; RS Samsoe Hidajat; RS Umum Budi Rahayu; RS Umum Daerah Kardinah; RS Umum  Mitra Siaga; RS Umum Islam Harapan Anda; RS Umum Daerah  dr. Darsono; RS Umum Daerah Dr. Harjono S. Kabupaten Ponorogo; RS Umum Darmayu Ponorogo; RS Umum Muhammadiyah Ponorogo; RS Umum Muslimat Ponorogo; RS Umum Daerah dr. Soedomo Trenggalek; RS Umum Daerah Dr. Iskak; RS Umum Daerah Srengat Kab. Blitar; RS Umum Daerah Kabupaten Kediri; RS Toeloengredjo; RS Umum Daerah Kanjuruhan Kepanjen Kab. Malang; RS Umum Daerah Lawang; RS Umum Wava Husada; RS Umum Universitas Muhammadiyah Malang; RS Umum Pindad; RS Umum Daerah Dr. Haryoto Kabupaten Lumajang; RS Bhayangkara Lumajang; RS Umum Djatiroto; RS Umum Daerah Dr. Soebandi Jember; RS Perkebunan PTPN X (Persero) Jember; RS Tk. III Baladhika Husada Jember; RS Paru Jember; RS Bina Sehat Jember; RS Kaliwates Jember; RS Siloam Jember; RS Umum Daerah Blambangan; RS Umum Daerah Genteng; RS Islam Fatimah; RS Yasmin; RS Al Huda; RS Graha Medika; RS Umum dr. H.Koesnadi Bondowoso; RS Bhayangkara Bondowoso; RS Umum Daerah dr. Abdoer Rahem Situbondo; RS Elizabeth; RS Umum Daerah Waluyo Jati Kraksaan; RS Rizani; RS Umum Daerah Bangil; RS Umum Bhayangkara Pusdik Brimob; RS Umum Daerah Grati;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Umum Daerah Raden Achmad Basoeni; RS Mawaddah Medika; RS Umum Daerah Kab. Jombang; RS Umum Daerah Ploso; RS Umum Daerah Nganjuk; RS Umum Bhayangkara Tk. III Nganjuk; RS Umum Widodo; RS Umum At-Tin Husada; RS Umum Daerah Dr. R. Sosodoro Djatikoesoemo; Rumah Sakit Aisyiyah Bojonegoro; RS Bhayangkara Wahyu Tutuko Bojonegoro; RS Medika Mulia Tuban; RS Nahdlatul Ulama Tuban; RS Umum Daerah Dr. Soegiri Lamongan; RS Umum Muhammadiyah Lamongan; RS Umum Intan Medika; RS Umum Daerah Ibnu Sina Kab. Gresik; RS Petrokimia Gresik; RS Muhammadiyah Gresik; RS Fathma Medika; RS Umum Daerah dr. Mohammad Zyn Kab. Sampang; RS Umum Daerah Dr. H. Slamet Martodirdjo Pamekasan; RS 3528038; RS Umum Daerah Gambiran; RS Baptis Kediri; RS Umum Daerah Mardi Waluyo; RS Umum Aminah Blitar; RS Tk. II Dr. Soepraoen; RS Umum Panti Nirmala; RS Umum Panti Waluya Sawahan Malang; RS Umum Lavalette Malang; RS Umum Islam Aisyiyah Malang; RS Umum Hermina Tangkubanprahu; RS Universitas Brawijaya; RS Umum Daerah dr. Mohamad Saleh Kota Probolinggo; RS Umum Daerah Dr. R. Soedarsono Kota Pasuruan; RSUD dr. Wahidin Sudiro Husodo Kota Mojokerto; RS Gatoel; RS Umum Daerah Dr. Soedono Madiun; RS Umum Islam Siti Aisyah; RS Umum Daerah Kota Madiun; RS Umum Darmayu Madiun; RS Hermina Madiun; RSPAL dr. Ramelan; RS William Booth Surabaya; RS Primasatya Husada Citra (PHC) Surabaya; RS Umum Adi Husada Kapasari; RS Islam Surabaya; RS Umum Tk. III Brawijaya; RS Umum Daerah Bhakti Dharma Husada; RS Umum Islam Surabaya Jemursari; RS Umum Daerah Husada Prima; RS Umum Siloam Hospitals Surabaya; RS Umum Daerah Haji Provinsi Jawa Timur; RS Husada Utama Surabaya; RS Umum Daerah dr. Mohamad Soewandhie; RS Gotong Royong; RS Bhayangkara TK II HS. Samsoeri Mertojoso; RS Universitas Airlangga; RS Umum Royal Surabaya; RS Mitra Keluarga Kenjeran; Mayapada Hospital Surabaya; RS Ubaya; RS Umum Pusat Surabaya; RS Bhayangkara Hasta Brata Batu; RS Umum Karsa Husada Kota Batu; RS Baptis Batu; RS Umum Balimed Negara; RS Umum Daerah Tabanan; RS Umum Bhakti Rahayu Tabanan; RS Umum Kasih Ibu Tabanan; RS Daerah Mangusada; RS Umum Siloam Bali; RS Bali Jimbaran; RS Universitas Udayana; RS Umum Garba Med; RS Umum Murni Teguh Tuban Bali; RS Umum Daerah Sanjiwani Gianyar; RS Umum Ganesha; RS Umum Ari Canti; RS Umum Famili Husada; RS Umum Grha Bhakti Medika; RS Umum Daerah Bangli; RS Umum Balimed Karangasem; RS Umum Daerah Kab. Buleleng; RS Umum Daerah Wangaya; RS Umum Surya Husadha; RS Umum Bali Royal; RS Umum Prima Medika; RS BaliMed; RS Bhayangkara Denpasar; RS Umum Daerah Bali Mandara Provinsi Bali; RS Umum Daerah Wates; RS Umum Daerah Nyi Ageng Serang; RS Umum Daerah Panembahan Senopati; RSU PKU Muhammadiyah Bantul; RS Umum Rachma Husada; RS Universitas Islam Indonesia; RS Umum Panti Rahayu; RS Umum Daerah Sleman; RS Umum Queen Latifa; RS Islam Yayasan PDHI; RS Umum PKU Muhammadiyah Gamping; RS Umum Bhayangkara POLDA DIY; RS Akademik Universitas Gadjah Mada; RS Umum Hermina Yogya; RS Tk. III 04.06.03 Dr. Soetarto; RS PKU Muhammadiyah Yogyakarta; RS Bethesda Yogyakarta; RSPAU Dr.  Suhardi Harjolukito; RS Umum Daerah Kota Yogyakarta; RS Siloam Yogyakarta; RS AMC Muhammadiyah</x:v>
      </x:c>
      <x:c r="I3" s="8">
        <x:v>10</x:v>
      </x:c>
      <x:c r="J3" s="7" t="str">
        <x:v>RS Umum  Awal Bros Pekanbaru; RS Umum Awal Bros Batam; RS Universitas Indonesia; RS Umum Hermina Bekasi; RS Primaya Bekasi Barat; RS Umum Indriati; RS PKU Muhammadiyah Surakarta; RS Umum Pusat Dr. Kariadi; RSUP Dr. Sardjito; RS Umum Panti Rapih</x:v>
      </x:c>
      <x:c r="K3" s="8">
        <x:v>5</x:v>
      </x:c>
      <x:c r="L3" s="7" t="str">
        <x:v>RSUP Dr. M. Djamil; RS Umum Pusat Dr. Hasan Sadikin; RS Umum Daerah Dr. Saiful Anwar; RS Umum Daerah Dr. Soetomo; RSUP Prof. Dr. I.G.N.G. Ngoerah</x:v>
      </x:c>
      <x:c r="M3" s="8">
        <x:v>5</x:v>
      </x:c>
      <x:c r="N3" s="7" t="str">
        <x:v>RSUP Dr. M. Djamil (Paripurna); RS Umum Pusat Dr. Hasan Sadikin (Paripurna); RS Umum Daerah Dr. Saiful Anwar (Paripurna); RS Umum Daerah Dr. Soetomo (Paripurna); RSUP Prof. Dr. I.G.N.G. Ngoerah (Paripurna)</x:v>
      </x:c>
    </x:row>
    <x:row r="4">
      <x:c r="A4" s="7" t="str">
        <x:v>GIGI DAN MULUT</x:v>
      </x:c>
      <x:c r="B4" s="7" t="str">
        <x:v>Gigi &amp; Mulut</x:v>
      </x:c>
      <x:c r="C4" s="8">
        <x:v>3</x:v>
      </x:c>
      <x:c r="D4" s="7" t="str">
        <x:v>Utama</x:v>
      </x:c>
      <x:c r="E4" s="8">
        <x:v>631</x:v>
      </x:c>
      <x:c r="F4" s="7" t="str">
        <x:v>RS Umum Daerah Dr. Muhammad Zein Painan; RS Umum Daerah Solok Selatan; RS Umum Daerah Prof H Muhammad Yamin, SH; RSUP Dr. M. Djamil; RS Tk. III Reksodiwiryo Padang; RS Umum Yos Sudarso; RS Umum Islam Ibnu Sina; RS Umum Semen Padang Hospital; RS Islam Siti Rahmah; RS. Universitas Andalas; RUMKITAL Dr.dr. Tarmizi Taher; RS Umum Daerah Mohammad Natsir; RS Umum Daerah Sawah Lunto; RS Umum Daerah Padang Panjang; RS Umum Daerah Dr. Achmad Mochtar; RS Otak DR. Drs. M. Hatta Bukittinggi; RS Islam Ibnu Sina Bukittinggi; RS Umum Daerah Teluk Kuantan; RS Umum Daerah  Puri Husada Tembilahan; RS Umum  Efarina; RS Umum Daerah Tengku Rafi'an Siak Sri Indrapura; RS Umum Daerah  Bangkinang; RS Umum  Awal Bros Ujung Batu; RS Umum Daerah  Bengkalis; RS Umum Daerah  Dr. RM. Pratomo Bagansiapiapi; RS Umum Awal Bros Bagan Batu; RS Umum Daerah  Arifin Achmad; RS Bhayangkara Tk. III Kota Pekanbaru; RS Umum Daerah  Petala Bumi; RS Umum  Islam Ibnu Sina; RS Umum  Pekanbaru Medical Center; Aulia Hospital; RS Daerah Madani Kota Pekanbaru; RS Hermina Pekanbaru; RS Umum Daerah  Kota Dumai; Naray Hospital; RS Raudhah; RS Umum Daerah Haji Abdoel Madjid Batoe; RS Royal Prima; RS Umum Daerah Sungai Bahar; RS Umum Daerah Nurdin Hamzah; RS Umum Permata Hati; RS Bhayangkara Jambi; RS Umum Santa Theresia; RS Jiwa Daerah Provinsi Jambi; RS Umum Daerah H. Abdul Manap; RS Umum Kambang; RS Umum Baiturahim Jambi; RS Mitra; RS Rapha Theresia; RS Umum Daerah Kabupaten Rejang Lebong; RS Umum Daerah Mukomuko; RS Umum Ummi Bengkulu;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Graha Hermine; RS Umum Santa Elisabeth Batam Kota; RS Umum Daerah Raja Ahmad Tabib; RS Umum Bhakti Yudha; RS Umum Tugu Ibu; RS Umum Annisa; RS Ibu dan Anak Tumbuh Kembang; RS Umum Mary Cileungsi Hijau; RS Umum Meilia; RS Umum Bunda Margonda; RS dr. Abdul Radjak Cileungsi; RS Umum Islam Bogor; RS Sentosa; RS Umum Rumah Sehat Terpadu Dompet Dhuafa; RSU Assalam; RS Umum Ummi; RS Pena 98; RS Islam Aysha; RS Paragon; RS Hermina Ciawi; RS Umum Daerah Sekarwangi; RS Umum Betha Medika; RS Umum Bhakti Medicare; RS Umum Daerah Cimacan; RS Umum Dr. Hafiz;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Pameungpeuk Prov. Jabar; RS Medina; RS Umum Daerah KHZ Musthafa Kabupaten Tasikmalaya; RS Umum Jasa Kartini; RS Umum Daerah Kab. Ciamis; RS Umum Dadi Keluarga Ciamis; RS Umum Daerah 45 Kuningan; RS Umum Wijaya Kusumah; RS Umum Sekar Kamulyan; RS Umum Juanda; RS Umum El-Syifa; RS Mitra Husada; RS Permata Kuningan; RS Umum Daerah Waled; RS Pertamina Cirebon; RS Daerah Sidawangi; RS Umum Sumber Waras; Sentra Medika Hospital Gempol; RS Umum Daerah Majalengka; RS Umum Daerah Umar Wirahadikusumah; RS Umum Pakuwon; RS Universitas Padjadjaran; RS Cimalaka; RS Umum Daerah Kab. Indramayu; RS Umum Daerah M. A. Sentot Patrol; RS Umum Bhayangkara Indramayu; RS Umum MM Indramayu; RS Umum Pertamina Balongan Indramayu; RS Mitra Plumbon Patrol; RS Umum PTPN VIII; RS Umum Pamanukan Medical Center (PMC); RS Umum Asri Purwakarta; RS Umum Rama Hadi; RS Umum Amira; RS Umum Bhakti Husada II Purwakarta; RS Umum Bayukarta; RS Umum Dewi Sri; RS Umum Proklamasi; RS Umum Saraswati; RS Umum Citra Sari Husada; RS Umum Izza; RS Umum Fikri Medika; RS Umum Puri Asih; RS Umum Helsa; RS Umum Amanda Mitra Keluarga; RS Hermina Karawang; RS Primaya Karawang; RS Permata Keluarga Karawang; RS Umum Annisa; Siloam Hospitals Lippo Cikarang; Sentra Medika Hospital Cikarang; RS Umum Rawa Lumbu; RS Umum St. Elisabeth; RS Umum Karya Medika II; RS dr. Abdul Radjak Jababeka; RS Amanda Cikarang Selatan; RS Uni Medika Setu Bekasi; RS Umum Harapan Mulia; RS Umum Cikarang Medika; RS Umum Amanda; RS Umum Permata Keluarga Lippo Cikarang; RS Umum Kartika Husada; RS EMC Cikarang; RS Umum Daerah Cabangbungin; RS Umum Permata Keluarga Jababeka; RS EMC Cibitung; RS Umum Daerah Lembang; RS Umum Cahya Kawaluyan; RS Umum Azra; RS Umum Melania; RS Ibu dan Anak Pasutri; RS Umum Vania; RS Umum Mulia Pajajaran; RS Umum Bhayangkara Tk. IV Bogor; RS Umum Ridogalih; RS Umum Assyifa Sukabumi; RS Umum Kartika Kasih; RS Umum Daerah Al-Mulk; RSU Bhayangkara Tk. II Sartika Asih; RSAU dr. M. Salamun; RS 3273046; RS Umum Immanuel Bandung; RS Umum Santo Yusup; RS Umum Santo Borromeus; RS Umum Bungsu; RS Umum Hermina Arcamanik; RS Umum Tk. IV 03.07.03 Sariningsih; RS AMC; RS Umum Melinda 2;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Siloam Sentosa; RS Umum Masmitra; RS Umum Taman Harapan Baru; RS Helsa; RS Primaya Bekasi Utara; RS Umum Bhakti Kartini; RS Umum Permata Bekasi; RS Umum Bella; RS Umum Graha Juanda; RS Umum Anna; RS Umum Jati Sampurna; RS Siloam Bekasi Sepanjang Jaya; RS Umum Mitra Keluarga Depok; RS Umum Grha Permata Ibu; RS Umum Daerah Khidmat Sehat Afiat Kota Depok; RS Umum Citra Medika Depok; RS Umum Citra Arafiq; RS Primaya Depok; RS Umum Daerah Anugerah Sehat Afiat; RS Umum Mitra Anugrah Lestari; RS Umum Avisena; RS Umum Daerah Cibabat; RS Umum Kasih Bunda; RS Gigi dan Mulut Pendidikan Unjani; RS Umum Baros; RS Umum Tasik Medika Citratama (TMC); RS Umum Prasetya Bunda; RS Umum Permata Bunda; RS Hermina Tasikmalaya; RS Jantung dan Pembuluh Darah Tasikmalaya; RS Umum Mitra Idaman; RS Umum Daerah Cilacap; RS Umum Pertamina Cilacap; RS Umum Islam Fatimah; RS Umum Daerah Majenang; RS Umum Duta Mulya; RS Umum Santa Maria Cilacap; RS Umum PKU Muhammdiyah Aghisna Kroya; RS Umum Tk. III Wijayakusuma; RS Umum Santa Elisabeth Purwokerto; RS Umum Islam Purwokerto; RS Umum Sinar Kasih; RS Umum Wiradadi Husada; RS Umum Siaga Medika Banyumas; RS Umum Dadi Keluarga; RS Umum Nirmala;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Panti Waluyo Yakkum Purworejo; RS Umum Budi Sehat Purworejo; RS Umum Daerah R.A.A Tjokronegoro; RS Umum Setjonegoro Wonosobo; RS Umum Islam Wonosobo; RS Umum Daerah Muntilan Kab. Magelang; RS Umum Aisyiyah Muntilan; RS Umum Daerah Merah Putih; RS Umum PKU Aisyiyah Boyolali; RS Umum Daerah Waras Wiris; RS Umum Daerah Simo; RS Umum Asy-Syifa Sambi; RS Umum Hidayah Boyolali; RS Umum Natalia; RS Umum Islam Boyolali; RS Jiwa Daerah Dr. RM. Soedjarwadi; RS Umum 'Aisyiyah Klaten; RS Umum Cakra Husada; RS Umum PKU Muhammadiyah Delanggu; RS Umum Mitra Pedan; RS Umum Daerah Bagas Waras; RS PKU Muhammadiyah Prambanan; RS Umum Daerah Ir. Soekarno Kabupaten Sukoharjo; RS Umum PKU Muhammadiyah Sukoharjo; RS Islam Surakarta YARSIS; RS Umum Daerah Dr. Soediran Mangun Sumarso Wonogi; RS Umum Maguan Husada; RS Umum Muhammadiyah Selogiri; RS Hermina Wonogiri; RS Umum Astrini; RSAU dr. Siswanto Lanud Adi Soemarmo; RS PKU Muhammadiyah Karanganyar; RS Umum Jati Husada Karanganyar; RS Umum Daerah dr. Soehadi Prijonegoro; RS Umum Islam Amal Sehat Sragen; RS Umum Assalam; RS Umum Daerah dr. Soeratno Gemolong; RS Umum Rizky Amalia; RS Umum Daerah Dr. R.Soedjati Soemodiardjo; RS Permata Bunda; RS Umum PKU Muhammadiyah Gubug; RS Umum Islam Purwodadi; RS Umum Trimedika Ketapang; RS Umum Daerah Dr. R. Soetijono Blora; RS Umum Daerah Dr. R. Soeprapto Cepu; RS Umum Permata Blora; RS Ibu dan Anak NU Cakra Medika; RS Umum Islam Arafah; RS Bhina Bhakti Husada; RS Umum Islam Pati; RS Umum Mitra Bangsa Pati; RS Umum Daerah Kayen Pati; RS Umum Fastabiq Sehat PKU Muhammadiyah Pati; RS Umum Sebening Kasih; RS Umum As-Suyuthiyyah; RS Umum Daerah dr. Loekmono Hadi; RS Umum Kumala Siwimijen Kudus; RS Umum  Islam Sunan Kudus; Rumkitban 04.08.04 Kartika Husada Kudus; RS Sarkies 'Aisyiyah Kudus; RS Umum Daerah dr. Rehatta Provinsi Jawa Tengah; RS Umum Sultan Hadlirin Jepara; RS Graha Husada Jepara; RS PKU Aisyiyah Jepara; RS Umum Islam NU Demak; RS Umum Pelita Anugerah; Charlie Hospital Demak; RS Umum Daerah dr. Gondo Suwarno; RS Umum Kusuma Ungaran; RS Umum Daerah Kabupaten Temanggung; RS Umum Ngesti Waluyo; RS PKU Muhammadiyah Temanggung; RS Umum Daerah  Dr. H. Soewondo Kendal; RS Umum Islam Kendal; RS Umum Muhammadiyah Darul Istiqomah Kendal; RS Umum Charlie Hospital;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Harapan Sehat Pemalang; RS Umum Daerah dr. Soeselo Slawi Kabupaten Tegal; RS Umum Daerah Suradadi; RSI PKU Muhammadiyah Tegal; RS Umum Adella; RS Harapan Sehat Slawi; RS Mitra Siaga Tarub; RS Umum Daerah Brebes; RS Umum Daerah Bumiayu; RS Umum Allam Medica Bumiayu; RS Jiwa Prof. Dr. Soerojo; RS Umum Lestari Raharja; RS Umum Harapan; RS Umum Tk III Slamet Riyadi Surakarta; RS Umum Brayat Minulya; RS Orthopedi Prof. Dr. R. Soeharso; RS Umum Islam Kustati; RS Umum Triharsi; RS Umum Daerah Ibu Fatmawati Soekarno; RS Umum Daerah Bung Karno Kota Surakarta; RS Umum Tk. IV 04.07.03 dr. Asmir; RS Paru Dr. Ario Wirawan; RS Umum Puri Asih; RS Umum William Booth; RS Umum Permata Medika; RS Umum Tk.III Bhakti Wira Tamtama Smg; RS Umum Sultan Agung Semarang; RS Umum Bhayangkara Semarang; RS Jiwa Daerah  Dr. Amino Gondohutomo; RS Umum Daerah dr. Adhyatma, MPH; RS Umum Banyumanik; RS Keluarga Sehat III Semarang; RS Samsoe Hidajat; RS Umum Siti Khodijah; RS Umum Daerah Kardinah; RS Umum  Mitra Siaga; RS Umum Tk. IV Tegal; RS Umum Darmayu Ponorogo; RS Umum Muslimat Ponorogo; RS Umum Daerah dr. Soedomo Trenggalek; RS Umum Islam Orpeha; RS Umum Era Medika; RS Umum Bhayangkara Tulungagung; RS Umum Islam  Madinah; RS Umum Muhammadiyah Bandung; RS Putra Waspada Tulungagung; RS Umum Prima Medika; RS Umum Daerah Campurdarat; RS Umum Daerah Ngudi Waluyo Wlingi; RS Umum Ananda; RS Umum Daerah Srengat Kab. Blitar; RS Umum An-Nisaa; RS Umum Arga Husada; RS Muhammadiyah Siti Khodijah; RS Umum  Aura Syifa; RS Gigi Mulut IIK Bhakti Wiyata; RS Umum Daerah Simpang Lima Gumul Kediri; RS Umum Daerah Kanjuruhan Kepanjen Kab. Malang; RS Marsudi Waluyo; RS Mitra Delima; RS Prasetya Husada; RS Angkatan Udara dr. Munir Lanud Abdulrachman Saleh; RS Prima Husada; RS Ben Mari; RS Umum Pindad; RS Umum Wajak Husada; RS Sumber Sentosa; RS Wijaya Kusuma Lumajang; RS Bhayangkara Lumajang; RS Umum Djatiroto; RS Umum Daerah Pasirian Kabupaten Lumajang; RS Perkebunan PTPN X (Persero) Jember; RS Tk. III Baladhika Husada Jember; RS Daerah Kalisat Jember; RS Daerah Balung Jember; RS Umum Citra Husada Jember; RS Umum Srikandi IBI Jember; RS Kaliwates Jember; RS Umum Universitas Muhammadiyah Jember; RS Umum Daerah Blambangan; RS Umum Bhakti Husada; RS Umum Daerah Genteng; RS Yasmin; RS Nahdlatul Ulama Banyuwangi; RS Al Huda; RS Graha Medika; RS Bhayangkara Bondowoso; RS Umum Daerah dr. Abdoer Rahem Situbondo; RS Elizabeth; RS Umum Daerah Besuki Kabupaten Situbondo; RS Umum Daerah Asembagus Kabupaten Situbondo; RS Umum Mitra Sehat Kabupaten Situbondo; RS Umum Daerah Waluyo Jati Kraksaan; RS Islam Masyithoh Bangil; RS Umum Bhayangkara Pusdik Brimob; RS Sahabat; RS Prima Husada; RS Bhayangkara TK.III Pusdik Sabhara Porong; RS Islam Siti Hajar Sidoarjo; RS Umum Jasem; RS Umum Anwar Medika; RS Umum Al-Islam H. M. Mawardi; RS Umum Assakinah Medika; RS Umum Citra Medika; RS Umum Aisyiyah Siti Fatimah; RS Arafah Anwar Medika Sukodono; RS Pusura Candi; RS Umum Daerah Sidoarjo Barat; RS Umum Daerah Sumberglagah; RS Umum Kartini; RS Islam Sakinah; RS Umum Daerah Raden Achmad Basoeni; RS Kristen Mojowarno; RS Umum Islam Jombang; RS Umum Daerah Ploso; RS Muhammadiyah Jombang; RS Umum Nadhlatul Ulama Jombang; RS Umum Pelengkap Medical Center; RS Umum PKU Muhammadiyah Mojoagung; RS Hasyim Asy'ari; RS Umum Bhayangkara Tk. III Nganjuk; RS Umum Daerah Caruban; RS Umum Daerah Dolopo; RS Umum Daerah dr. Sayidiman Magetan; RS Angkatan Udara dr. Efram Harsana; RS Umum Daerah Dr. Soeroto Ngawi; RS Umum Widodo; RS Umum At-Tin Husada; Rumah Sakit Aisyiyah Bojonegoro; RS Umum Daerah Sumberrejo; RS umum Daerah Padangan; RS Bhayangkara Wahyu Tutuko Bojonegoro; RS Muhammadiyah Kalitidu; RS Ibu dan Anak Fatma; RS Medika Mulia Tuban; RS Nahdlatul Ulama Tuban; RS Umum Daerah R. Ali Manshur; RS Islam Nashrul Ummah; RS Umum Muhammadiyah Lamongan; RS Umum Daerah Ngimbang; RS Umum dr. Suyudi; RS Muhammadiyah Babat; RS Umum Muhammadiyah Babat; RS Nahdlatul Ulama Babat; RS Umum Daerah Ibnu Sina Kab. Gresik; RS Umum Nyai Ageng Pinatih Gresik; RS Petrokimia Gresik; RS Muhammadiyah Gresik; RS Umum Mabarrot MWC NU; RS Grha Husada Gresik; RS Fathma Medika; RS PKU Muhammadiyah Sekapuk; RS Umum Rachmi Dewi; RS Umum Daerah Umar Mas'ud Bawean; RS Umum Randegansari Husada; RS Eka Husada; RS Umum Daerah Dr. H. Slamet Martodirdjo Pamekasan; RS Islam Garam Kalianget; RS Umum Daerah Gambiran; RS TK. IV 05.07.02 Kediri; RS Baptis Kediri; RS Umum Daha Husada; RS Muhammadiyah Ahmad Dahlan; RS Umum Daerah Kilisuci; RS Umum Daerah Mardi Waluyo; RS Umum Syuhada Haji; RS Umum Aminah Blitar; RS Islam Aminah; RS Umum Panti Nirmala; RS Umum Panti Waluya Sawahan Malang; RS Islam Unisma Malang; RS Puri Galeri; RS Umum Permata Bunda; RS Ibu dan Anak Galeri Candra Malang; RS Bantuan 05.08.04 Lawang; RS Universitas Brawijaya; RS Umum BRI Medika Malang; RS Umum Dharma Husada; RS Umum Daerah Ar Rozy; RS Gatoel; RS Reksa Waluya; RS Islam Hasanah Muhammadiyah; RS Kamar Medika; RS Emma; RS Umum Daerah Dr. Soedono Madiun; RS Umum Islam Siti Aisyah; RS Umum Daerah Kota Madiun; RS Umum Griya Husada Madiun; RS Umum Adi Husada Kapasari; RS Jiwa Menur; RS Umum Islam Surabaya Jemursari; RS Umum Daerah Husada Prima; RS Al Irsyad Surabaya; RS Ibu dan Anak Pura Raharja; RS Gotong Royong; RS Bhakti Rahayu; RS Islam Darus Syifa; RS Bhayangkara TK II HS. Samsoeri Mertojoso; RS Wiyung Sejahtera; RS Wijaya Surabaya; RS Manyar Medical Centre; RS Ibu dan Anak Bantuan 05.08.05 Surabaya; RS Universitas Airlangga; RS Umum Royal Surabaya; RS Ubaya; RS Umum Karsa Husada Kota Batu; RS Baptis Batu; RS Umum Negara; RS Umum Bunda; RS Umum Daerah Tabanan; RS Umum Kasih Ibu Tabanan; RS Umum Semara Ratih; RS Daerah Mangusada; RS Umum Kasih Ibu Kedonganan; RS Umum Surya Husadha Nusa Dua; RS Bali Jimbaran; RS Universitas Udayana; RS Umum Garba Med; RS Umum Ganesha; RS Umum Ari Canti; RS Umum Famili Husada; RS Umum Kasih Ibu Saba; RS Umum Permata Hati; RS Umum Bintang; RS Umum Grha Bhakti Medika; RS Umum Daerah Bangli; RS umum Karya Dharma Husada; RS Umum Daerah Wangaya; RS TK. II Udayana; RS Umum Surya Husadha; RS Umum Bali Royal; RS Umum Dharma Yadnya; RS Umum Puri Raharja; RS BaliMed; RS Bhayangkara Denpasar; RS Umum Surya Husadha; RS 32750300305; RS K1211037; RS K1216717; RS K1217678; RS K1232458; RS K1232846; RS K1236080; RS K1237398; RS K1237986; RS K1250201; RS K2171001; RS K3204002; RS K3213001; RS K3273005; RS K3275002; RS K3522001; RS Umum Rizki Amalia Medika; RS Umum Daerah Nyi Ageng Serang; RS Umum Pura Raharja Medika; RS Umum Queen Latifa; RS Umum Daerah Panembahan Senopati; RS Umum Santa Elisabeth; RSU PKU Muhammadiyah Bantul; RS Umum Nur Hidayah; RS 3402077; RS Rajawali Citra; RS Umum Daerah Wonosari; RS Umum Panti Rahayu; RS Islam Gunungkidul; Charitas Hospital Klepu; RS Umum Queen Latifa; RS Umum Condong Catur; RS Umum Panti Rini; RS Umum Panti Nugroho; RS Umum Daerah Prambanan; RS Umum Gramedika 10; RS Umum PKU Muhammadiyah Gamping; RS Umum Bhayangkara POLDA DIY; RS Sadewa; RS Akademik Universitas Gadjah Mada; RS Umum Mitra Sehat; RS PKU Muhammadiyah Sleman; RS Islam Hidayatullah Yogyakarta; RS Tk. III 04.06.03 Dr. Soetarto; RS Bethesda Lempuyangwangi; RS Happy Land Medical Centre; RS Siloam Yogyakarta; RS AMC Muhammadiyah</x:v>
      </x:c>
      <x:c r="G4" s="8">
        <x:v>201</x:v>
      </x:c>
      <x:c r="H4" s="7" t="str">
        <x:v>RS Umum Daerah Ahmad Syafi'I Ma'arif; RS Umum Naili DBS; RS Umum Hermina Padang; RS Umum Daerah  Kec.Mandau; RS Santa Maria Pekanbaru; RS Umum  Eka Hospital Pekanbaru; RS Umum  Syafira; RS Umum  Awal Bros Pekanbaru; RS Murni Teguh Eria; RS Awal Bros A. Yani; RS Umum  Awal Bros Panam; RS Umum  Prima Pekanbaru; RS Awal Bros Dumai; RS Umum Daerah Raden Mattaher Jambi; RS Tk. III 02.06.01  dr. Bratanata; RS Umum Daerah Dr. M. Yunus Bengkulu; RS Umum Awal Bros Batam; RS Umum Daerah Embung Fatimah Kota Batam; RS Awal Bros Botania; RS Umum Daerah Ciawi; RS Umum Daerah R. Moh. Noh Nur; RS Umum Hermina Depok; RS Umum Sentra Medika Cibinong; RS Umum Daerah RH. Satibi; RS Umum Medika Dramaga; RS Umum Hermina Mekarsari; RS Umum Karya Bhakti Pratiwi; RS Universitas Indonesia; RS Eka Hospital; RS Umum Hermina Sukabumi; RS Primaya Sukabumi; RS Umum Daerah Sayang; RS Hermina Soreang; Rumah Sakit TK.IV 03.07.04 Guntur; RS Umum Daerah dr. Soekardjo; RS Umum Daerah Arjawinangun; RS Umum Mitra Plumbon; RS Umum Permata Cirebon; RS Umum Daerah Cideres; RS Mitra Plumbon Majalengka; RS Mitra Plumbon Indramayu; RS Umum Daerah Subang; RS Umum Siloam Purwakarta; RS Umum dr. Abdul Radjak Purwakarta; RS Umum Daerah Karawang; RS Umum Mandaya; RS Umum Lira Medika; RS Umum Karya Medika; RS Umum Daerah Kab.Bekasi; RS Umum Hermina Grand Wisata; RS Mitra Plumbon Cibitung; RS Umum Hermina Galaxy; RS EMC Pekayon; RS Hermina Metland Cibitung; RS Umum PMI Bogor; RSAU Dr. M. Hassan Toto; RS Jiwa dr. H. Marzoeki Mahdi; RS Umum Daerah Kota Bogor; RS Umum Daerah R. Syamsudin, SH; RS Umum Advent Bandung; RS Umum Pindad; RS Umum Muhammadiyah; RS Umum Daerah Bandung Kiwari; RS Umum Daerah Kota Bandung; RS Umum Al-Islam Bandung; RS Khusus Gigi dan Mulut Kota Bandung; RS Umum Santosa Hospital Bandung Kopo; RS Edelweiss; RS Umum Juwita; RS Primaya; RS Umum Daerah Jatisampurna; RS Umum Hermina Bekasi; RS Primaya Bekasi Barat; RS Umum Sentra Medika; RS Umum Bhayangkara Brimob; RS Umum Permata Depok; RS Umum Alia Hospital; RS Umum Tk. II Dustira; RS umum Daerah Banyumas; RS Hermina Purwokerto; RS Umum Daerah dr. R. Goeteng Taroenadibrata; RS Umum Harapan Ibu; RS Umum PKU Muhamadiyah Gombong; RS Umum Daerah Prembun; RS Umum Daerah Dr. Tjitrowardojo Purworejo; RS Umum Daerah Pandan Arang Boyolali; RS Indriati Boyolali; RS Umum Diponegoro Dua Satu Klaten; RS Umum Islam Cawas Klaten; RS Umum Nirmala Suri; RS Umum Dr. Oen Solo Baru; RS Umum Universitas Sebelas Maret; RS Umum Indriati; RS Umum Sarila Husada; RS Umum Panti Rahayu; RS Umum Daerah dr. R. Soetrasno Rembang; RS Umum Daerah RAA Soewondo; RS Umum Keluarga Sehat; RS Umum Mardi Rahayu; RS Umum Daerah R. A. Kartini; RS Umum PKU Muhammadiyah Mayong; RS Umum Daerah Sunan Kalijaga; RS Umum Daerah Sultan Fatah Karangawen Demak; RS Umum Daerah dr. Gunawan Mangunkusumo; RS Umum Ken Saras; RS Umum Tk. II Dr. Soedjono; RS Umum Dr. Oen; RS 3372051; RS Umum Panti Waluyo; RS PKU Muhammadiyah Surakarta; RS Umum Hermina Solo; RS Umum Daerah Kota Salatiga; RS Umum Pusat Dr. Kariadi; RS Umum St. Elisabeth Semarang; RS Umum Telogorejo Semarang; RS Roemani Muhammadiyah Semarang; RS Umum Panti Wilasa Citarum; RS Umum Hermina Pandanaran; RS Panti Wilasa "Dr. Cipto" Semarang; RS Daerah KRMT Wongsonegoro; RS Umum Hermina Banyumanik Semarang; RS Khusus Bedah Columbia Asia Semarang; RS Umum Nasional Diponegoro; RS Gigi dan Mulut Unimus; RS Umum Banyumanik 2; RS Primaya Kota Semarang; RS Umum Hermina Pekalongan; RS Umum Islam Harapan Anda; RS Umum Daerah  dr. Darsono; RS Umum Daerah Dr. Harjono S. Kabupaten Ponorogo; RS Umum Aisyiyah Ponorogo; RS Umum Muhammadiyah Ponorogo; RS Umum Daerah Dr. Iskak; RS Umum Daerah Kabupaten Kediri; RS Toeloengredjo; RS Umum Daerah Lawang; RS Umum Wava Husada; RS Umum Daerah Dr. Haryoto Kabupaten Lumajang; RS Umum Daerah Dr. Soebandi Jember; RS Gigi dan Mulut Universitas Jember; RS Bina Sehat Jember; RS Siloam Jember; RS Umum dr. H.Koesnadi Bondowoso; RS Umum  Wonolangan; RS Rizani; RS Umum Daerah Bangil; RS Umum Daerah Grati; RS Umum Daerah R. T. Notopuro Sidoarjo; RS Umum Siti Khodijah Muhammadiyah Cabang Sepanjan; RS Umum Delta Surya; RS Umum Daerah Prof. Dr. Soekandar; RS Mawaddah Medika; RS Umum Daerah Kab. Jombang; RS Umum dr. Moedjito Dwidjosiswojo; RS Umum Daerah Nganjuk; RS Umum Daerah Dr. R. Sosodoro Djatikoesoemo; RS Umum Daerah Dr. Soegiri Lamongan; RS Semen Gresik; RS Petrokimia Gresik Driyorejo; RS Surya Medika; RS Umum Daerah Syarifah Ambami Rato Ebu; RS Umum Daerah dr. Mohammad Zyn Kab. Sampang; RS 3528038; RS Umum Bhayangkara Kediri; RS Umum Daerah Dr. Saiful Anwar; RS Tk. II Dr. Soepraoen; RS Umum Lavalette Malang; RS Umum Islam Aisyiyah Malang; RS Umum Hermina Tangkubanprahu; RS Bhirawa Bhakti; RS Umum Daerah dr. Mohamad Saleh Kota Probolinggo; RS Umum Daerah Dr. R. Soedarsono Kota Pasuruan; RSUD dr. Wahidin Sudiro Husodo Kota Mojokerto; RS Umum Darmayu Madiun; RS Hermina Madiun; RSPAL dr. Ramelan; RS Islam Surabaya; RS Umum Tk. III Brawijaya; RS Umum Daerah Bhakti Dharma Husada; RS Umum Daerah Haji Provinsi Jawa Timur; RS Husada Utama Surabaya; RS Umum Daerah dr. Mohamad Soewandhie; RS Gigi dan Mulut FKG Universitas Airlangga; RS Bhayangkara Hasta Brata Batu; RS Umum Murni Teguh Tuban Bali; RS Umum Daerah Sanjiwani Gianyar; RS Umum Daerah Klungkung; RSUP Prof. Dr. I.G.N.G. Ngoerah; RS Umum Daerah Bali Mandara Provinsi Bali; RS Umum Daerah Wates; RS Universitas Islam Indonesia; RS Umum Daerah Sleman; RS Islam Yayasan PDHI; RS Umum Sakina Idaman; RS Universitas Ahmad Dahlan; RS Umum Hermina Yogya; RS PKU Muhammadiyah Yogyakarta; RS Bethesda Yogyakarta; RSPAU Dr.  Suhardi Harjolukito; RS Umum Daerah Kota Yogyakarta; RS Pratama Kota Yogyakarta</x:v>
      </x:c>
      <x:c r="I4" s="8">
        <x:v>8</x:v>
      </x:c>
      <x:c r="J4" s="7" t="str">
        <x:v>RS Badan Pengusahaan Batam; RS Umum Daerah Prof Dr. Margono Soekarjo; RS Umum Pusat Dr. Soeradji Tirtonegoro; RS Umum Islam Klaten; RS Umum Kasih Ibu; RS Islam Gigi dan Mulut Sultan Agung; RS Primasatya Husada Citra (PHC) Surabaya; RS Umum Panti Rapih</x:v>
      </x:c>
      <x:c r="K4" s="8">
        <x:v>9</x:v>
      </x:c>
      <x:c r="L4" s="7" t="str">
        <x:v>RS Gigi dan Mulut Maranatha; RS Umum Hermina Bogor; RS Umum Pusat Dr. Hasan Sadikin; RS Khusus Gigi dan Mulut UNPAD; RS Umum Santosa Hospital Bandung Central; RS Umum Hermina Pasteur; RS Umum Daerah Dr. Soetomo; RSUP Dr. Sardjito; RS Gigi dan Mulut UGM Prof. Soedomo</x:v>
      </x:c>
      <x:c r="M4" s="8">
        <x:v>17</x:v>
      </x:c>
      <x:c r="N4" s="7" t="str">
        <x: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x:v>
      </x:c>
    </x:row>
    <x:row r="5">
      <x:c r="A5" s="7" t="str">
        <x:v>HEMATOLOGI</x:v>
      </x:c>
      <x:c r="B5" s="7" t="str">
        <x:v>Hematologi</x:v>
      </x:c>
      <x:c r="C5" s="8">
        <x:v>3</x:v>
      </x:c>
      <x:c r="D5" s="7" t="str">
        <x:v>Utama</x:v>
      </x:c>
      <x:c r="E5" s="8">
        <x:v>1027</x:v>
      </x:c>
      <x:c r="F5" s="7" t="str">
        <x:v>RS Umum Daerah Dr. Muhammad Zein Painan; RS Umum BKM; RS Umum Daerah Solok Selatan;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Islam Siti Rahmah; RS Umum Naili DBS; RS Umum Daerah Sawah Lunto; RS Umum Daerah Padang Panjang; RS Islam Ibnu Sina Bukittinggi; RS Umum Ibnu Sina Kota Payakumbuh; RS Umum Daerah Dr. Adnaan WD; RS Umum Tamar Medical Centre;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Pekanbaru Medical Center; RS Ibu dan Anak Annisa; RS Ibu dan Anak  Zainab; RS Umum  Universitas Riau; RS Ibu Anak  Budhi Mulia; Aulia Hospital; RS Umum  Prima Pekanbaru; RS Daerah Madani Kota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Bhayangkara Jambi; RS Umum Santa Theresia; RS Jiwa Daerah Provinsi Jambi; RS Siloam Jambi; RS Umum Daerah H. Abdul Manap; RS Islam Arafah; RS Umum Kambang; RS Mitra; RS Umum Daerah H. Abdurrahman Sayoeti; RS Rapha Theresia; RS Umum Melati; RS As-syifa; RS Umum Daerah Kabupaten Rejang Lebong;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Umum Bhakti Yudha;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Medika Dramaga; RSU Assalam;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Palabuhanratu; RS Umum Betha Medika; RS Umum Bhakti Medicare; Rumah Sakit DKH Cibadak; RS Primaya Sukabumi; RS Umum Daerah Cimacan; RS Umum Daerah Pagelaran; RS 3203062; RS Umum Daerah Majalaya; RS Umum Kebonjati; RS Umum Mitra Kasih; RS Umum Daerah Cicalengka; RS Umum Humana Prima; RS Maranatha; RS Umum Karya Pangalengan Bhakti Sehat; RS Kartini; RS Umum TNI AU Lanud Sulaiman; RS Oetomo; RS Muhammadiyah Bandung Selatan; RS Umum Daerah Bedas Cimaung; RS Umum Daerah Bedas Kertasari; RS Umum Daerah Bedas Tegalluar; RS Umum Daerah dr. Slamet Garut; RS Umum Daerah Pameungpeuk Prov. Jabar; RS Medina; RS 3205035; RS Umum Daerah Malangbong;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Pertamina Cirebon; RS Umum Universitas Muhammadiyah Cirebon; RS Umum Khalishah; RS Pasar Minggu Cirebon; RS Umum Livasya; Rumah Sakit Umum Djuansih Majalengka; RS Umum Daerah Umar Wirahadikusumah; RS Umum Pakuwon; RS Umum Harapan Keluarga; RS Universitas Padjadjaran; RS Cimalaka; RS Umum Daerah M. A. Sentot Patrol; RS Umum Bhayangkara Indramayu; RS Umum MM Indramayu; RS Umum Daerah Mursid Ibnu Syafiuddin; RS Sentra Medika Langut; RS Islam Zam-Zam Muhammadiyah Jatibarang; RS Umum PTPN VIII; RS Umum Mutiara Hati; RS Umum Pamanukan Medical Center (PMC); RS Indosehat 2003; RS Umum dr. Abdul Radjak Purwakarta; RS Umum Asri Purwakarta; RS Suliawati;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Medirossa Cikarang; RS dr. Abdul Radjak Jababeka; RS Amanda Cikarang Selatan; RS Umum Dokter Adam Talib;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Dokter Adam Talib Cikunir; RS Umum Tarumajaya; RS EMC Cikarang; RS Umum Pinna; RS Umum Daerah Cabangbungin; RS Umum Permata Keluarga Jababeka; RS EMC Cibitung; RS Cenka; RS Mitra Keluarga Pratama; RS Ananda Babelan; RS Umum dr. Abdul Radjak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Graha Medika Bogor; RS Umum Bhayangkara Setukpa Lemdikpol; RS Umum Ridogalih; RS Umum Assyifa Sukabumi; RS Umum Daerah Al-Mulk; RSU Bhayangkara Tk. II Sartika Asih; RSAU dr. M. Salamun; RS 3273046; RS Umum Santo Borromeus; RS Umum Pindad; RS Umum Muhammadiyah; RS Umum Bungsu; RS Umum Tk. IV 03.07.03 Sariningsih; RS Khusus Ginjal Ny. R. A. Habibie; RS AMC; RS Ibu dan Anak Harapan Bunda Bandung; RS Ibu dan Anak Al Islam; RS Jantung dan Pembuluh Darah Paramarta; RS Pasundan; RS Umum Tk. III Ciremai; RS Umum Panti Abdi Dharma; RS 3274041; RS Umum Pelabuhan Cirebon; RS Umum Putera Bahagia; RS Umum Sumber Kasih; RS Umum Muhammadiyah; RS Umum Medimas; RS Umum Sumber Hurip; RS Ibu dan Anak Cahaya Bunda; RS Karunia Kasih; RS Mekar Sari; RS Umum Mitra Keluarga Bekasi Timur; RS Umum Juwita; RS Umum Taman Harapan Baru; RS Umum Karya Medika Bantar Gebang; RS Umum Satria Medika; RS Helsa; RS Siloam Bekasi Timur;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Ibu dan Anak Selasih Medika; RS Umum Mitra Keluarga Depok; RS Umum Grha Permata Ibu; RS Umum Simpangan Depok; RS Ibu dan Anak Asyifa Depok; RS Ibu dan Anak Setya Bhakti; RS Siloam Heart Hospital; RS Umum Citra Arafiq; RS Umum Alia Hospital; RS Umum Citra Arafiq Sawangan; RS Umum Mitra Anugrah Lestari; RS Umum Avisena; RS Umum Daerah Cibabat; RS Umum Kasih Bunda; RS Umum Baros; RS Umum Syifa Medina; RS Umum Prasetya Bunda; RS Umum Permata Bunda; RS Hermina Tasikmalaya; RS Jantung dan Pembuluh Darah Tasikmalaya; RS Umum Mitra Idaman; RS Umum Banjar Patroman; RS Umum Daerah Asih Husada Langensari; RS Umum Pertamina Cilacap; RS Umum Islam Fatimah; RS Umum Daerah Majenang; RS Umum Duta Mulya; RS Umum Santa Maria Cilacap; RS Umum Afdila Cilacap; RS Umum Raffa Majenang; RS Umum Aghisna Medika Sidareja; RS Priscilla Medical Center; RS 3302040; RS Umum Santa Elisabeth Purwokerto; RS Khusus Bedah Jatiwinangun; RS Umum Islam Purwokerto; RS Umum Hidayah Purwokerto; RS Umum Bunda; RS Umum Ananda Purwokerto; RS Umum Wiradadi Husada; RS Umum Medika Lestari Banyumas; RS Umum Dadi Keluarga; RS Hermina Purwokerto; RS Umum Nirmala; RS Umum Harapan Ibu; RS Ibu dan Anak Ummu Hani; RS Umum Siaga Medika Purbalingga; RS Umum PKU Muhammadiyah Purbalingga; RS Islam At-Tin Husada Purbalingga; RS Umum Islam Banjarnegara; RS Umum Palang Biru Gombong; RS Umum Wijayakusuma; RS Umum Purbowangi; RS Umum PKU Muhammadiyah Sruweng; RS Umum Purwogondo; RS Umum PKU Muhammadiyah Petanahan Kebumen; RS Umum PKU Muhammadiyah Kutowinangun;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Islam Banyubening Boyolali; RS Umum Natalia; RS Umum Islam Boyolali; RS Umum PKU dr. Soemowidagdo Boyolali; RS Jiwa Daerah Dr. RM. Soedjarwadi; RS Umum Cakra Husada; RS Umum PKU Muhammadiyah Delanggu; RS Umum PKU Muhammadiyah Jatinom; RS Umum Mitra Pedan; RS Umum PKU Muhammadiyah Pedan; RS PKU Muhammadiyah Prambanan; RS Umum Daerah Ir. Soekarno Kabupaten Sukoharjo; RS Khusus Orthopedi Karima Utama; RS Umum Dr. Oen Solo Baru;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RSAU dr. Siswanto Lanud Adi Soemarmo; RS PKU Muhammadiyah Karanganyar; RS Umum Jati Husada Karanganyar; RS Umum Indo Sehat Karanganyar; RS Umum Jafar Medika Karanganyar; RS Mangesti Rahayu; RS Umum Daerah dr. Soehadi Prijonegoro; RS Umum Sarila Husada; RS Umum Assalam; RS Umum Daerah dr. Soeratno Gemolong;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Keluarga Sehat; RS Umum  Budi Agung Pati; RS Umum Sebening Kasih; RS Umum As-Suyuthiyyah; RS Keluarga Sehat Tayu; RS Umum Daerah dr. Loekmono Hadi; RS Umum Kumala Siwimijen Kudus; RS Umum  Nurussyifa; RS Umum  Islam Sunan Kudus; RS Umum Daerah dr. Rehatta Provinsi Jawa Tengah; RS Umum Sultan Hadlirin Jepara; RS Graha Husada Jepara; RS PKU Aisyiyah Jepara; RS Umum PKU Muhammadiyah Mayong; RS Umum Daerah Sunan Kalijaga; RS Umum Islam NU Demak; RS Umum Pelita Anugerah; RS Hj. Fatimah Sulhan PKU Muhammadiyah Demak; Charlie Hospital Demak; RS Umum Daerah dr. Gunawan Mangunkusumo; RS 3322037; RS Umum Bina Kasih; RS Ibu dan Anak Plamongan Indah; RS Umum Kusuma Ungaran; At-Tin Hospital;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Suradadi; RS Umum Adella; RS Harapan Sehat Slawi; RS Hawari Essa;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3371039;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PKU Muhammadiyah Sampangan Surakarta; RS Umum Daerah Bung Karno Kota Surakarta; RS Bhayangkara Surakarta; RS Umum Tk. IV 04.07.03 dr. Asmir; RS Islam Tunas Harapan; RS Umum William Booth; RS 3374035; RS Umum Permata Medika; RS Umum Tk.III Bhakti Wira Tamtama Smg; RS Umum Bhayangkara Semarang; RS Jiwa Daerah  Dr. Amino Gondohutomo; RS Umum Bhayangkara Akpol Semarang; RS Umum Banyumanik; RS Khusus Bedah Columbia Asia Semarang; RS Umum Banyumanik 2; RS Primaya Kota Semarang; RS Keluarga Sehat III Semarang; RS Unimus; RS Cepoko; RS Umum Daerah Mijen; RS Umum Siti Khodijah; RS Umum Karomah Holistic; RS Umum Anugerah Pekalongan; RS Umum H. A. Zaky Djunaid; RS Umum  ARO; RS Umum Hermina Pekalongan; RS Umum Tk. IV Tegal; RS 3376037; RS Umum Medical Mandiri Pacitan; RS Umum Aisyiyah Ponorogo; RS Umum Darmayu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Aulia Blitar; RS Umum Ananda; RS Umum Al-Ittihad; RS Umum Wava Husada Kesamben; RS Umum Daerah Srengat Kab. Blitar; RS Umum An-Nisaa; RS Umum Amelia; RS Umum Muhammadiyah Surya Melati; RS Umum Arga Husada; RS Muhammadiyah Siti Khodijah; RS Umum  Aura Syifa; RS Umum  Wilujeng; RS Bala Keselamatan Bokor; RS Jiwa Dr. Radjiman Wediodiningrat Lawang; RS Marsudi Waluyo;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Enggal Dangan; RS Umum Cahaya Medika; RS AU dr. Mohammad Moenir; RS Wijaya Kusuma Lumajang; RS Bhayangkara Lumajang; RS Umum Djatiroto; RS Islam Lumajang; RS Umum Muhammadiyah Lumajang; RS Nahdlatul Ulama Permata; RS Perkebunan PTPN X (Persero) Jember; RS Paru Jember; RS Utama Husada Jember; RS Daerah Kalisat Jember; RS Bina Sehat Jember; RS Umum Citra Husada Jember; RS Siloam Jember; RS Umum Universitas Muhammadiyah Jember; RS Umum Daerah Blambangan;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Fatimah Lamongan; RS Umum Daerah Besuki Kabupaten Situbondo; RS Umum Daerah Asembagus Kabupaten Situbondo; RS Umum Mitra Sehat Kabupaten Situbondo; RS Graha Sehat; RS Umum Daerah Tongas; RS Islam Masyithoh Bangil; RS Umum Bhayangkara Pusdik Brimob; RS Mitra Sehat Medika; RS Sahabat; RS Graha Sehat Medika; RS Prima Husada; RS Umum Delta Surya; RS Islam Siti Hajar Sidoarjo; RS Umum Jasem; RS Umum Anwar Medika; RS Umum Mitra Keluarga Waru; RS Umum Al-Islam H. M. Mawardi;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Mawaddah Medika; RS Kristen Mojowarno; RS Airlangga Jombang; RS Ibu dan Anak Muslimat Jombang; RS Unipdu Medika Jombang; RS Umum dr. Moedjito Dwidjosiswojo;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Bhakti Persada; RS Umum At-Tin Husada; RS Umum Daerah Geneng; RS Umum Daerah Mantingan; RSI Muhammadiyah Sumberrejo; RS Umum Daerah Sumberrejo; RS Bhayangkara Wahyu Tutuko Bojonegoro;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Umum Nyai Ageng Pinatih Gresik; RS Petrokimia Gresik; RS Denisa; RS Muhammadiyah Gresik; RS Umum Mabarrot MWC NU;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Islam Garam Kalianget; Rumah Sakit Baghraf Health Care; RS TK. IV 05.07.02 Kediri; RS Umum Bhayangkara Kediri; RS Baptis Kediri; RS Muhammadiyah Ahmad Dahlan; RS Umum Lirboyo; RS Umum Ratih; RS Umum Daerah Kilisuci; RS Umum Daerah Mardi Waluyo; RS Katolik Budi Rahayu; RS Umum Syuhada Haji; RS Umum Aminah Blitar; RS Islam Aminah; RS Umum Panti Waluya Sawahan Malang;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William Booth Surabaya; RS Umum Adi Husada Kapasari; RS Umum Tk. III Brawijaya; RS Marinir Ewa Pangalila Gunungsari; RS Soemitro Lanud Moeljono Surabaya; RS Jiwa Menur; RS Umum Islam Surabaya Jemursari; RS Bunda; RS Muji Rahayu; RS Umum Daerah Husada Prima; RS Umum Siloam Hospitals Surabaya; RS Al Irsyad Surabaya; RS Ibu dan Anak Pura Raharja; RS Gotong Royong; RS Bhakti Rahayu; RS Islam Darus Syifa; RS Bhayangkara TK II HS. Samsoeri Mertojoso;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Baptis Batu; RS Umum Negara; RS Umum Balimed Negara; RS Umum Dharma Kerti; RS Umum Wisma Prashanti; RS Umum Kasih Ibu Tabanan; RS Umum Daerah Singasana; RS Umum Semara Ratih; RS Ibu dan Anak Cahaya Bunda; RS Ibu dan Anak Puri Bunda Tabanan; RS Umum Kasih Ibu Kedonganan; RS Umum Siloam Bali; RS Umum Garba Med; RS Windu Husada; RS Umum Ganesha; RS Umum Ari Canti; RS Umum Kasih Ibu Saba; RS Umum Payangan; RS Kenak Medika;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Ibu dan Anak Puri Bunda; RS Bhayangkara Denpasar; RS Umum Surya Husadha; RS Umum Daerah Bali Mandara Provinsi Bali; RS 1407013S; RS 17030300003; RS 32110300095; RS 32170300071; RS 32180300024; RS 32790300017; RS 33160300030; RS 33240300048; RS 33250300027; RS 33750300020; RS 35220300013; RS 35280300023; RS 35730300126; RS 51070300015; RS 51080300002; RS 51080300021; RS K1210810; RS K1211037; RS K1211109; RS K1211359; RS K1211524; RS K1216468; RS K1216717; RS K1216828; RS K1217589; RS K1217678; RS K1217961; RS K1218046; RS K1230271; RS K1230383; RS K1230932; RS K1231071; RS K1231367; RS K1231529; RS K1231618; RS K1232020; RS K1232070; RS K1232425; RS K1232458; RS K1232846; RS K1234784; RS K1234958; RS K1235035; RS K1235252; RS K1235929; RS K1236049; RS K1236718; RS K1236856; RS K1237215; RS K1237357; RS K1237398; RS K1237472; RS K1238056; RS K1238199; RS K1238411; RS K1238492; RS K1238494; RS K1238824; RS K1238862; RS K1239006; RS K1239091; RS K1239274; RS K1239353; RS K1239838; RS K1250201; RS K1250398; RS K1306009; RS K1471002; RS K1471003; RS K2171001; RS K3201004; RS K3204002; RS K3204006; RS K3204128; RS K3208002; RS K3209001; RS K3209004; RS K3212001; RS K3213001; RS K3214003; RS K3271002; RS K3273002; RS K3273005; RS K3273007; RS K3273008; RS K3276002; RS K3276006; RS K3302002; RS K3302003; RS K3304001; RS K3322001; RS K3322002; RS K3374002; RS K3507001; RS K3507002; RS K3519001; RS K3519002; RS K3522001; RS K5171004; RS K5171006; RSU Santo Yusup Boro; RS Umum Rizki Amalia Medika; RS Umum Kharisma Paramedika; RS Umum PKU Muhammadiyah Nanggulan; RS Umum Rizki Amalia; RS Umum Pura Raharja Medika; RS Umum Queen Latifa; RS Umum Santa Elisabeth;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Paru Respira; RS Ludira Husada Tama; RS Bethesda Lempuyangwangi; RS Happy Land Medical Centre; RS Pratama Kota Yogyakarta; RS Siloam Yogyakarta; RS K1236516</x:v>
      </x:c>
      <x:c r="G5" s="8">
        <x:v>305</x:v>
      </x:c>
      <x:c r="H5" s="7" t="str">
        <x:v>RS Umum Daerah Ahmad Syafi'I Ma'arif; RS Umum Yos Sudarso; RS Umum Daerah dr. Rasidin Padang; RS. Universitas Andalas; RS Umum Hermina Padang; RS Umum Daerah Mohammad Natsir; RS Umum Daerah Dr. Achmad Mochtar; RS Otak DR. Drs. M. Hatta Bukittinggi; RS Umum Daerah Teluk Kuantan; RS Umum  Efarina; RS Umum  Awal Bros Ujung Batu; RS Santa Maria Pekanbaru; RS Umum  Eka Hospital Pekanbaru; RS Umum  Syafira; RS Umum  Islam Ibnu Sina; RS Awal Bros A. Yani; RS Umum  Awal Bros Panam; RS Hermina Pekanbaru; RS Awal Bros Dumai; RS Umum Daerah Raden Mattaher Jambi; RS Tk. III 02.06.01  dr. Bratanata; RS Umum Baiturahim Jambi; RS Assalam; RS Umum Daerah Dr. M. Yunus Bengkulu; RS Badan Pengusahaan Batam; RS Umum Daerah Embung Fatimah Kota Batam; RS Awal Bros Botania; RS Paru Dr. M. Goenawan Partowidigdo; RS Umum Daerah Cibinong; RS Umum Daerah Ciawi; RS Umum Tugu Ibu; RS Umum Hermina Depok; RS Umum Daerah RH. Satibi; RS Umum Rumah Sehat Terpadu Dompet Dhuafa; RS Umum Hermina Mekarsari; RS Universitas Indonesia; RS Eka Hospital; RS Umum Daerah Sekarwangi; RS Umum Daerah Jampang Kulon; RS Umum Hermina Sukabumi; RS Umum Daerah Sayang; RS Umum Dr. Hafiz; RS Umum Daerah Oto Iskandar Di Nata; RS Umum Daerah Kesehatan Kerja; RS Hermina Soreang; Rumah Sakit TK.IV 03.07.04 Guntur; RS Umum Daerah Waled; RS Daerah Sidawangi; RS Umum Daerah Arjawinangun; RS Umum Mitra Plumbon; RS Umum Permata Cirebon; RS Umum Sumber Waras; Sentra Medika Hospital Gempol; RS Umum Daerah Majalengka; RS Umum Daerah Cideres; RS Mitra Plumbon Majalengka; RS Umum Daerah Kab. Indramayu; RS Umum Pertamina Balongan Indramayu; RS Mitra Plumbon Indramayu; RS Mitra Plumbon Patrol; RS Umum Daerah Subang; RS Umum Daerah Bayu Asih; RS Umum Siloam Purwakarta; RS Umum Rama Hadi; RS Umum Amira; RS Umum Daerah Karawang; RS Umum Lira Medika; RS Primaya Karawang; Sentra Medika Hospital Cikarang; RS Umum Daerah Kab.Bekasi; RS Umum St. Elisabeth; RS Umum Hermina Grand Wisata; RS Umum Karya Medika II; RS Mitra Plumbon Cibitung; RS Umum Hermina Galaxy; RS EMC Pekayon; RS Eka Bekasi; RS Hermina Metland Cibitung; RS Umum Cahya Kawaluyan; RS Umum PMI Bogor; RS Umum Daerah Kota Bogor; RS Umum Hermina Bogor; RS Umum Daerah R. Syamsudin, SH; RS Umum Kartika Kasih; RS Umum Immanuel Bandung; RS Umum Santo Yusup; RS Umum Hermina Arcamanik; RS Paru Dr. H. A. Rotinsulu; RS Umum Daerah Bandung Kiwari; RS Umum Daerah Kota Bandung; RS Umum Al-Islam Bandung; RS Umum Hermina Pasteur; RS Umum Melinda 2; RS Edelweiss; RS Daerah Gunung Jati; RS Umum Daerah dr. Chasbullah Abdulmadjid; RS Siloam Sentosa; RS Umum Masmitra; RS Primaya; RS Umum Hermina Bekasi; RS Umum Islam dr. Subki Abdulkadir; RS Siloam Bekasi Sepanjang Jaya; RS Umum Sentra Medika; RS Umum Bhayangkara Brimob; RS Umum Daerah Khidmat Sehat Afiat Kota Depok; RS Umum Hasanah Graha Afiah; RS Umum Permata Depok; RS Umum Citra Medika Depok; RS Primaya Depok; RS Umum Daerah Anugerah Sehat Afiat; RS Umum Tk. II Dustira; RS Umum Tasik Medika Citratama (TMC); RS Umum Daerah Cilacap; RS Umum PKU Muhammdiyah Aghisna Kroya; RS umum Daerah Banyumas; RS Umum Tk. III Wijayakusuma; RS Umum An Ni'mah; RS Umum PKU Muhammadiyah Amanah Sumpiuh; RS Umum Sinar Kasih; RS Umum Daerah Ajibarang; RS Umum Siaga Medika Banyumas; RS Umum Daerah dr. R. Goeteng Taroenadibrata; RS Umum Daerah Panti Nugroho; RS Umum Daerah Hj. Anna Lasmanah Banjarnegara; RS Umum Emmanuel; RS Umum Daerah dr. Soedirman Kabupaten Kebumen; RS Umum Permata Medika Kebumen; RS Umum PKU Muhamadiyah Gombong; RS Umum Daerah Prembun; RS Umum Daerah Dr. Tjitrowardojo Purworejo; RS Umum Setjonegoro Wonosobo; RS Umum Daerah Pandan Arang Boyolali; RS Umum Daerah Waras Wiris; RS Umum Hidayah Boyolali; RS Indriati Boyolali; RS Umum Pusat Dr. Soeradji Tirtonegoro; RS Umum 'Aisyiyah Klaten; RS Umum Islam Klaten; RS Umum Diponegoro Dua Satu Klaten; RS Umum Islam Cawas Klaten; RS Umum Daerah Bagas Waras; RS Umum Nirmala Suri; RS Umum Universitas Sebelas Maret; RS Umum Indriati; RS Hermina Wonogiri; RS Umum Daerah Kartini Karanganyar; RS Umum Mardi Lestari Sragen; RS Umum Islam Amal Sehat Sragen; RS Umum Daerah Dr. R.Soedjati Soemodiardjo; RS Umum Panti Rahayu; RS Umum Daerah dr. R. Soetrasno Rembang; RS Umum Daerah RAA Soewondo; RS Umum Mitra Bangsa Pati; RS Umum Daerah Kayen Pati; RS Umum Fastabiq Sehat PKU Muhammadiyah Pati; RS Umum Mardi Rahayu; RS Sarkies 'Aisyiyah Kudus; RS Umum Daerah R. A. Kartini; RS Umum Daerah Sultan Fatah Karangawen Demak; RS Umum Daerah dr. Gondo Suwarno; RS Umum Ken Saras; RS Umum Daerah Kabupaten Temanggung; RS Umum Ngesti Waluyo; RS PKU Muhammadiyah Temanggung; RS Umum Islam Kendal; RS Umum Qim; RS Umum Siaga Medika Pemalang; RS Umum Daerah dr. Soeselo Slawi Kabupaten Tegal; RSI PKU Muhammadiyah Tegal; RS Mitra Siaga Tarub; RS Umum Daerah Brebes; RS Umum Tk. II Dr. Soedjono; RS Jiwa Prof. Dr. Soerojo; RS Umum Brayat Minulya; RS 3372051; RS Orthopedi Prof. Dr. R. Soeharso; RS PKU Muhammadiyah Surakarta; RS Umum Kasih Ibu; RS Umum Hermina Solo; RS Umum Daerah Kota Salatiga; RS Paru Dr. Ario Wirawan; RS Umum Puri Asih; RS Umum St. Elisabeth Semarang; RS Umum Telogorejo Semarang; RS Roemani Muhammadiyah Semarang; RS Umum Panti Wilasa Citarum; RS Umum Daerah dr. Adhyatma, MPH; RS Umum Hermina Pandanaran; RS Panti Wilasa "Dr. Cipto" Semarang; RS Daerah KRMT Wongsonegoro; RS Umum Hermina Banyumanik Semarang; RS Umum Nasional Diponegoro; RS Samsoe Hidajat; RS Umum Budi Rahayu; RS Umum Daerah Kardinah; RS Umum  Mitra Siaga; RS Umum Islam Harapan Anda; RS Umum Daerah  dr. Darsono; RS Umum Daerah Dr. Harjono S. Kabupaten Ponorogo; RS Umum Muhammadiyah Ponorogo; RS Umum Muslimat Ponorogo; RS Umum Daerah Dr. Iskak; RS Umum Daerah Ngudi Waluyo Wlingi; RS Umum Daerah Kabupaten Kediri; RS Toeloengredjo; RS Umum Daerah Simpang Lima Gumul Kediri; RS Umum Daerah Kanjuruhan Kepanjen Kab. Malang; RS Umum Daerah Lawang; RS Umum Wava Husada; RS Umum Daerah Dr. Haryoto Kabupaten Lumajang; RS Umum Daerah Pasirian Kabupaten Lumajang; RS Umum Daerah Dr. Soebandi Jember; RS Tk. III Baladhika Husada Jember; RS Daerah Balung Jember; RS Kaliwates Jember; RS Umum Bhakti Husada; RS Umum dr. H.Koesnadi Bondowoso; RS Umum Daerah dr. Abdoer Rahem Situbondo; RS Elizabeth; RS Umum Daerah Waluyo Jati Kraksaan; RS Umum  Wonolangan; RS Rizani; RS Umum Daerah Bangil; RS Umum Daerah Grati; RS Umum Daerah R. T. Notopuro Sidoarjo; RS Umum Siti Khodijah Muhammadiyah Cabang Sepanjan; RS Bhayangkara TK.III Pusdik Sabhara Porong; RS Umum Assakinah Medika; RS Umum Daerah Prof. Dr. Soekandar; RS Umum Daerah Kab. Jombang; RS Umum Islam Jombang; RS Umum Daerah Ploso; RS Muhammadiyah Jombang; RS Umum Daerah Nganjuk; RS Umum Daerah dr. Sayidiman Magetan; RS Angkatan Udara dr. Efram Harsana; RS Umum Daerah Dr. Soeroto Ngawi; RS Umum Widodo; RS Umum Daerah Dr. R. Sosodoro Djatikoesoemo; Rumah Sakit Aisyiyah Bojonegoro; RS umum Daerah Padangan; RS Umum Daerah Dr. Soegiri Lamongan; RS Semen Gresik; RS Umum Wates Husada; RS Umum Daerah Syarifah Ambami Rato Ebu; RS Umum Daerah dr. Mohammad Zyn Kab. Sampang; RS Umum Daerah Dr. H. Slamet Martodirdjo Pamekasan; RS 3528038; RS Umum Daerah dr. H. Moh. Anwar; RS Umum Daerah Gambiran; RS Umum Daha Husada; RS Umum Daerah Dr. Saiful Anwar; RS Tk. II Dr. Soepraoen; RS Umum Panti Nirmala; RS Umum Lavalette Malang; RS Umum Islam Aisyiyah Malang; RS Umum Hermina Tangkubanprahu; RS Umum Daerah dr. Mohamad Saleh Kota Probolinggo; RSUD dr. Wahidin Sudiro Husodo Kota Mojokerto; RS Gatoel; RS Umum Daerah Dr. Soedono Madiun; RS Umum Darmayu Madiun; RS Hermina Madiun; RSPAL dr. Ramelan; RS Primasatya Husada Citra (PHC) Surabaya; RS Islam Surabaya; RS Umum Daerah Bhakti Dharma Husada; RS Umum Daerah Haji Provinsi Jawa Timur; RS Husada Utama Surabaya; RS Umum Daerah dr. Mohamad Soewandhie; RS Universitas Airlangga; RS Umum Royal Surabaya; RS Ubaya; RS Umum Pusat Surabaya; RS Bhayangkara Hasta Brata Batu; RS Umum Karsa Husada Kota Batu; RS Umum Bunda; RS Umum Daerah Tabanan; RS Umum Bhakti Rahayu Tabanan; RS Daerah Mangusada; RS Umum Surya Husadha Nusa Dua; RS Bali Jimbaran; RS Universitas Udayana; RS Umum Murni Teguh Tuban Bali; RS Umum Daerah Sanjiwani Gianyar; RS Umum Famili Husada; RS Umum Daerah Klungkung; RS Umum Bali Royal; RS Umum Bhakti Rahayu; RS Umum Prima Medika; RS BaliMed; RS Umum Daerah Wates; RS Umum Daerah Nyi Ageng Serang; RS Umum Daerah Panembahan Senopati; RSU PKU Muhammadiyah Bantul; RS Umum Daerah Sleman; RS Umum Queen Latifa; RS Islam Yayasan PDHI; RS Akademik Universitas Gadjah Mada; RS Umum Hermina Yogya; RS PKU Muhammadiyah Yogyakarta; RS Bethesda Yogyakarta; RSPAU Dr.  Suhardi Harjolukito; RS Umum Daerah Kota Yogyakarta; RS AMC Muhammadiyah</x:v>
      </x:c>
      <x:c r="I5" s="8">
        <x:v>13</x:v>
      </x:c>
      <x:c r="J5" s="7" t="str">
        <x:v>RSUP Dr. M. Djamil; RS Umum Daerah  Arifin Achmad; RS Umum Awal Bros Batam; RS Umum Sentra Medika Cibinong; RS Umum Daerah Welas Asih Provinsi Jawa Barat; RS Umum Advent Bandung; RS Umum Santosa Hospital Bandung Central; RS Umum Santosa Hospital Bandung Kopo; RS Primaya Bekasi Barat; RS Umum Daerah Prof Dr. Margono Soekarjo; RS Umum Dr. Oen; RS Umum Sultan Agung Semarang; RS Umum Panti Rapih</x:v>
      </x:c>
      <x:c r="K5" s="8">
        <x:v>6</x:v>
      </x:c>
      <x:c r="L5" s="7" t="str">
        <x:v>RS Umum  Awal Bros Pekanbaru; RS Umum Pusat Dr. Hasan Sadikin; RS Umum Pusat Dr. Kariadi; RS Umum Daerah Dr. Soetomo; RSUP Prof. Dr. I.G.N.G. Ngoerah; RSUP Dr. Sardjito</x:v>
      </x:c>
      <x:c r="M5" s="8">
        <x:v>19</x:v>
      </x:c>
      <x:c r="N5" s="7" t="str">
        <x: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x:v>
      </x:c>
    </x:row>
    <x:row r="6">
      <x:c r="A6" s="7" t="str">
        <x:v>IBU DAN GINEKOLOGI</x:v>
      </x:c>
      <x:c r="B6" s="7" t="str">
        <x:v>Ibu &amp; Ginekologi</x:v>
      </x:c>
      <x:c r="C6" s="8">
        <x:v>4</x:v>
      </x:c>
      <x:c r="D6" s="7" t="str">
        <x:v>Paripurna</x:v>
      </x:c>
      <x:c r="E6" s="8">
        <x:v>763</x:v>
      </x:c>
      <x:c r="F6" s="7" t="str">
        <x:v>RS Umum Daerah Dr. Muhammad Zein Painan; RS Umum BKM; RS Umum Daerah Solok Selatan; RS Umum Daerah Padang Pariaman; RS Ibu dan Anak Rezki Bunda; RS Umum Daerah Tuanku Imam Bonjol; RS Umum Islam Ibnu Sina; RS Umum Daerah Sungai Dareh; RS Tk. III Reksodiwiryo Padang; RS Umum Aisyiyah Padang; RS Bhayangkara Padang; RS Umum Semen Padang Hospital; RS Ibu dan Anak Cicik; RS Umum Daerah Sawah Lunto; RS Umum Daerah Padang Panjang; RS Umum Ibnu Sina Kota Payakumbuh; RS Umum Daerah Dr. Adnaan WD; RS Ibu dan Anak Annisa Payakumbuh; RS Umum Tamar Medical Centre; RS Umum Daerah  Indrasari Rengat; RS Umum  Kasih Ibu Rengat; RS Muizzah; RS Umum Daerah  Puri Husada Tembilahan; RS Umum  Medicare Sorek; RS Umum  Amalia Medika; RS Umum Daerah Tengku Rafi'an Siak Sri Indrapura; RS Umum Daerah  Bangkinang; RS Ibu Anak  Husada Bunda; RS Ibu Anak  Bunda Anisyah; RS Norfa Husada; RS Umum Pelita; RS Nurlima; RS Umum Daerah  Rokan Hulu; RS Umum Daerah  Bengkalis; RS Umum Daerah  Kec.Mandau; RS Umum Mutiasari; RS Umum  Thursina; RS Umum Daerah  Dr. RM. Pratomo Bagansiapiapi; RS Umum Daerah  Kabupaten Kepulauan Meranti; RS Tk. IV Pekanbaru; RS Umum  Eka Hospital Pekanbaru; RS Umum  Islam Ibnu Sina; RS Ibu dan Anak Annisa; RS Umum  Universitas Riau; Aulia Hospital; RS Umum  Prima Pekanbaru; RS Daerah Madani Kota Pekanbaru; RS Umum Daerah  Kota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Ibu dan Anak Annisa; RS Umum Daerah H. Abdurrahman Sayoeti; RS Rapha Theresia; RS Umum Melati; RS As-syifa; RS Umum Daerah Kabupaten Rejang Lebong; RS Assalam; Charitas Hospital Arga Makmur; RS Umum Daerah Mukomuko; RS Umum Daerah Kepahiang; RS Umum Daerah Harapan dan Doa; RS Gading Medika; RS Umum Daerah Dr. M. Yunus Bengkulu; RS Rafflesia Bengkulu; RS Tk. IV Bengkulu; RS Umum Daerah Muhammad Sani Kabupaten Karimun; RS Umum Budi Kemuliaan Batam; RS Umum Santa Elisabeth Batam; RS Umum Harapan Bunda Batam; RS Umum Charis Medika; RS Umum Graha Hermine; RS Umum Santa Elisabeth Batam Kota; RS Griya Medika; RS Umum Camatha Sahidya; RS Santa Elisabeth Sei Lekop; RS Mutiara Aini; RS Umum Bhakti Yudha; RS Umum Annisa; RS Mitra Keluarga Bina Husada; RS Citra Insani; RS Umum Family Medical Center; RS Umum Mary Cileungsi Hijau; RS Umum Meilia; RS Umum Bunda Margonda; RS dr. Abdul Radjak Cileungsi; RS Umum Islam Bogor; RS Umum Citama; RS Umum Medika Dramaga; RSU Assalam; RS Umum Ummi; RS Umum Kenari Graha Medika; RS Ibu dan Anak Sawojajar; RS Umum Permata Jonggol; RS Umum Karya Bhakti Pratiwi; RS EMC Sentul; RS Helsa Citeureup; RS Harapan Sehati; Bogor Senior Hospital; RS Pena 98; RS Paragon; RS Hermina Ciawi; RS Umum Daerah Jampang Kulon; Rumah Sakit DKH Cibadak; RS Umum Daerah Cimacan; RS 3203062; RS Umum Kebonjati; RS Umum Mitra Kasih; RS Umum Humana Prima; RS Umum Daerah Kesehatan Kerja; RS Umum Karya Pangalengan Bhakti Sehat; RS Umum TNI AU Lanud Sulaiman; RS Oetomo; RS Muhammadiyah Bandung Selatan; RS Umum Daerah Bedas Cimaung; RS Umum Daerah Bedas Kertasari; RS Umum Daerah dr. Slamet Garut; RS Medina; RS 3205035; RS Umum Daerah KHZ Musthafa Kabupaten Tasikmalaya; RS Umum Islam Hj. Siti Muniroh; RS Umum Jasa Kartini; RS Umum Daerah Banjar; RS Umum Al-Arif; RS Umum Daerah 45 Kuningan; RS Umum Wijaya Kusumah; RS Umum Sekar Kamulyan; RS Umum Juanda; RS Umum El-Syifa; RS Umum Daerah Linggajati Kuningan; RS Umum KMC Luragung; RS Mitra Husada; RS Permata Kuningan; RS Pradipa Medika; RS Umum Universitas Muhammadiyah Cirebon; RS Umum Livasya; Rumah Sakit Umum Djuansih Majalengka; RS Umum Pakuwon; RS Umum Harapan Keluarga; RS Universitas Padjadjaran; RS Cimalaka; RS Umum Daerah Kab. Indramayu; RS Umum Daerah M. A. Sentot Patrol; RS Umum Bhayangkara Indramayu; RS Umum MM Indramayu; RS Umum Daerah Mursid Ibnu Syafiuddin; RS Umum Daerah Subang; RS Umum PTPN VIII; RS Indosehat 2003; RS Umum dr. Abdul Radjak Purwakarta; RS Umum Holistic Purwakarta; RS Umum Bhakti Husada II Purwakarta; RS Umum Karina Medika; RS Ibu dan Anak Bunda Fathia; RS Umum Dewi Sri; RS Umum Karya Husada; RS Umum Proklamasi; RS Umum Islam Karawang; RS Umum Saraswati; RS Umum Delima Asih Sisma Medika; RS Ibu dan Anak Dr. Djoko Pramono; RS Umum Izza; RS Umum Daerah Jatisari Kabupaten Karawang; RS Umum Puri Asih; RS Umum Mitra Family; RS Umum Sentral Medika; RS Umum Amanda Mitra Keluarga; RS Permata Keluarga Karawang; RS Hastien; RS EFARINA ETAHAM KARAWANG; RS Umum Bhakti Husada; RS Umum Annisa; Siloam Hospitals Lippo Cikarang; RS Umum Rawa Lumbu; RS Umum Ananda; RS Umum Daerah Kab.Bekasi; RS Umum Medirossa Cikarang; RS Amanda Cikarang Selatan; RS Umum Dokter Adam Talib; RS DKH Cikarang Barat; RS Uni Medika Setu Bekasi; RS Umum Harapan Mulia; RS Umum Cikarang Medika; RS Umum Amanda; RS Umum Permata Keluarga Lippo Cikarang; RS Umum Medirossa 2; RS Umum Kartika Husada; RS Dokter Adam Talib Cikunir; RS Umum Tarumajaya; RS Umum Pinna; RS Umum Daerah Cabangbungin; RS Umum Permata Keluarga Jababeka; RS Cenka; RS Mitra Keluarga Pratama; RS Ananda Babelan; RS Eka Bekasi; RS Umum Daerah Lembang; RS Ibu dan Anak Buah Hati; RS Umum PMI Bogor; RS Umum Salak; RS Jiwa dr. H. Marzoeki Mahdi; RS Umum Azra; RS Umum Melania; RS Umum Vania; RS Umum Mulia Pajajaran; RS Umum Bhayangkara Tk. IV Bogor; RS Umum Bhayangkara Setukpa Lemdikpol; RS Umum Ridogalih; RS Umum Assyifa Sukabumi; RS Umum Daerah Al-Mulk; RS 3273046; RS Umum Santo Yusup; RS Umum Bungsu; RS Umum Tk. IV 03.07.03 Sariningsih; RS Paru Dr. H. A. Rotinsulu; RS AMC; RS Pasundan; RS Umum Tk. III Ciremai; RS Umum Panti Abdi Dharma; RS Umum Sumber Kasih; RS Umum Budi Asta; RS Umum Muhammadiyah; RS Umum Medimas; RS Umum Sumber Hurip; RS Umum Mitra Keluarga Bekasi Timur; RS Umum Juwita; RS Umum Taman Harapan Baru; RS Umum Karya Medika Bantar Gebang; RS Helsa; RS Nusantara; RS Umum Daerah Jatisampurna; RS Umum Graha Juanda; RS Umum Citra Harapan; RS Umum Jati Sampurna; RS Umum Mitra Keluarga Depok; RS Umum Grha Permata Ibu; RS Umum Simpangan Depok; RS Ibu dan Anak Asyifa Depok; RS Umum Citra Medika Depok; RS Umum Citra Arafiq; RS Umum Mitra Anugrah Lestari; RS Umum Avisena; RS Umum Daerah Cibabat; RS Umum Kasih Bunda; RS Umum Baros; RS Umum Syifa Medina; RS Umum Permata Bunda; RS Jantung dan Pembuluh Darah Tasikmalaya; RS Umum Banjar Patroman; RS Umum Pertamina Cilacap; RS Umum Islam Fatimah; RS Umum Daerah Majenang; RS Umum Santa Maria Cilacap; RS Umum Afdila Cilacap; RS Priscilla Medical Center; RS umum Daerah Banyumas; RS Umum Tk. III Wijayakusuma; RS Umum Santa Elisabeth Purwokerto; RS Khusus Bedah Jatiwinangun; RS Umum Islam Purwokerto; RS Umum Hidayah Purwokerto; RS Umum Bunda; RS Umum Ananda Purwokerto; RS Umum Nirmala; RS Umum PKU Muhammadiyah Purbalingga; RS Islam At-Tin Husada Purbalingga; RS Umum Permata Medika Kebumen; RS Umum Palang Biru Gombong; RS Umum Wijayakusuma; RS Umum Purwogondo; RS Umum PKU Muhammadiyah Petanahan Kebumen; RS Umum  Aisyiyah; RS Umum Panti Waluyo Yakkum Purworejo; RS Umum Palang Biru Kutoarjo; RS Ibu dan Anak Permata; RS Umum Kasih Ibu Purworejo; RS Umum Islam Purworejo; RS Umum Budi Sehat Purworejo; RS Amanah Umat Purworejo; RS Umum Islam Wonosobo; RS Umum Daerah Muntilan Kab. Magelang; RS Umum Syubbanul Wathon; RS Umum PKU Aisyiyah Boyolali; RS Umum Umi Barokah; RS Umum  Karanggede Sisma Medika; RS Umum Daerah Simo; RS Umum Islam Banyubening Boyolali; RS Umum Natalia; RS Umum Islam Boyolali; RS Jiwa Daerah Dr. RM. Soedjarwadi; RS Umum Diponegoro Dua Satu Klaten; RS Umum PKU Muhammadiyah Delanggu; RS Umum Islam Cawas Klaten; RS Umum PKU Muhammadiyah Pedan; RS PKU Muhammadiyah Prambanan; RS Umum Daerah Ir. Soekarno Kabupaten Sukoharjo; RS PKU Muhammadiyah Kartasura; RS Islam Surakarta YARSIS; RS Umum Maguan Husada; RS Umum Muhammadiyah Selogiri; RS Umum  Amal Sehat; RS Fitri Candra; RS Umum Mulia Hati Wonogiri; RS PKU Muhammadiyah Wonogiri; RS Umum Jati Husada Karanganyar; RS Umum Indo Sehat Karanganyar; RS Mangesti Rahayu; RS Umum Daerah dr. Soehadi Prijonegoro; RS Umum Mardi Lestari Sragen; RS Umum Islam Amal Sehat Sragen; RS Umum Assalam; RS Umum Daerah dr. Soeratno Gemolong; RS Umum PKU Muhammadiyah Sragen; RS Umum Islam Yakssi Gemolong; RS Umum Rizky Amalia; RS Umum Saras Ibnu Sina Sukowati; RS Umum Habibullah; RS Umum Islam Purwodadi;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 Budi Agung Pati; RS Umum Sebening Kasih; RS Keluarga Sehat Tayu; RS Umum Daerah dr. Loekmono Hadi; RS Umum Kumala Siwimijen Kudus; RS Ibu dan Anak Harapan Bunda; RS Umum  Nurussyifa; RS Umum  Islam Sunan Kudus; RS Sarkies 'Aisyiyah Kudus; RS Umum Daerah dr. Rehatta Provinsi Jawa Tengah; RS Umum Sultan Hadlirin Jepara; RS Graha Husada Jepara; RS Umum Daerah Sunan Kalijaga; RS Umum Islam NU Demak; RS Umum Pelita Anugerah; RS Hj. Fatimah Sulhan PKU Muhammadiyah Demak; Charlie Hospital Demak; RS 3322037; RS Ibu dan Anak Plamongan Indah; RS Umum Daerah Kabupaten Temanggung; RS Umum Daerah  Dr. H. Soewondo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Umum Islam Al-Ikhlas; RS Umum Muhammadiyah Mardhatillah; RS Harapan Sehat Pemalang; RS Umum Daerah Suradadi; RS Umum Adella; RS Ibu dan Anak Pala Raya; RS Harapan Sehat Slawi; RS Hawari Essa;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3371039; RS Umum Lestari Raharja; RS Umum Harapan; RS Umum Daerah Budi Rahayu; RS Umum Tk III Slamet Riyadi Surakarta; RS Umum Islam Kustati; RS Umum Hermina Solo; RS Bhayangkara Surakarta; RS Umum Tk. IV 04.07.03 dr. Asmir; RS Paru Dr. Ario Wirawan; RS Umum William Booth; RS 3374035; RS Umum Permata Medika; RS Umum Tk.III Bhakti Wira Tamtama Smg; RS Umum Bhayangkara Semarang; RS Jiwa Daerah  Dr. Amino Gondohutomo; RS Umum Banyumanik; RS Keluarga Sehat III Semarang; RS Cepoko; RS Samsoe Hidajat; RS Umum Siti Khodijah; RS Umum Karomah Holistic; RS Umum  ARO; RS Umum Hermina Pekalongan; RS Umum Tk. IV Tegal; RS Ibu dan Anak Kasih Ibu Tegal; RS Umum Medical Mandiri Pacitan; RS Umum Aisyiyah Ponorogo; RS Umum Muslimat Ponorogo; RS Umum Daerah Bantarangin; RS Umum Daerah dr. Soedomo Trenggalek; RS Umum Budi Asih Trenggalek; RS Umum Daerah Dr. Iskak; RS Umum Islam Orpeha; RS Umum Era Medika; RS Umum Satiti Prima Husada; RS Umum Islam  Madinah; RS Putra Waspada Tulungagung; RS Umum Prima Medika; RS Umum Daerah Ngudi Waluyo Wlingi; RS Umum Aulia Blitar; RS Umum Ananda; RS Umum Al-Ittihad; RS Umum Daerah Srengat Kab. Blitar; RS Umum An-Nisaa; RS Umum Daerah Kabupaten Kediri; RS Umum Amelia; RS Umum Muhammadiyah Surya Melati; RS Umum Arga Husada; RS Umum  Aura Syifa; RS Umum  Wilujeng; RS Bala Keselamatan Bokor; RS Marsudi Waluyo;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Bhayangkara Lumajang; RS Umum Djatiroto; RS Umum Daerah Pasirian Kabupaten Lumajang; RS Umum Muhammadiyah Lumajang; RS Perkebunan PTPN X (Persero) Jember; RS Utama Husada Jember; RS Umum Citra Husada Jember; RS Umum Universitas Muhammadiyah Jember; RS Umum Bhakti Husada; RS Umum Daerah Genteng; RS Islam Fatimah; RS Yasmin; RS Nahdlatul Ulama Banyuwangi; RS Al Huda; RS Umum PKU Muhammadiyah Rogojampi; RS Umum Bakti Mulia Banyuwangi; RS Graha Medika; RS Umum Abdhi Famili; RS Al-Rohmah Banyuwangi; RS Umum Rahayu Medika; RS Mitra Medika Bondowoso; RS Umum Daerah dr. Abdoer Rahem Situbondo; RS Elizabeth; RS Umum Fatimah Lamongan; RS Umum Daerah Asembagus Kabupaten Situbondo; RS Umum Mitra Sehat Kabupaten Situbondo; RS Umum  Wonolangan; RS Umum Daerah Tongas; RS Mitra Sehat Medika; RS Sahabat; RS Graha Sehat Medika; RS Bhayangkara TK.III Pusdik Sabhara Porong; RS Umum Al-Islam H. M. Mawardi; RS Umum Assakinah Medika; RS Umum Citra Medika; RS Ibu dan Anak Pondok Tjandra; RS Umum Aisyiyah Siti Fatimah; RS Arafah Anwar Medika Sukodono; RS Umum Bunda; RS Umum Aminah; RS Pusura Candi; RS Islam Arofah; RS Dharma Husada; RS Mutiara Hati Mojokerto; RS Umum Kartini; RS Islam Sakinah; RS Umum Daerah Raden Achmad Basoeni; RS Kristen Mojowarno; RS Unipdu Medika Jombang; RS Umum dr. Moedjito Dwidjosiswojo; RS Al-Aziz; RS Umum PKU Muhammadiyah Mojoagung; RS Hasyim Asy'ari; RS Umum Daerah Dungus; RS Umum Daerah Dolopo; RS Umum Bhakti Persada; RS Umum Widodo; RS Umum At-Tin Husada; RSI Muhammadiyah Sumberrejo; RS Bhayangkara Wahyu Tutuko Bojonegoro; RS Muhammadiyah Kalitidu; RS Umum Daerah Kepohbaru; RS Umum Daerah Dr. R. Koesma Tuban; RS Muhammadiyah Tuban; RS Umum Daerah R. Ali Manshur; RS Islam Nashrul Ummah; RS Umum Muhammadiyah Lamongan; RS Umum dr. Suyudi; RS Umum Citra Medika Lamongan; RS Umum Muhammadiyah Babat; RS Nahdlatul Ulama Babat; RS Umum Daerah Ki Ageng Brondong; RS Umum Nyai Ageng Pinatih Gresik; RS Denisa; RS Grha Husada Gresik; RS PKU Muhammadiyah Sekapuk; RS Umum Rachmi Dewi; RS Umum Daerah Umar Mas'ud Bawean; RS Umum Randegansari Husada; RS Nindhita; RS Umum Daerah Ketapang; RS Sukma Wijaya; RS Qona'ah; RS Umum Larasati Pamekasan; RS Umum Daerah Waru Pamekasan; RS Umum Kusuma Hospital; RS Islam Garam Kalianget; Rumah Sakit Baghraf Health Care; RS TK. IV 05.07.02 Kediri; RS Baptis Kediri; RS Muhammadiyah Ahmad Dahlan; RS Umum Lirboyo; RS Umum Syuhada Haji; RS Umum Aminah Blitar; RS Islam Aminah; RS Umum Panti Nirmala; RS Umum Islam Aisyiyah Malang; RS Islam Unisma Malang; RS Umum Permata Bunda; RS Ibu dan Anak Puri Bunda; RS Ibu dan Anak Galeri Candra Malang; RS Umum Daerah Kota Malang; RS Bhirawa Bhakti; RS Umum Daerah Ar Rozy; RS Umum Daerah Dr. R. Soedarsono Kota Pasuruan; RS Asih Abyakta; RS Reksa Waluya; RS Kamar Medika; RS Umum Santa Clara; RS Umum Daerah Kota Madiun; RS Umum Griya Husada Madiun; RS William Booth Surabaya; RS Marinir Ewa Pangalila Gunungsari; RS Bunda; RS Muji Rahayu; RS Umum Daerah Husada Prima; RS Al Irsyad Surabaya; RS Ibu dan Anak Pura Raharja; RS Gotong Royong; RS Bhakti Rahayu; RS Islam Darus Syifa; RS Wiyung Sejahtera; RS Ibu dan Anak Bantuan 05.08.05 Surabaya; RS Mitra Keluarga Kenjeran; RS Ibu dan Anak Graha Medika; RS PKU Muhammadiyah Surabaya; Mayapada Hospital Surabaya; RS Umum dr. Etty Asharto Batu; RS Baptis Batu; RS Umum Negara; RS Umum Dharma Kerti; RS Umum Wisma Prashanti; RS Umum Semara Ratih; RS Ibu dan Anak Puri Bunda Tabanan; RS Umum Kasih Ibu Kedonganan; RS Umum Surya Husadha Nusa Dua; RS Umum Garba Med; RS Windu Husada; RS Umum Kasih Ibu Saba; RS Kenak Medika; RS Umum Permata Hati; RS Umum Bintang; RS Umum Daerah Gema Santi Nusa Penida; RS Umum Bangli Medika Canti; RS Umum Balimed Karangasem; RS Umum Daerah Kab. Buleleng; RS Umum Kertha Usadha; RS umum Karya Dharma Husada; RS Umum Parama Sidhi; RS Umum Shanti Graha; RS Balimed Buleleng; RS Umum Daerah Wangaya; RS Umum Dharma Yadnya; RS Umum Puri Raharja; RS Ibu dan Anak Puri Bunda; RS Bhayangkara Denpasar; RS Umum Surya Husadha; RS 14010300059; RS 1407013S; RS 17030300003; RS 32110300095; RS 32170300071; RS 32180300024; RS 32790300017; RS 33160300030; RS 33240300048; RS 33250300027; RS 33750300020; RS 35280300023; RS 35730300108; RS 35730300126; RS 51070300015; RS 51080300002; RS 51080300021; RS K1210810; RS K1211037; RS K1211109; RS K1211359; RS K1211524; RS K1216468; RS K1216717; RS K1216828; RS K1217589; RS K1217678; RS K1218046; RS K1230271; RS K1230383; RS K1230557; RS K1231071; RS K1231367; RS K1231529; RS K1231618; RS K1232020; RS K1232070; RS K1232425; RS K1232458; RS K1232846; RS K1233023; RS K1233490; RS K1233520; RS K1234958; RS K1234976; RS K1235035; RS K1235252; RS K1235929; RS K1236049; RS K1236487; RS K1236718; RS K1236856; RS K1237215; RS K1237357; RS K1237398; RS K1238056; RS K1238199; RS K1238395; RS K1238411; RS K1238492; RS K1238494; RS K1238733; RS K1238824; RS K1239006; RS K1239274; RS K1239838; RS K1239933; RS K1250030; RS K1250398; RS K1250532; RS K1305001; RS K1306009; RS K1374001; RS K1471002; RS K1471003; RS K2171001; RS K2171002; RS K3201003; RS K3204002; RS K3204003; RS K3204006; RS K3208002; RS K3209001; RS K3209002; RS K3209004; RS K3210024; RS K3212001; RS K3213001; RS K3214002; RS K3271002; RS K3273001; RS K3273005; RS K3273007; RS K3273008; RS K329012; RS K3302002; RS K3302003; RS K3304001; RS K3309002; RS K3322001; RS K3322002; RS K3374001; RS K3507001; RS K3507002; RS K3508001; RS K3519001; RS K3521014; RS K3522001; RS K3573002; RS K3578799; RS K5171004; RS K5171006; RSU Santo Yusup Boro; RS Umum Rizki Amalia Medika; RS Umum Kharisma Paramedika; RS Umum PKU Muhammadiyah Nanggulan; RS Umum Rizki Amalia; RS Umum Santa Elisabeth; RSU PKU Muhammadiyah Bantul; RS 3402077; RS Rajawali Citra; RS Umum Daerah Wonosari; RS Umum Pelita Husada; RS Umum Panti Rahayu; RS Umum PKU Muhammadiyah Wonosari; RS Bethesda Wonosari; RS Umum Daerah Saptosari; RS Islam Gunungkidul; RS Umum Condong Catur; RS Umum Puri Husada Yogyakarta; RS Umum Panti Rini; RS Umum Panti Nugroho; RS At-Turots Al-Islamy; RS Umum Gramedika 10; RS Umum PKU Muhammadiyah Gamping; RS Umum Bhayangkara POLDA DIY; RS Akademik Universitas Gadjah Mada; RS Umum Mitra Sehat; RS PKU Muhammadiyah Sleman; RS Islam Hidayatullah Yogyakarta; RS Tk. III 04.06.03 Dr. Soetarto; RS Bethesda Lempuyangwangi; RS Pratama Kota Yogyakarta; RS K1236516</x:v>
      </x:c>
      <x:c r="G6" s="8">
        <x:v>504</x:v>
      </x:c>
      <x:c r="H6" s="7" t="str">
        <x:v>RS Umum Daerah Ahmad Syafi'I Ma'arif; RS Umum Daerah Prof H Muhammad Yamin, SH; RS Umum Yos Sudarso; RS Umum Islam Ibnu Sina; RS Umum Daerah dr. Rasidin Padang; RS Umum Bunda Padang; RS Islam Siti Rahmah; RS Umum Naili DBS; RS Umum Hermina Padang; RS Umum Daerah Mohammad Natsir; RS Umum Daerah Dr. Achmad Mochtar; RS Otak DR. Drs. M. Hatta Bukittinggi; RS Islam Ibnu Sina Bukittinggi; RS Umum Daerah Teluk Kuantan; RS Umum  Efarina; RS Umum  Mesra; RS Umum  Awal Bros Ujung Batu; RS Umum  Surya Insani; RS Umum  Permata Hati; RS Umum Awal Bros Bagan Batu; RS Santa Maria Pekanbaru; RS Umum  Syafira; RS Umum Daerah  Petala Bumi; RS Umum  Awal Bros Pekanbaru; RS Murni Teguh Eria; RS Awal Bros A. Yani; RS Ibu dan Anak  Zainab; RS Umum  Awal Bros Panam; RS Ibu Anak  Budhi Mulia; RS Hermina Pekanbaru; RS Awal Bros Dumai; RS Pertamina Dumai; RS Umum Daerah Raden Mattaher Jambi; RS Tk. III 02.06.01  dr. Bratanata; RS Umum Kambang; RS Umum Baiturahim Jambi; RS Mitra; RS Umum Ummi Bengkulu; RS Bhayangkara Jitra Kota Bengkulu; RS Tiara Sella; RS Umum Bhakti Timah; RS Umum Daerah  Kabupaten Bintan; RS Badan Pengusahaan Batam; RS Umum Daerah Embung Fatimah Kota Batam; RS Umum Daerah Raja Ahmad Tabib; RS Bhayangkara Batam Polda Kepri; RS Awal Bros Botania; RS Paru Dr. M. Goenawan Partowidigdo; RS Umum Daerah Cibinong; RS Umum Daerah Ciawi; RS Umum Tugu Ibu; RS Umum Daerah R. Moh. Noh Nur; RS Ibu dan Anak Tumbuh Kembang; RS Umum Sentra Medika Cibinong; RS Sentosa; RS Umum Daerah RH. Satibi; RS Umum Rumah Sehat Terpadu Dompet Dhuafa; RS Umum Hermina Mekarsari; RS Umum Juliana; RS Ibu dan Anak Bunda Suryatni; RS Asysyifaa; RS Umum Nuraida; RS Eka Hospital; RS Islam Aysha; RS Umum Daerah Sekarwangi; RS Umum Hermina Sukabumi; RS Umum Betha Medika; RS Umum Bhakti Medicare; RS Primaya Sukabumi; RS Umum Daerah Sayang; RS Umum Dr. Hafiz; RS Umum Daerah Pagelaran; RS Umum Daerah Majalaya; RS Umum Daerah Welas Asih Provinsi Jawa Barat; RS Umum Daerah Oto Iskandar Di Nata; RS Umum Daerah Cicalengka; RS Maranatha; RS Kartini; RS Hermina Soreang; Rumah Sakit TK.IV 03.07.04 Guntur; RS Umum Daerah Pameungpeuk Prov. Jabar; RS Umum Daerah dr. Soekardjo; RS Umum Daerah Kab. Ciamis; RS Umum Dadi Keluarga Ciamis;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Umum Daerah Umar Wirahadikusumah; RS Umum Pertamina Balongan Indramayu; RS Mitra Plumbon Indramayu; RS Sentra Medika Langut; RS Islam Zam-Zam Muhammadiyah Jatibarang; RS Mitra Plumbon Patrol; RS Umum Pamanukan Medical Center (PMC); RS Umum Daerah Bayu Asih; RS Umum Siloam Purwakarta; RS Umum Asri Purwakarta; RS Umum Rama Hadi; RS Umum Amira; RS Suliawati; RS Umum Daerah Karawang; RS Umum Citra Sari Husada; RS Umum Mandaya; RS Umum Lira Medika; RS Umum Fikri Medika; RS Umum Helsa; RS Umum Rosela; RS Hermina Karawang; RS Primaya Karawang; RS Umum Karya Medika; Sentra Medika Hospital Cikarang; RS Umum St. Elisabeth; RS Umum Hermina Grand Wisata; RS Umum Karya Medika II; RS dr. Abdul Radjak Jababeka; RS Mitra Plumbon Cibitung; RS Umum Hermina Galaxy; RS Emhaka; RS Umum Anna Medika; RS Umum Kartika Husada Setu; RS Umum Ridhoka Salma; RS Umum Tiara; RS EMC Cikarang; RS EMC Cibitung; RS EMC Pekayon; RS Hermina Metland Cibitung; RS Ibu dan Anak Kartini; RS Umum Cahya Kawaluyan; RS Umum Daerah Pandega Pangandaran; RSAU Dr. M. Hassan Toto; RS Umum Daerah Kota Bogor; RS Umum Hermina Bogor; RS Umum Trimitra; RS Ibu dan Anak Pasutri; RS Graha Medika Bogor; RS Umum Daerah R. Syamsudin, SH; RS Umum Kartika Kasih; RSU Bhayangkara Tk. II Sartika Asih; RSAU dr. M. Salamun; RS Umum Immanuel Bandung; RS Umum Santo Borromeus; RS Umum Advent Bandung; RS Umum Pindad; RS Umum Muhammadiyah; RS Umum Hermina Arcamanik; RS Umum Daerah Bandung Kiwari; RS Umum Daerah Kota Bandung; RS Umum Al-Islam Bandung; RS Ibu dan Anak Harapan Bunda Bandung; RS Umum Santosa Hospital Bandung Kopo; RS Umum Melinda 2; RS Ibu dan Anak Al Islam; RS Edelweiss; RS Daerah Gunung Jati; RS Umum Pelabuhan Cirebon; RS Umum Putera Bahagia; RS Ibu dan Anak Cahaya Bunda; RS Umum Daerah dr. Chasbullah Abdulmadjid; RS Karunia Kasih; RS Mekar Sari; RS Siloam Sentosa; RS Umum Masmitra; RS Umum Satria Medika; RS Primaya; RS Primaya Bekasi Utara; RS Seto Hasbadi; RS Umum Hermina Bekasi; RS Umum Bhakti Kartini; RS Umum Permata Bekasi; RS Umum Bella; RS Umum Anna; RS Umum Islam dr. Subki Abdulkadir; RS Siloam Bekasi Sepanjang Jaya; RS Ibu dan Anak Selasih Medika; RS Umum Sentra Medika; RS Umum Bhayangkara Brimob; RS Umum Daerah Khidmat Sehat Afiat Kota Depok; RS Umum Hasanah Graha Afiah; RS Ibu dan Anak Setya Bhakti; RS Umum Permata Depok; RS Umum Alia Hospital; RS Umum Citra Arafiq Sawangan; RS Primaya Depok; RS Umum Daerah Anugerah Sehat Afiat; RS Umum Tk. II Dustira; RS Umum Tasik Medika Citratama (TMC); RS Ibu dan Anak Bunda Aisyah; RS Umum Prasetya Bunda; RS Hermina Tasikmalaya; RS Umum Mitra Idaman; RS Umum Daerah Cilacap; RS Umum Duta Mulya; RS Umum PKU Muhammdiyah Aghisna Kroya; RS Umum Raffa Majenang; RS Umum Aghisna Medika Sidareja; RS Umum An Ni'mah; RS Umum PKU Muhammadiyah Amanah Sumpiuh; RS Ibu dan Anak Bunda Arif Purwokerto; RS Umum Sinar Kasih; RS Umum Daerah Ajibarang; RS Umum Wiradadi Husada; RS Umum Siaga Medika Banyumas; RS Umum Dadi Keluarga; RS Hermina Purwokerto; RS Umum Daerah dr. R. Goeteng Taroenadibrata; RS Umum Harapan Ibu; RS Umum Daerah Panti Nugroho; RS Ibu dan Anak Ummu Hani; RS Umum Siaga Medika Purbalingga; RS Umum Daerah Hj. Anna Lasmanah Banjarnegara; RS Umum Emmanuel; RS Umum Islam Banjarnegara; RS Umum Daerah dr. Soedirman Kabupaten Kebumen; RS Umum PKU Muhamadiyah Gombong; RS Umum Purbowangi; RS Umum PKU Muhammadiyah Sruweng; RS Umum Daerah Prembun; RS Umum Daerah Dr. Tjitrowardojo Purworejo; RS Umum Ananda Purworejo; RS Umum Daerah R.A.A Tjokronegoro; RS Umum Setjonegoro Wonosobo; RS Umum  PKU Muhammadiyah Wonosobo; RS Umum Aisyiyah Muntilan; RS Umum Daerah Merah Putih; RS Umum Daerah Pandan Arang Boyolali; RS Umum Daerah Waras Wiris; RS Umum Asy-Syifa Sambi; RS Umum Hidayah Boyolali; RS Indriati Boyolali; RS Umum Pusat Dr. Soeradji Tirtonegoro; RS Umum 'Aisyiyah Klaten; RS Umum Islam Klaten; RS Umum Cakra Husada; RS Umum PKU Muhammadiyah Jatinom; RS Umum Mitra Pedan; RS Umum Daerah Bagas Waras; RS Umum Nirmala Suri; RS Umum Dr. Oen Solo Baru; RS Umum PKU Muhammadiyah Sukoharjo; RS Umum Universitas Sebelas Maret; RS Umum Daerah Dr. Soediran Mangun Sumarso Wonogi; RS Hermina Wonogiri; RS Umum Astrini; RS Umum Daerah Kartini Karanganyar; RSAU dr. Siswanto Lanud Adi Soemarmo; RS PKU Muhammadiyah Karanganyar; RS Umum Sarila Husada; RS Umum Daerah Dr. R.Soedjati Soemodiardjo; RS Umum Panti Rahayu; RS Permata Bunda; RS Umum PKU Muhammadiyah Gubug; RS Umum Trimedika Ketapang; RS Umum Daerah dr. R. Soetrasno Rembang; RS Umum Daerah RAA Soewondo; RS Umum Mitra Bangsa Pati; RS Umum Daerah Kayen Pati; RS Umum Keluarga Sehat; RS Umum Fastabiq Sehat PKU Muhammadiyah Pati; RS Umum As-Suyuthiyyah; RS Umum Mardi Rahayu; RS Umum Daerah R. A. Kartini; RS PKU Aisyiyah Jepara; RS Umum PKU Muhammadiyah Mayong; RS Umum Daerah Sultan Fatah Karangawen Demak; RS Umum Daerah dr. Gunawan Mangunkusumo; RS Umum Daerah dr. Gondo Suwarno; RS Umum Ken Saras; RS Umum Bina Kasih; RS Umum Kusuma Ungaran; RS Umum Ngesti Waluyo; RS Umum Gunung Sawo Kab. Temanggung; RS PKU Muhammadiyah Temanggung; RS Umum Islam Kendal; RS Umum Qim; RS Muhammadiyah Rodliyah Achid; RS Umum Siaga Medika Pemalang; RS Umum Prima Medika; RS Umum Daerah dr. Soeselo Slawi Kabupaten Tegal; RSI PKU Muhammadiyah Tegal; RS Mitra Siaga Tarub; RS Umum Daerah Brebes; RS Umum Daerah Tidar; RS Umum Tk. II Dr. Soedjono; RS Jiwa Prof. Dr. Soerojo; RS Umum Islam Magelang; RS Umum Dr. Oen; RS Umum Brayat Minulya; RS 3372051; RS Umum Panti Waluyo; RS Umum Triharsi; RS Umum Daerah Ibu Fatmawati Soekarno; RS PKU Muhammadiyah Sampangan Surakarta; RS Umum Daerah Bung Karno Kota Surakarta; RS Umum Daerah Kota Salatiga;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Umum Budi Rahayu; RS Umum Anugerah Pekalongan; RS Umum H. A. Zaky Djunaid; RS Umum Daerah Kardinah; RS Umum  Mitra Siaga; RS Umum Islam Harapan Anda; RS Umum Daerah  dr. Darsono; RS Umum Daerah Dr. Harjono S. Kabupaten Ponorogo; RS Umum Darmayu Ponorogo; RS Umum Muhammadiyah Ponorogo; RS Umum Bhayangkara Tulungagung; RS Umum Daerah Campurdarat; RS Umum Medika Utama; RS Toeloengredjo; RS Muhammadiyah Siti Khodijah; RS Umum Daerah Simpang Lima Gumul Kediri; RS Umum Daerah Kanjuruhan Kepanjen Kab. Malang; RS Umum Daerah Lawang; RS Umum Wava Husada; RS Umum Daerah Dr. Haryoto Kabupaten Lumajang; RS Wijaya Kusuma Lumajang; RS Islam Lumajang; RS Umum Daerah Dr. Soebandi Jember; RS Tk. III Baladhika Husada Jember; RS Paru Jember; RS Daerah Kalisat Jember; RS Daerah Balung Jember; RS Bina Sehat Jember; RS Kaliwates Jember; RS Siloam Jember; RS Umum Daerah Blambangan; RS Umum dr. H.Koesnadi Bondowoso; RS Bhayangkara Bondowoso;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Umum Delta Surya; RS Islam Siti Hajar Sidoarjo; RS Umum Jasem; RS Umum Anwar Medika; RS Umum Daerah Sumberglagah; RS Umum Daerah Prof. Dr. Soekandar; RS Mawaddah Medika; RS Umum Daerah Kab. Jombang; RS Ibu dan Anak Muslimat Jombang; RS Umum Islam Jombang; RS Umum Daerah Ploso; RS Muhammadiyah Jombang; RS Umum Nadhlatul Ulama Jombang; RS Umum Daerah Nganjuk; RS Umum Bhayangkara Tk. III Nganjuk; RS Islam Aisyiyah Nganjuk; RS Umum Daerah Caruban; RS Umum Daerah dr. Sayidiman Magetan; RS Angkatan Udara dr. Efram Harsana; RS Umum Daerah Dr. Soeroto Ngawi; RS Umum Daerah Dr. R. Sosodoro Djatikoesoemo; Rumah Sakit Aisyiyah Bojonegoro; RS Umum Daerah Sumberrejo; RS umum Daerah Padangan; RS Ibu dan Anak Fatma; RS Medika Mulia Tuban; RS Nahdlatul Ulama Tuban; RS Graha Husada; RS Umum Daerah Dr. Soegiri Lamongan; RS Umum Intan Medika; RS Muhammadiyah Babat; RS Umum Daerah Ibnu Sina Kab. Gresik; RS Semen Gresik; RS Petrokimia Gresik; RS Muhammadiyah Gresik; RS Umum Mabarrot MWC NU; RS Umum Wates Husada; RS Umum Wali Songo I; RS Fathma Medika; RS Petrokimia Gresik Driyorejo; RS Surya Medika; RS Eka Husada; RS Umum Daerah Syarifah Ambami Rato Ebu; RS Umum Daerah dr. Mohammad Zyn Kab. Sampang; RS Umum Daerah Dr. H. Slamet Martodirdjo Pamekasan; RS 3528038; RS Umum Daerah dr. H. Moh. Anwar; RS Umum Daerah Gambiran; RS Umum Bhayangkara Kediri; RS Umum Daha Husada; RS Umum Ratih; RS Umum Daerah Kilisuci; RS Umum Daerah Mardi Waluyo; RS Katolik Budi Rahayu; RS Tk. II Dr. Soepraoen; RS Umum Panti Waluya Sawahan Malang; RS Umum Lavalette Malang; RS Umum Hermina Tangkubanprahu; RS Universitas Brawijaya; RS Umum BRI Medika Malang; RS Umum Daerah dr. Mohamad Saleh Kota Probolinggo; RS Umum Dharma Husada; RS Umum Amanah; RSUD dr. Wahidin Sudiro Husodo Kota Mojokerto; RS Gatoel; RS Islam Hasanah Muhammadiyah; RS Emma; RS Umum Daerah Dr. Soedono Madiun; RS Umum Islam Siti Aisyah; RS Umum Darmayu Madiun; RS Hermina Madiun; RS Primasatya Husada Citra (PHC) Surabaya; RS Umum Adi Husada Kapasari; RS Islam Surabaya; RS Umum Tk. III Brawijaya; RS Jiwa Menur; RS Umum Daerah Bhakti Dharma Husada; RS Umum Islam Surabaya Jemursari; RS Umum Siloam Hospitals Surabaya; RS Umum Daerah Haji Provinsi Jawa Timur; RS Husada Utama Surabaya; RS Umum Daerah dr. Mohamad Soewandhie; RS Bhayangkara TK II HS. Samsoeri Mertojoso; RS Wijaya Surabaya; RS Ibu dan Anak Putri Surabaya; RS Universitas Airlangga; RS Umum Royal Surabaya; RS Ubaya; RS Bhayangkara Hasta Brata Batu; RS Umum Karsa Husada Kota Batu; RS Umum Bunda; RS Umum Balimed Negara; RS Umum Daerah Tabanan; RS Umum Bhakti Rahayu Tabanan; RS Umum Kasih Ibu Tabanan; RS Ibu dan Anak Cahaya Bunda; RS Daerah Mangusada; RS Umum Siloam Bali; RS Bali Jimbaran; RS Universitas Udayana; RS Umum Murni Teguh Tuban Bali; RS Umum Daerah Sanjiwani Gianyar; RS Umum Ganesha; RS Umum Ari Canti; RS Umum Famili Husada; RS Umum Payangan; RS Umum Daerah Klungkung; RS Umum Grha Bhakti Medika; RS Umum Daerah Bangli; RS Ibu dan Anak Puri Bunda Singaraja; RS TK. II Udayana; RS Umum Surya Husadha; RS Umum Bali Royal; RS Umum Bhakti Rahayu; RS Umum Prima Medika; RS BaliMed; RS Umum Daerah Bali Mandara Provinsi Bali; RS Umum Daerah Wates; RS Umum Daerah Nyi Ageng Serang; RS Umum Queen Latifa; RS Umum Daerah Panembahan Senopati; RS Umum Nur Hidayah; RS Umum Rachma Husada; RS Universitas Islam Indonesia; RS Umum Daerah Saras Adyatma; RS Umum Nur Rohmah; RS Umum Daerah Sleman; Charitas Hospital Klepu; RS Umum Queen Latifa; RS Islam Yayasan PDHI; RS Umum Sakina Idaman; RS Umum Daerah Prambanan; RS Umum Mitra Paramedika; RS Sadewa; RS Universitas Ahmad Dahlan; RS Umum Hermina Yogya; RS PKU Muhammadiyah Yogyakarta; RS Umum Panti Rapih; RS Bethesda Yogyakarta; RSPAU Dr.  Suhardi Harjolukito; RS Khusus Ibu dan Anak  PKU Muhammadiyah Kotagede; RS Umum Daerah Kota Yogyakarta; RS Happy Land Medical Centre; RS Siloam Yogyakarta; RS AMC Muhammadiyah</x:v>
      </x:c>
      <x:c r="I6" s="8">
        <x:v>14</x:v>
      </x:c>
      <x:c r="J6" s="7" t="str">
        <x:v>RS. Universitas Andalas; RS Umum Awal Bros Batam; RS Umum Hermina Depok; RS Universitas Indonesia; RS Umum Santosa Hospital Bandung Central; RS Umum Hermina Pasteur; RS Primaya Bekasi Barat; RS Umum Daerah Prof Dr. Margono Soekarjo; RS Umum Indriati; RS PKU Muhammadiyah Surakarta; RS Umum Kasih Ibu; RS Umum Telogorejo Semarang; RS Khusus Bedah Columbia Asia Semarang; RSPAL dr. Ramelan</x:v>
      </x:c>
      <x:c r="K6" s="8">
        <x:v>8</x:v>
      </x:c>
      <x:c r="L6" s="7" t="str">
        <x:v>RSUP Dr. M. Djamil; RS Umum Daerah  Arifin Achmad; RS Umum Pusat Dr. Hasan Sadikin; RS Umum Pusat Dr. Kariadi; RS Umum Daerah Dr. Saiful Anwar; RS Umum Daerah Dr. Soetomo; RSUP Prof. Dr. I.G.N.G. Ngoerah; RSUP Dr. Sardjito</x:v>
      </x:c>
      <x:c r="M6" s="8">
        <x:v>8</x:v>
      </x:c>
      <x:c r="N6" s="7" t="str">
        <x: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7">
      <x:c r="A7" s="7" t="str">
        <x:v>INFEKSI DAN PARASIT</x:v>
      </x:c>
      <x:c r="B7" s="7" t="str">
        <x:v>Infeksi &amp; Parasit</x:v>
      </x:c>
      <x:c r="C7" s="8">
        <x:v>4</x:v>
      </x:c>
      <x:c r="D7" s="7" t="str">
        <x:v>Paripurna</x:v>
      </x:c>
      <x:c r="E7" s="8">
        <x:v>558</x:v>
      </x:c>
      <x:c r="F7" s="7" t="str">
        <x:v>RS Umum BKM; RS Umum Daerah Solok Selatan; RS Umum Daerah Ahmad Syafi'I Ma'arif; RS Umum Daerah Prof H Muhammad Yamin, SH; RS Umum Daerah Lubuk Basung; RS Umum Islam Ibnu Sina; RS Umum Daerah Sungai Dareh; RS Umum Aisyiyah Padang; RS Bhayangkara Padang; RS Umum Semen Padang Hospital; RS Umum Bunda Padang; RS Umum Naili DBS; RS Islam Ibnu Sina Bukittinggi; RS Umum Ibnu Sina Kota Payakumbuh; RS Umum Daerah Dr. Adnaan WD; RS Umum  Kasih Ibu Rengat; RS Muizzah; RS 3M Plus; RS Umum  Amalia Medika; RS Umum Daerah  Bangkinang; RS Umum  Tandun; RS Umum  Mesra; RS Umum Pelita; RS Nurlima; RS Umum Daerah  Rokan Hulu; RS Umum  Surya Insani; RS Umum Daerah  Bengkalis; RS Umum  Thursina; RS Umum  Permata Hati; RS Tk. IV Pekanbaru; RS Prof. Dr. Tabrani; RS Umum  Bina Kasih; RS Umum  Pekanbaru Medical Center; RS Umum  Universitas Riau; RS Daerah Madani Kota Pekanbaru; RS Umum Daerah  Kota Dumai;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Mitra; RS As-syifa; RS Umum Daerah Kabupaten Rejang Lebong; RS Assalam; Charitas Hospital Arga Makmur; RS Umum Daerah Mukomuko; RS Umum Daerah Kepahiang; RS Umum Ummi Bengkulu; RS Gading Medika; RS Rafflesia Bengkulu; RS Bhayangkara Jitra Kota Bengkulu; RS Umum Santa Elisabeth Batam; RS Umum Charis Medika; RS Umum Camatha Sahidya; RS Bhayangkara Batam Polda Kepri; RS Santa Elisabeth Sei Lekop; RS Umum Family Medical Center; RS Umum Mary Cileungsi Hijau; RS Umum Islam Bogor; RS Umum Karya Bhakti Pratiwi; RS Asysyifaa; RS Helsa Citeureup; RS Pena 98; RS Paragon; RS 3203062; RS Umum Mitra Kasih; RS Umum Daerah Kesehatan Kerja; RS Umum Karya Pangalengan Bhakti Sehat; RS Kartini; RS Umum TNI AU Lanud Sulaiman; RS Muhammadiyah Bandung Selatan; RS Umum Daerah Bedas Cimaung; RS Umum Daerah Bedas Kertasari; RS 3205035; RS Umum Daerah KHZ Musthafa Kabupaten Tasikmalaya; RS Umum Islam Hj. Siti Muniroh; RS Umum Daerah Kab. Ciamis; RS Umum Al-Arif; RS Umum El-Syifa; RS Jantung Hasna Medika Kuningan; RS Mitra Husada; RS Pradipa Medika; RS Umum Universitas Muhammadiyah Cirebon; RS Pasar Minggu Cirebon; RS Umum Livasya; Rumah Sakit Umum Djuansih Majalengka; RS Umum Daerah Umar Wirahadikusumah; RS Umum Pakuwon; RS Umum Harapan Keluarga; RS Cimalaka; RS Umum Pertamina Balongan Indramayu; RS Umum Daerah Mursid Ibnu Syafiuddin; RS Umum PTPN VIII; RS Umum Pamanukan Medical Center (PMC); RS Umum Asri Purwakarta; RS Suliawati; RS Umum Holistic Purwakarta; RS Umum Bhakti Husada II Purwakarta; RS Umum Karina Medika; RS Umum Dewi Sri; RS Umum Proklamasi; RS Umum Saraswati; RS Umum Delima Asih Sisma Medika; RS Umum Mitra Family; RS Umum Helsa; RS Umum Rosela; RS Umum Sentral Medika; RS Umum Ananda; RS Umum Medirossa Cikarang; RS Amanda Cikarang Selatan; RS DKH Cikarang Barat; RS Umum Metro Hospitals; RS Umum Amanda; RS Umum Tarumajaya; RS Umum Pinna; RS Umum Daerah Cabangbungin; RS Cenka; RS Umum Daerah Lembang; RS Ibu dan Anak Kartini; RS Umum Salak; RS Jiwa dr. H. Marzoeki Mahdi; RS Umum Trimitra; RS Umum Bhayangkara Setukpa Lemdikpol; RS Umum Ridogalih; RS Umum Daerah Al-Mulk; RS 3273046; RS Umum Bungsu; RS Umum Tk. IV 03.07.03 Sariningsih; RS Khusus Ginjal Ny. R. A. Habibie; RS AMC; RS Umum Melinda 2; RS Edelweiss; RS Jantung dan Pembuluh Darah Paramarta; RS Umum Tk. III Ciremai; RS Umum Putera Bahagia; RS Umum Medimas; RS Umum Juwita; RS Umum Karya Medika Bantar Gebang; RS Helsa; RS Siloam Bekasi Timur; RS Nusantara; RS Umum Daerah Pondokgede; RS Seto Hasbadi; RS Umum Islam dr. Subki Abdulkadir; RS Ibu dan Anak Selasih Medika; RS Umum Grha Permata Ibu; RS Umum Simpangan Depok; RS Ibu dan Anak Asyifa Depok; RS Ibu dan Anak Setya Bhakti; RS Umum Mitra Anugrah Lestari; RS Umum Baros; RS Umum Prasetya Bunda; RS Umum Mitra Idaman; RS Umum Banjar Patroman; RS Priscilla Medical Center; RS 3302040; RS Umum Santa Elisabeth Purwokerto; RS Umum Hidayah Purwokerto; RS Umum Bunda; RS Umum Ananda Purwokerto; RS Umum Nirmala; RS Umum Harapan Ibu; RS Ibu dan Anak Ummu Hani; RS Umum PKU Muhammadiyah Purbalingga; RS Umum Permata Medika Kebumen; RS Umum Wijayakusuma; RS Umum PKU Muhammadiyah Sruweng; RS Umum Purwogondo; RS Umum  Aisyiyah; RS Umum Panti Waluyo Yakkum Purworejo; RS Umum Budi Sehat Purworejo; RS Umum Ananda Purworejo; RS Umum Natalia; RS Jiwa Daerah Dr. RM. Soedjarwadi; RS 3310040; RS Umum PKU Muhammadiyah Delanggu; RS PKU Muhammadiyah Prambanan; RS PKU Muhammadiyah Kartasura; RS Islam Surakarta YARSIS; RS Umum Maguan Husada; RS Umum Muhammadiyah Selogiri; RS Umum Mulia Hati Wonogiri; RSAU dr. Siswanto Lanud Adi Soemarmo; RS Umum Jati Husada Karanganyar; RS Umum Indo Sehat Karanganyar; RS Mangesti Rahayu; RS Umum Mardi Lestari Sragen; RS Umum Assalam;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Soeprapto Cepu; RS Umum Permata Blora; RS Ibu dan Anak NU Cakra Medika; RS Umum Islam Arafah; RS 3318041; RS Umum Sebening Kasih; RS Umum As-Suyuthiyyah; RS Umum Kumala Siwimijen Kudus; RS Umum  Nurussyifa; RS Umum Sultan Hadlirin Jepara; RS PKU Aisyiyah Jepara; RS Hj. Fatimah Sulhan PKU Muhammadiyah Demak; RS 3322037; RS Umum Bina Kasih; RS Ibu dan Anak Plamongan Indah; RS Umum Kusuma Ungaran; RS Umum Gunung Sawo Kab. Temanggung; RS Umum Charlie Hospital; RS PKU Aisyiyah Kendal; RS PKU Muhammadiyah Boja; RS Umum Daerah Limpung; RS Umum Prima Medika; RS Umum Muhammadiyah Mardhatillah; RS Umum Daerah Suradadi; RS Umum Adella; RS Harapan Sehat Slawi; RS Hawari Essa; RS Mitra Siaga Tarub; RS Umum Siti Asiyah; RS Umum Allam Medica Bumiayu; RS Umum Amanah Mahmudah; RS Harapan Sehat Jatibarang; RS 3371039; RS Umum Lestari Raharja; RS Umum Harapan; RS Jiwa Daerah Dr. Arif Zainudin Provinsi Jawa Tengah; RS Bhayangkara Surakarta; RS Umum Tk. IV 04.07.03 dr. Asmir; RS Umum William Booth; RS 3374035; RS Jiwa Daerah  Dr. Amino Gondohutomo; RS Umum Bhayangkara Akpol Semarang; RS Umum Anugerah Pekalongan; RS Umum H. A. Zaky Djunaid; RS Umum  ARO; RS 3376037; RS Umum Medical Mandiri Pacitan; RS Umum Darmayu Ponorogo; RS Umum Muslimat Ponorogo; RS Umum Daerah Bantarangin; RS Umum Islam Orpeha; RS Umum Era Medika; RS Umum Satiti Prima Husada; RS Umum Muhammadiyah Bandung; RS Putra Waspada Tulungagung; RS Umum Prima Medika; RS Umum Al-Ittihad; RS Umum Wava Husada Kesamben; RS Umum Daerah Srengat Kab. Blitar; RS Umum An-Nisaa; RS Umum Amelia; RS Umum Muhammadiyah Surya Melati; RS Umum Arga Husada; RS Umum  Aura Syifa; RS Umum  Wilujeng; RS Jiwa Dr. Radjiman Wediodiningrat Lawang; RS Mitra Delima; RS Prasetya Husada; RS Siti Miriam; RS Angkatan Udara dr. Munir Lanud Abdulrachman Saleh; RS Ben Mari; RS Umum Wajak Husada; RS Umum Islam Madinah Kasembon; RS Umum Cahaya Medika; RS AU dr. Mohammad Moenir; RS Wijaya Kusuma Lumajang; RS Islam Lumajang; RS Umum Muhammadiyah Lumajang; RS Nahdlatul Ulama Permata; RS Paru Jember; RS Utama Husada Jember; RS Daerah Kalisat Jember; RS Umum Citra Husada Jember; RS Umum Universitas Muhammadiyah Jember; RS Islam Fatimah; RS Nahdlatul Ulama Banyuwangi; RS Umum PKU Muhammadiyah Rogojampi; RS Umum Bakti Mulia Banyuwangi; RS Umum Abdhi Famili; RS Umum Rahayu Medika; RS Umum Mitra Sehat Kabupaten Situbondo; RS Islam Masyithoh Bangil; RS Mitra Sehat Medika; RS Sahabat; RS Graha Sehat Medika; RS Umum Delta Surya; RS Umum Jasem; RS Umum Anwar Medika; RS Umum Al-Islam H. M. Mawardi; RS Umum Assakinah Medika; RS Umum Citra Medika; RS Umum Aisyiyah Siti Fatimah; RS Arafah Anwar Medika Sukodono; RS Umum Bunda; RS Umum Aminah; RS Pusura Candi; RS Umum Daerah Sumberglagah; RS Dharma Husada; RS Mutiara Hati Mojokerto; RS Umum Kartini; RS Umum Daerah Raden Achmad Basoeni; RS Kristen Mojowarno; RS Ibu dan Anak Muslimat Jombang; RS Umum dr. Moedjito Dwidjosiswojo; RS Muhammadiyah Jombang; RS Al-Aziz; RS Umum Pelengkap Medical Center; RS Umum PKU Muhammadiyah Mojoagung; RS Umum Bhayangkara Tk. III Nganjuk; RS Islam Aisyiyah Nganjuk; RS Umum Daerah Dolopo; RS Umum Bhakti Persada; RS Angkatan Udara dr. Efram Harsana; RSI Muhammadiyah Sumberrejo; RS Muhammadiyah Kalitidu; RS Umum Daerah Kepohbaru; RS Umum Daerah R. Ali Manshur; RS Muhammadiyah Babat; RS Umum Muhammadiyah Babat; RS Nahdlatul Ulama Babat; RS Umum Daerah Ki Ageng Brondong; RS Umum Daerah Ibnu Sina Kab.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Nindhita; RS Sukma Wijaya; RS Umum Daerah Waru Pamekasan; RS Islam Garam Kalianget; RS TK. IV 05.07.02 Kediri; RS Umum Lirboyo; RS Katolik Budi Rahayu; RS Umum Syuhada Haji; RS Umum Panti Waluya Sawahan Malang; RS Umum Daerah Kota Malang; RS Universitas Brawijaya; RS Umum BRI Medika Malang; RS Umum Dharma Husada; RS Umum Amanah; RS Asih Abyakta; RS Reksa Waluya; RS Kamar Medika; RS Umum Islam Siti Aisyah; RS Umum Griya Husada Madiun; RS William Booth Surabaya; RS Soemitro Lanud Moeljono Surabaya; RS Bunda; RS Muji Rahayu; RS Ibu dan Anak Pura Raharja; RS Bhakti Rahayu; RS Islam Darus Syifa; RS Bhayangkara TK II HS. Samsoeri Mertojoso; RS Ibu dan Anak Bantuan 05.08.05 Surabaya; RS Mitra Keluarga Kenjeran; RS Umum dr. Etty Asharto Batu; RS Umum Negara; RS Umum Dharma Kerti; RS Umum Bhakti Rahayu Tabanan; RS Umum Wisma Prashanti; RS Umum Semara Ratih; RS Ibu dan Anak Puri Bunda Tabanan; RS Umum Kasih Ibu Kedonganan; RS Windu Husada; RS Umum Ari Canti; RS Umum Kasih Ibu Saba; RS Umum Payangan; RS Kenak Medika; RS Umum Permata Hati; RS Umum Bintang; RS Umum Daerah Gema Santi Nusa Penida; RS Umum Bangli Medika Canti; RS Kasna Medika; RS Umum Parama Sidhi; RS Umum Shanti Graha; RS Ibu dan Anak Puri Bunda Singaraja; RS TK. II Udayana; RS Umum Dharma Yadnya; RS Umum Puri Raharja; RS Umum Bhakti Rahayu; RS 1407013S; RS 17030300003; RS 32110300095; RS 32170300071; RS 32180300024; RS 32790300017; RS 33160300030; RS 33240300048; RS 33250300027; RS 35220300013; RS 35280300023; RS 35730300126; RS 35780300103; RS 51070300015; RS 51080300002; RS 51080300021; RS K1210810; RS K1211037; RS K1211109; RS K1211359; RS K1211524; RS K1216468; RS K1216717; RS K1216828; RS K1216852; RS K1217589; RS K1217678; RS K1217961; RS K1218046; RS K1218227; RS K1218417; RS K1230271; RS K1230383; RS K1231071; RS K1231367; RS K1231529; RS K1231618; RS K1232020; RS K1232070; RS K1232425; RS K1232458; RS K1232702; RS K1232846; RS K1233490; RS K1234509; RS K1234784; RS K1234821; RS K1234898; RS K1234932; RS K1234958; RS K1234976; RS K1235035; RS K1235252; RS K1235929; RS K1236049; RS K1236080; RS K1236487; RS K1236595; RS K1236718; RS K1236856; RS K1237215; RS K1237357; RS K1237398; RS K1237472; RS K1238056; RS K1238168; RS K1238199; RS K1238411; RS K1238492; RS K1238494; RS K1238824; RS K1239005; RS K1239006; RS K1239091; RS K1239274; RS K1239353; RS K1239838; RS K1239933; RS K1250201; RS K1250398; RS K1305001; RS K1306009; RS K1471002; RS K1471003; RS K2171001; RS K3201003; RS K3201004; RS K3204002; RS K3204006; RS K3204128; RS K3208002; RS K3209001; RS K3210024; RS K3212001; RS K3213001; RS K3214002; RS K3214003; RS K3216003; RS K3271002; RS K3273005; RS K3273007; RS K3273008; RS K3274013; RS K3276006; RS K3276079; RS K3276120; RS K3302001; RS K3302002; RS K3302003; RS K3304001; RS K3322001; RS K3322002; RS K3324079; RS K3507001; RS K3519001; RS K3519002; RS K3521014; RS K3522001; RS K3524001; RS K3573002; RS K3578797; RS K3578799; RS K5171002; RS K5171004; RS K5171006; RS Umum Rizki Amalia Medika; RS Umum Rizki Amalia; RS Umum Queen Latifa; RS Umum Santa Elisabeth; RS Khusus Bedah Ring Road Selatan; RS 3402077; RS Rajawali Citra; RS Umum Pelita Husada; RS Umum PKU Muhammadiyah Wonosari; RS Bethesda Wonosari; RS Umum Daerah Saptosari; RS Islam Gunungkidul; RS Khusus Bedah An-Nur; RS Umum Condong Catur; RS Umum Panti Rini; RS Umum Panti Nugroho; RS Umum Sakina Idaman; RS Umum Mitra Paramedika; RS Umum Gramedika 10; RS Umum Bhayangkara POLDA DIY; RS Umum Mitra Sehat; RS Universitas Ahmad Dahlan; RS PKU Muhammadiyah Sleman; RS Islam Hidayatullah Yogyakarta; RS Ludira Husada Tama; RS Bethesda Lempuyangwangi; RS K1236516</x:v>
      </x:c>
      <x:c r="G7" s="8">
        <x:v>642</x:v>
      </x:c>
      <x:c r="H7" s="7" t="str">
        <x:v>RS Umum Daerah Dr. Muhammad Zein Painan; RS Umum Daerah Tuanku Imam Bonjol; RSUP Dr. M. Djamil; RS Tk. III Reksodiwiryo Padang; RS Umum Yos Sudarso; RS Umum Daerah dr. Rasidin Padang; RS Islam Siti Rahmah; RS. Universitas Andalas; RS Umum Hermina Padang; RS Umum Daerah Mohammad Natsir; RS Umum Daerah Dr. Achmad Mochtar; RS Otak DR. Drs. M. Hatta Bukittinggi; RS Umum Daerah Teluk Kuantan; RS Umum Daerah  Puri Husada Tembilahan; RS Umum  Efarina; RS Umum Daerah Tengku Rafi'an Siak Sri Indrapura; RS Umum  Awal Bros Ujung Batu; RS Umum Daerah  Kec.Mandau; RS Umum Awal Bros Bagan Batu; RS Umum Daerah  Kabupaten Kepulauan Meranti; RS Santa Maria Pekanbaru; RS Umum  Eka Hospital Pekanbaru; RS Umum  Syafira; RS Umum  Islam Ibnu Sina; RS Umum  Awal Bros Pekanbaru; RS Murni Teguh Eria; RS Awal Bros A. Yani; RS Umum  Awal Bros Panam; RS Ibu Anak  Budhi Mulia; Aulia Hospital; RS Umum  Prima Pekanbaru; RS Hermina Pekanbaru; RS Awal Bros Dumai; Naray Hospital; RS Umum Daerah Raden Mattaher Jambi; RS Tk. III 02.06.01  dr. Bratanata; RS Umum Baiturahim Jambi; RS Rapha Theresia; RS Umum Daerah Dr. M. Yunus Bengkulu; RS Tiara Sella; RS Umum Daerah Muhammad Sani Kabupaten Karimun; RS Umum Bhakti Timah; RS Umum Daerah  Kabupaten Bintan; RS Umum Budi Kemuliaan Batam; RS Umum Harapan Bunda Batam; RS Badan Pengusahaan Batam; RS Umum Graha Hermine;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Tugu Ibu; RS Umum Daerah R. Moh. Noh Nur; RS Umum Annisa; RS Mitra Keluarga Bina Husada; RS Umum Hermina Depok; RS Umum Meilia; RS Umum Bunda Margonda; RS dr. Abdul Radjak Cileungsi; RS Umum Citama; RS Umum Sentra Medika Cibinong; RS Sentosa; RS Umum Daerah RH. Satibi; RS Umum Rumah Sehat Terpadu Dompet Dhuafa; RS Umum Hermina Mekarsari; RS Ibu dan Anak Sawojajar; RS Umum Permata Jonggol; RS EMC Sentul; Bogor Senior Hospital; RS Universitas Indonesia; RS Eka Hospital; RS Islam Aysha; RS Hermina Ciawi; RS Umum Daerah Sekarwangi; RS Umum Daerah Jampang Kulon; RS Umum Hermina Sukabumi; RS Umum Betha Medika; RS Umum Bhakti Medicare; RS Primaya Sukabumi; RS Umum Daerah Sayang; RS Umum Daerah Cimacan; RS Umum Dr. Hafiz; RS Umum Daerah Pagelaran; RS Umum Daerah Majalaya; RS Umum Kebonjati; RS Umum Daerah Welas Asih Provinsi Jawa Barat; RS Umum Daerah Oto Iskandar Di Nata; RS Umum Daerah Cicalengka; RS Umum Humana Prima; RS Maranatha; RS Hermina Soreang; RS Oetomo; RS Umum Daerah dr. Slamet Garut; Rumah Sakit TK.IV 03.07.04 Guntur; RS Umum Daerah Pameungpeuk Prov. Jabar; RS Umum Daerah dr. Soekardjo; RS Umum Jasa Kartini; RS Umum Daerah Banjar; RS Umum Dadi Keluarga Ciamis; RS Umum Daerah 45 Kuningan; RS Umum Wijaya Kusumah; RS Umum Sekar Kamulyan; RS Umum Juanda; RS Umum Daerah Linggajati Kuningan; RS Permata Kuningan;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Universitas Padjadjaran; RS Umum Daerah Kab. Indramayu; RS Umum Daerah M. A. Sentot Patrol; RS Umum Bhayangkara Indramayu; RS Umum MM Indramayu; RS Mitra Plumbon Indramayu; RS Islam Zam-Zam Muhammadiyah Jatibarang; RS Mitra Plumbon Patrol; RS Umum Daerah Subang; RS Umum Daerah Bayu Asih; RS Umum Siloam Purwakarta; RS Umum dr. Abdul Radjak Purwakarta; RS Umum Rama Hadi; RS Umum Amira; RS Umum Daerah Karawang; RS Umum Citra Sari Husada; RS Umum Izza; RS Umum Mandaya; RS Umum Daerah Jatisari Kabupaten Karawang; RS Umum Lira Medika; RS Umum Fikri Medika; RS Umum Puri Asih; RS Umum Amanda Mitra Keluarga; RS Hermina Karawang; RS Primaya Karawang; RS Permata Keluarga Karawang; RS Hastien; RS EFARINA ETAHAM KARAWANG; RS Umum Karya Medika; RS Umum Annisa; Siloam Hospitals Lippo Cikarang; Sentra Medika Hospital Cikarang; RS Umum Rawa Lumbu; RS Umum Daerah Kab.Bekasi;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Medirossa 2; RS Umum Kartika Husada; RS EMC Cikarang; RS Umum Permata Keluarga Jababeka; RS EMC Cibitung; RS EMC Pekayon; RS Mitra Keluarga Pratama; RS Ananda Babelan; RS Eka Bekasi; RS Hermina Metland Cibitung; RS Umum Cahya Kawaluyan; RS Umum Daerah Pandega Pangandaran; RS Umum PMI Bogor; RSAU Dr. M. Hassan Toto; RS Umum Azra; RS Umum Daerah Kota Bogor; RS Umum Hermina Bogor; RS Umum Melania; RS Umum Vania; RS Umum Mulia Pajajaran; RS Graha Medika Bogor; RS Umum Daerah R. Syamsudin, SH; RS Umum Assyifa Sukabumi; RS Umum Kartika Kasih; RSU Bhayangkara Tk. II Sartika Asih; RSAU dr. M. Salamun; RS Umum Immanuel Bandung; RS Umum Santo Yusup; RS Umum Santo Borromeus; RS Umum Pindad; RS Umum Muhammadiyah; RS Umum Hermina Arcamanik; RS Paru Dr. H. A. Rotinsulu; RS Umum Daerah Bandung Kiwari; RS Umum Daerah Kota Bandung; RS Umum Al-Islam Bandung; RS Umum Santosa Hospital Bandung Central; RS Umum Hermina Pasteur; RS Umum Santosa Hospital Bandung Kopo; RS Pasundan; RS Daerah Gunung Jati; RS Umum Panti Abdi Dharma; RS Umum Pelabuhan Cirebon; RS Umum Sumber Kasih; RS Umum Sumber Hurip; RS Umum Daerah dr. Chasbullah Abdulmadjid; RS Karunia Kasih; RS Mekar Sari; RS Siloam Sentosa; RS Umum Masmitra; RS Umum Mitra Keluarga Bekasi Timur; RS Umum Satria Medika; RS Primaya; RS Primaya Bekasi Utara; RS Umum Daerah Bantar Gebang; RS Umum Hermina Bekasi; RS Umum Bhakti Kartini; RS Umum Permata Bekasi; RS Umum Bella; RS Umum Graha Juanda; RS Umum Anna; RS Siloam Bekasi Sepanjang Jaya; RS Primaya Bekasi Barat; RS Umum Sentra Medika; RS Umum Mitra Keluarga Depok; RS Umum Bhayangkara Brimob; RS Umum Daerah Khidmat Sehat Afiat Kota Depok; RS Umum Hasanah Graha Afiah; RS Umum Permata Depok; RS Umum Citra Medika Depok; RS Umum Citra Arafiq; RS Umum Alia Hospital; RS Primaya Depok; RS Umum Daerah Anugerah Sehat Afiat; RS Umum Avisena; RS Umum Daerah Cibabat; RS Umum Kasih Bunda; RS Umum Tk. II Dustira; RS Umum Tasik Medika Citratama (TMC); RS Umum Permata Bunda; RS Hermina Tasikmalaya; RS Jantung dan Pembuluh Darah Tasikmalaya; RS Umum Daerah Cilacap; RS Umum Pertamina Cilacap; RS Umum Islam Fatimah; RS Umum Daerah Majenang; RS Umum Duta Mulya; RS Umum PKU Muhammdiyah Aghisna Kroya; RS Umum Afdila Cilacap; RS Umum Raffa Majenang; RS Umum Aghisna Medika Sidareja; RS umum Daerah Banyumas; RS Umum Daerah Prof Dr. Margono Soekarjo; RS Umum Tk. III Wijayakusuma; RS Umum An Ni'mah; RS Umum PKU Muhammadiyah Amanah Sumpiuh; RS Umum Islam Purwokerto; RS Umum Sinar Kasih; RS Umum Daerah Ajibarang; RS Umum Wiradadi Husada; RS Umum Siaga Medika Banyumas; RS Umum Dadi Keluarga; RS Hermina Purwokerto; RS Umum Daerah dr. R. Goeteng Taroenadibrata; RS Umum Daerah Panti Nugroho; RS Umum Siaga Medika Purbalingga; RS Islam At-Tin Husada Purbalingga; RS Umum Daerah Hj. Anna Lasmanah Banjarnegara; RS Umum Emmanuel; RS Umum Islam Banjarnegara; RS Umum Daerah dr. Soedirman Kabupaten Kebumen; RS Umum Palang Biru Gombong; RS Umum PKU Muhamadiyah Gombong; RS Umum Purbowangi; RS Umum PKU Muhammadiyah Petanahan Kebumen; RS Umum Daerah Prembun; RS Umum Daerah Dr. Tjitrowardojo Purworejo; RS Umum Palang Biru Kutoarjo;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Daerah Pandan Arang Boyolali; RS Umum PKU Aisyiyah Boyolali; RS Umum  Karanggede Sisma Medika; RS Umum Daerah Waras Wiris; RS Umum Daerah Simo; RS Umum Asy-Syifa Sambi; RS Umum Hidayah Boyolali; RS Umum Islam Banyubening Boyolali; RS Indriati Boyolali; RS Umum Islam Boyolali; RS Umum Pusat Dr. Soeradji Tirtonegoro;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Indriati; RS Umum Daerah Dr. Soediran Mangun Sumarso Wonogi; RS Hermina Wonogiri; RS Umum  Amal Sehat; RS Umum Astrini; RS Umum Daerah Kartini Karanganyar; RS PKU Muhammadiyah Karanganyar; RS Umum Daerah dr. Soehadi Prijonegoro; RS Umum Sarila Husada; RS Umum Islam Amal Sehat Sragen; RS Umum Daerah dr. Soeratno Gemolong; RS Umum Daerah Dr. R.Soedjati Soemodiardjo; RS Umum Panti Rahayu; RS Umum Daerah Dr. R. Soetijono Blora; RS Umum Daerah dr. R. Soetrasno Rembang; RS Bhina Bhakti Husada; RS PKU Muhammadiyah Pamotan; RS Umum Daerah RAA Soewondo; RS Umum Islam Pati; RS Umum Mitra Bangsa Pati; RS Umum Daerah Kayen Pati; RS Umum Keluarga Sehat; RS Umum  Budi Agung Pati; RS Umum Fastabiq Sehat PKU Muhammadiyah Pati; RS Keluarga Sehat Tayu; RS Umum Daerah dr. Loekmono Hadi; RS Umum Mardi Rahayu; RS Umum  Islam Sunan Kudus; RS Sarkies 'Aisyiyah Kudus; RS Umum Daerah R. A. Kartini; RS Umum Daerah dr. Rehatta Provinsi Jawa Tengah; RS Graha Husada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Daerah Kabupaten Temanggung; RS Umum Ngesti Waluyo; RS PKU Muhammadiyah Temanggung; RS Umum Daerah  Dr. H. Soewondo Kendal; RS Umum Islam Kendal; RS Umum Muhammadiyah Darul Istiqomah Kendal; RS Umum Qim;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Harapan Sehat Pemalang; RS Umum Daerah dr. Soeselo Slawi Kabupaten Tegal; RSI PKU Muhammadiyah Tegal; RS Umum Daerah Brebes; RS Umum Muhammadiyah Siti Aminah; RS Umum Bhakti Asih Brebes; RS Umum Daerah Bumiayu; RS Umum Tk. II Dr. Soedjono; RS Jiwa Prof. Dr. Soerojo; RS Umum Islam Magelang; RS Umum Dr. Oen; RS Umum Tk III Slamet Riyadi Surakarta; RS Umum Brayat Minulya; RS 3372051; RS Orthopedi Prof. Dr. R. Soeharso; RS Umum Panti Waluyo; RS PKU Muhammadiyah Surakarta; RS Umum Kasih Ibu; RS Umum Triharsi; RS Umum Daerah Ibu Fatmawati Soekarno; RS Umum Hermina Solo; RS PKU Muhammadiyah Sampangan Surakarta; RS Umum Daerah Bung Karno Kota Surakarta; RS Umum Daerah Kota Salatiga; RS Paru Dr. Ario Wirawan; RS Umum Puri Asih; RS Islam Tunas Harapan; RS Umum St. Elisabeth Semarang;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Panti Wilasa "Dr. Cipto" Semarang; RS Daerah KRMT Wongsonegoro; RS Umum Hermina Banyumanik Semarang; RS Khusus Bedah Columbia Asia Semarang; RS Umum Banyumanik 2; RS Primaya Kota Semarang; RS Keluarga Sehat III Semarang; RS Unimus; RS Cepoko; RS Samsoe Hidajat; RS Umum Budi Rahayu; RS Umum Hermina Pekalongan;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Bhayangkara Tulungagung; RS Umum Islam  Madinah; RS Umum Daerah Campurdarat; RS Umum Daerah Ngudi Waluyo Wlingi; RS Umum Medika Utama; RS Umum Daerah Kabupaten Kediri; RS Toeloengredjo; RS Muhammadiyah Siti Khodijah; RS Umum Daerah Simpang Lima Gumul Kediri; RS Bala Keselamatan Bokor; RS Umum Daerah Kanjuruhan Kepanjen Kab. Malang; RS Marsudi Waluyo; RS Umum Wava Husada; RS Prima Husada; RS Umum Universitas Muhammadiyah Malang; RS Umum Pindad; RS Umum Daerah Dr. Haryoto Kabupaten Lumajang; RS Bhayangkara Lumajang; RS Umum Djatiroto; RS Umum Daerah Pasirian Kabupaten Lumajang; RS Umum Daerah Dr. Soebandi Jember; RS Perkebunan PTPN X (Persero) Jember; RS Tk. III Baladhika Husada Jember; RS Daerah Balung Jember; RS Bina Sehat Jember; RS Kaliwates Jember; RS Siloam Jember; RS Umum Daerah Blambangan; RS Umum Bhakti Husada; RS Umum Daerah Genteng; RS Yasmin; RS Al Huda; RS Graha Medika; RS Umum dr. H.Koesnadi Bondowoso; RS Bhayangkara Bondowoso; RS Umum Daerah dr. Abdoer Rahem Situbondo; RS Elizabeth; RS Umum Daerah Besuki Kabupaten Situbondo; RS Umum Daerah Asembagus Kabupaten Situbondo; RS Umum Daerah Waluyo Jati Kraksaan; RS Graha Sehat; RS Umum  Wonolangan; RS Rizani; RS Umum Daerah Tongas; RS Umum Daerah Bangil; RS Umum Bhayangkara Pusdik Brimob; RS Umum Daerah Grati; RS Prima Husada; RS Umum Daerah R. T. Notopuro Sidoarjo; RS Umum Siti Khodijah Muhammadiyah Cabang Sepanjan; RS Bhayangkara TK.III Pusdik Sabhara Porong; RS Islam Siti Hajar Sidoarjo; RS Umum Daerah Sidoarjo Barat; RS Umum Daerah Prof. Dr. Soekandar; RS Sido Waras; RS Islam Sakinah; RS Mawaddah Medika; RS Umum Daerah Kab. Jombang; RS Umum Islam Jombang; RS Umum Daerah Ploso; RS Umum Nadhlatul Ulama Jombang; RS Hasyim Asy'ari; RS Umum Daerah Nganjuk; RS Umum Daerah Dungus; RS Umum Daerah Caruban; RS Paru Manguharjo Madiun; RS Umum Daerah dr. Sayidiman Magetan; RS Umum Daerah Dr. Soeroto Ngawi; RS Umum Widodo; RS Umum At-Tin Husada; RS Umum Daerah Dr. R. Sosodoro Djatikoesoemo; Rumah Sakit Aisyiyah Bojonegoro; RS Umum Daerah Sumberrejo; RS umum Daerah Padangan; RS Bhayangkara Wahyu Tutuko Bojonegoro; RS Ibu dan Anak Fatma; RS Umum Daerah Dr. R. Koesma Tuban; RS Medika Mulia Tuban; RS Nahdlatul Ulama Tuban; RS Graha Husada; RS Umum Daerah Dr. Soegiri Lamongan; RS Islam Nashrul Ummah; RS Umum Muhammadiyah Lamongan; RS Umum Daerah Ngimbang; RS Umum dr. Suyudi; RS Umum Intan Medika; RS Semen Gresik; RS Umum Nyai Ageng Pinatih Gresik; RS Petrokimia Gresik; RS Muhammadiyah Gresik; RS Umum Daerah Syarifah Ambami Rato Ebu; RS Umum Daerah dr. Mohammad Zyn Kab. Sampang; RS Umum Daerah Dr. H. Slamet Martodirdjo Pamekasan; RS 3528038; RS Umum Daerah dr. H. Moh. Anwar; Rumah Sakit Baghraf Health Care; RS Umum Daerah Gambiran; RS Umum Bhayangkara Kediri; RS Umum Daha Husada; RS Muhammadiyah Ahmad Dahlan; RS Umum Daerah Kilisuci; RS Umum Daerah Mardi Waluyo; RS Umum Aminah Blitar; RS Islam Aminah; RS Tk. II Dr. Soepraoen; RS Umum Panti Nirmala; RS Umum Lavalette Malang; RS Umum Islam Aisyiyah Malang; RS Islam Unisma Malang; RS Umum Hermina Tangkubanprahu; RS Umum Daerah dr. Mohamad Saleh Kota Probolinggo; RS Umum Daerah Ar Rozy; RS Umum Daerah Dr. R. Soedarsono Kota Pasuruan; RSUD dr. Wahidin Sudiro Husodo Kota Mojokerto; RS Gatoel; RS Islam Hasanah Muhammadiyah; RS Emma; RS Umum Daerah Dr. Soedono Madiun; RS Umum Daerah Kota Madiun; RS Umum Darmayu Madiun; RS Hermina Madiun; RSPAL dr. Ramelan; RS Primasatya Husada Citra (PHC) Surabaya; RS Umum Adi Husada Kapasari; RS Islam Surabaya; RS Umum Tk. III Brawijaya; RS Jiwa Menur; RS Umum Daerah Bhakti Dharma Husada; RS Umum Islam Surabaya Jemursari; RS Umum Daerah Husada Prima; RS Umum Siloam Hospitals Surabaya; RS Al Irsyad Surabaya; RS Umum Daerah Haji Provinsi Jawa Timur; RS Husada Utama Surabaya; RS Umum Daerah dr. Mohamad Soewandhie; RS Gotong Royong; RS Wiyung Sejahtera; RS Wijaya Surabaya; RS Ibu dan Anak Putri Surabaya; RS Manyar Medical Centre; RS Umum Royal Surabaya; Mayapada Hospital Surabaya; RS Ubaya; RS Umum Pusat Surabaya; RS Umum Daerah Eka Candrarini; RS Bhayangkara Hasta Brata Batu; RS Umum Karsa Husada Kota Batu; RS Umum Bunda; RS Umum Daerah Tabanan; RS Umum Kasih Ibu Tabanan; RS Daerah Mangusada; RS Umum Siloam Bali; RS Umum Surya Husadha Nusa Dua; RS Bali Jimbaran; RS Universitas Udayana; RS Umum Murni Teguh Tuban Bali; RS Umum Daerah Sanjiwani Gianyar; RS Umum Ganesha; RS Umum Famili Husada; RS Umum Daerah Klungkung; RS Umum Grha Bhakti Medika; RS Umum Daerah Bangli; RS Umum Balimed Karangasem; RS Umum Daerah Kab. Buleleng; RS umum Karya Dharma Husada; RS Umum Daerah Wangaya; RS Umum Surya Husadha; RS Umum Bali Royal; RS Umum Prima Medika; RS BaliMed; RS Bhayangkara Denpasar; RS Umum Surya Husadha; RS Umum Daerah Bali Mandara Provinsi Bali; RS Umum Daerah Wates; RS Umum PKU Muhammadiyah Nanggulan; RS Umum Daerah Nyi Ageng Serang; RS Umum Pura Raharja Medika; RS Umum Daerah Panembahan Senopati; RSU PKU Muhammadiyah Bantul; RS Umum Nur Hidayah; RS Umum Rachma Husada; RS Universitas Islam Indonesia; RS Umum Daerah Saras Adyatma; RS Umum Daerah Wonosari; RS Umum Nur Rohmah; RS Umum Panti Rahayu; RS Umum Daerah Sleman; Charitas Hospital Klepu; RS Umum Queen Latifa; RS Islam Yayasan PDHI; RS Umum Daerah Prambanan; RS Umum PKU Muhammadiyah Gamping; RS Akademik Universitas Gadjah Mada; RS Umum Hermina Yogya; RS Tk. III 04.06.03 Dr. Soetarto; RS PKU Muhammadiyah Yogyakarta; RS Umum Panti Rapih; RS Bethesda Yogyakarta; RSPAU Dr.  Suhardi Harjolukito; RS Umum Daerah Kota Yogyakarta; RS Happy Land Medical Centre; RS Pratama Kota Yogyakarta; RS Siloam Yogyakarta; RS AMC Muhammadiyah</x:v>
      </x:c>
      <x:c r="I7" s="8">
        <x:v>4</x:v>
      </x:c>
      <x:c r="J7" s="7" t="str">
        <x:v>RS Umum Daerah  Arifin Achmad; RS Umum Advent Bandung; RS Umum Nasional Diponegoro; RS Universitas Airlangga</x:v>
      </x:c>
      <x:c r="K7" s="8">
        <x:v>6</x:v>
      </x:c>
      <x:c r="L7" s="7" t="str">
        <x:v>RS Umum Pusat Dr. Hasan Sadikin; RS Umum Pusat Dr. Kariadi; RS Umum Daerah Dr. Saiful Anwar; RS Umum Daerah Dr. Soetomo; RSUP Prof. Dr. I.G.N.G. Ngoerah; RSUP Dr. Sardjito</x:v>
      </x:c>
      <x:c r="M7" s="8">
        <x:v>6</x:v>
      </x:c>
      <x:c r="N7" s="7" t="str">
        <x:v>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8">
      <x:c r="A8" s="7" t="str">
        <x:v>JANTUNG DAN PEMBULUH DARAH</x:v>
      </x:c>
      <x:c r="B8" s="7" t="str">
        <x:v>Jantung &amp; Pembuluh Darah</x:v>
      </x:c>
      <x:c r="C8" s="8">
        <x:v>3</x:v>
      </x:c>
      <x:c r="D8" s="7" t="str">
        <x:v>Utama</x:v>
      </x:c>
      <x:c r="E8" s="8">
        <x:v>994</x:v>
      </x:c>
      <x:c r="F8" s="7" t="str">
        <x:v>RS Umum Daerah Dr. Muhammad Zein Painan;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Hermina Padang; RS Umum Daerah Sawah Lunto; RS Umum Daerah Padang Panjang; RS Islam Ibnu Sina Bukittinggi; RS Umum Daerah Kota Bukittinggi; RS Umum Daerah Dr. Adnaan WD; RS Umum Daerah Teluk Kuantan; RS Umum Daerah  Indrasari Rengat; RS Umum Daerah  Puri Husada Tembilahan; RS Umum  Efarina; RS Umum Daerah Tengku Rafi'an Siak Sri Indrapura; RS Umum  Mesra;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Bhayangkara Tk. III Kota Pekanbaru; RS Umum  Syafira; RS Umum Daerah  Petala Bumi; RS Umum  Islam Ibnu Sina; RS Prof. Dr. Tabrani; RS Murni Teguh Eria; RS Umum  Pekanbaru Medical Center; RS Awal Bros A. Yani; RS Ibu dan Anak  Zainab; RS Umum  Universitas Riau; RS Ibu Anak  Budhi Mulia; Aulia Hospital; RS Umum  Prima Pekanbaru; RS Daerah Madani Kota Pekanbaru; RS Hermina Pekanbaru; RS Umum Daerah  Kota Dumai; RS Pertamina Dumai; Naray Hospital; RS Raudhah; RS Merangin Medical Centre; RS Umum Daerah Haji Abdoel Madjid Batoe; RS Royal Prima; RS Mitra Medika Batang Hari; RS Umum Daerah Nurdin Hamzah; RS Umum Permata Hati; RS Bhayangkara Jambi; RS Umum Santa Theresia; RS Jiwa Daerah Provinsi Jambi; RS Siloam Jambi; RS Islam Arafah; RS Umum Kambang; RS Umum Baiturahim Jambi; RS Mitra; RS Umum Daerah H. Abdurrahman Sayoeti; RS Rapha Theresia; RS Umum Daerah Kabupaten Rejang Lebong; RS Umum Daerah Mukomuko; RS Umum Daerah Harapan dan Doa; RS Umum Ummi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Graha Hermine; RS Umum Santa Elisabeth Batam Kota; RS Umum Camatha Sahidya; RS Umum Soedarsono Darmosoewito; RS Umum Daerah Kota Tanjung Pinang; Rumkital dr. Midiyato Suratani; RS Bhayangkara Batam Polda Kepri; RS Hj. Bunda Halimah Batam; RS Awal Bros Botania; RS Mutiara Aini; RS Paru Dr. M. Goenawan Partowidigdo; RS Umum Bhakti Yudha; RS Umum Tugu Ibu; RS Umum Daerah R. Moh. Noh Nur; RS Umum Annisa; RS Mitra Keluarga Bina Husada; RS Citra Insani; RS Umum Family Medical Center; RS Umum Mary Cileungsi Hijau; RS Umum Meilia; RS Umum Bunda Margonda; RS dr. Abdul Radjak Cileungsi; RS Umum Islam Bogor; RS Umum Medika Dramaga; RS Umum Hermina Mekarsari; RSU Assalam; RS Umum Juliana; RS Umum Ummi; RS Umum Permata Jonggol; RS Umum Karya Bhakti Pratiwi; RS EMC Sentul; RS Umum Siloam Hospitals Bogor; Bogor Senior Hospital;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Cicalengka; RS Umum Humana Prima; RS Maranatha; RS Umum Daerah Kesehatan Kerja; RS Umum Karya Pangalengan Bhakti Sehat; RS Umum TNI AU Lanud Sulaiman; RS Hermina Soreang; RS Oetomo; RS Umum Daerah dr. Slamet Garut; Rumah Sakit TK.IV 03.07.04 Guntur; RS Umum Daerah Pameungpeuk Prov. Jabar; RS Umum Annisa Queen; RS 3205035; RS Umum Daerah KHZ Musthafa Kabupaten Tasikmalaya; RS Umum Jasa Kartini; RS Umum Daerah Kab. Ciamis; RS Umum Permata Bunda; RS Umum Dadi Keluarga Ciamis; RS Umum Daerah 45 Kuningan; RS Umum Wijaya Kusumah; RS Umum Sekar Kamulyan; RS Umum El-Syifa; RS Umum Daerah Linggajati Kuningan; RS Mitra Husada; RS Permata Kuningan; RS Umum Daerah Waled; RS Pertamina Cirebon; RS Daerah Sidawangi; RS Umum Daerah Arjawinangun; RS Umum Universitas Muhammadiyah Cirebon; RS Umum Sumber Waras; Sentra Medika Hospital Gempol; RS Umum Daerah Majalengka; RS Umum Daerah Cideres; RS Mitra Plumbon Majalengka; RS Umum Livasya; Rumah Sakit Umum Djuansih Majalengka; RS Umum Harapan Keluarga; RS Universitas Padjadjaran; RS Cimalaka; RS Umum Daerah Kab. Indramayu; RS Umum Daerah M. A. Sentot Patrol; RS Umum Pertamina Balongan Indramayu; RS Mitra Plumbon Indramayu; RS Sentra Medika Langut; RS Mitra Plumbon Patrol;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Ibu dan Anak Bunda Fathia; RS Umum Bayukarta; RS 3215037; RS Umum Dewi Sri; RS Umum Islam Karawang; RS Umum Saraswati; RS Umum Delima Asih Sisma Medika; RS Umum Citra Sari Husada; RS Umum Izza; RS Umum Mandaya; RS Umum Daerah Jatisari Kabupaten Karawang; RS Umum Fikri Medika; RS Umum Puri Asih; RS Umum Mitra Family; RS Umum Rosela; RS Umum Amanda Mitra Keluarga; RS Hermina Karawang; RS Primaya Karawang; RS Permata Keluarga Karawang; RS EFARINA ETAHAM KARAWANG; RS Umum Bhakti Husada; RS Umum Karya Medika; RS Umum Annisa; Siloam Hospitals Lippo Cikarang; RS Umum Rawa Lumbu; RS Umum Hosana Medica; RS Umum Ananda;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Kartika Husada; RS Umum Tarumajaya; RS Umum Pinna; RS Umum Permata Keluarga Jababeka; RS EMC Cibitung; RS Mitra Keluarga Pratama; RS Ananda Babelan; RS Hermina Metland Cibitung; RS Umum dr. Abdul Radjak Cibitung; RS Mitra Keluarga Deltamas; RS Umum Daerah Cililin; RS Umum Daerah Lembang; RS Karisma Cimareme; RS Umum Cahya Kawaluyan; RS Umum PMI Bogor; RS Umum Salak; RSAU Dr. M. Hassan Toto; RS Jiwa dr. H. Marzoeki Mahdi; RS Umum Azra; RS Umum Hermina Bogor; Mayapada Hospital Bogor; RS Umum Trimitra; RS Umum Melania; RS Umum Vania; RS Umum Mulia Pajajaran; RS Umum Bhayangkara Tk. IV Bogor; RS Umum Bhayangkara Setukpa Lemdikpol; RS Umum Assyifa Sukabumi; RS Umum Kartika Kasih; RSU Bhayangkara Tk. II Sartika Asih; RS 3273046; RS Umum Santo Yusup; RS Umum Pindad; RS Umum Muhammadiyah; RS Umum Hermina Arcamanik; RS Umum Tk. IV 03.07.03 Sariningsih; RS Paru Dr. H. A. Rotinsulu; RS Umum Daerah Bandung Kiwari; RS Umum Daerah Kota Bandung; RS AMC; RS Umum Santosa Hospital Bandung Kopo; RS Umum Melinda 2; RS Edelweiss; RS Pasundan; RS Umum Tk. III Ciremai; RS Umum Panti Abdi Dharma; RS 3274041; RS Umum Pelabuhan Cirebon; RS Umum Putera Bahagia; RS Umum Sumber Kasih; RS Umum Medimas; RS Umum Sumber Hurip; RS Ibu dan Anak Cahaya Bunda; RS Umum Daerah dr. Chasbullah Abdulmadjid; RS Mekar Sari; RS Siloam Sentosa; RS Umum Masmitra; RS Umum Mitra Keluarga Bekasi Timur; RS Umum Juwita; RS Umum Taman Harapan Baru; RS DKH Kedungwaringin; RS Umum Satria Medika; RS Helsa; RS Siloam Bekasi Timur; RS Primaya Bekasi Utara; RS Umum Daerah Jatisampurna; RS Umum Daerah Pondokgede; RS Umum Daerah Bantar Gebang; RS umum Daerah Teluk Pucung; RS Umum Bhakti Kartini; RS Umum Permata Bekasi; RS Umum Bella; RS Umum Graha Juanda; RS Umum Anna; RS Umum Citra Harapan; RS Umum Islam dr. Subki Abdulkadir; RS Siloam Bekasi Sepanjang Jaya; RS Ibu dan Anak Selasih Medika; RS Umum Mitra Keluarga Depok; RS Umum Grha Permata Ibu; RS Umum Daerah Khidmat Sehat Afiat Kota Depok; RS Umum Hasanah Graha Afiah; RS Ibu dan Anak Setya Bhakti; RS Umum Permata Depok; RS Umum Citra Medika Depok; RS Umum Citra Arafiq; RS Umum Citra Arafiq Sawangan; RS Primaya Depok; RS Umum Daerah Anugerah Sehat Afiat; RS Umum Mitra Anugrah Lestari; RS Umum Avisena; RS Umum Kasih Bunda; RS Umum Tk. II Dustira; RS Umum Prasetya Bunda; RS Umum Permata Bunda; RS Hermina Tasikmalaya; RS Umum Banjar Patroman; RS Umum Daerah Cilacap; RS Umum Pertamina Cilacap; RS Umum Islam Fatimah; RS Umum Duta Mulya; RS Umum PKU Muhammdiyah Aghisna Kroya; RS Umum Afdila Cilacap; RS Umum Raffa Majenang; RS Umum Aghisna Medika Sidareja; RS Priscilla Medical Center; RS Umum Tk. III Wijayakusuma; RS 3302040; RS Umum An Ni'mah; RS Umum PKU Muhammadiyah Amanah Sumpiuh; RS Umum Islam Purwokerto; RS Umum Ananda Purwokerto; RS Umum Daerah Ajibarang; RS Umum Wiradadi Husada; RS Umum Siaga Medika Banyumas; RS Umum Dadi Keluarga; RS Hermina Purwokerto; RS Umum Daerah dr. R. Goeteng Taroenadibrata; RS Umum Nirmala; RS Umum Harapan Ibu;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Purbowangi; RS Umum PKU Muhammadiyah Sruweng; RS Umum Purwogondo; RS Umum PKU Muhammadiyah Petanahan Kebumen; RS Umum Daerah Prembun; RS Umum Daerah Dr. Tjitrowardojo Purworejo; RS Amanah Umat Purworejo; RS Umum Daerah R.A.A Tjokronegoro; RS Umum Setjonegoro Wonosobo; RS Umum  PKU Muhammadiyah Wonosobo; RS Umum Aisyiyah Muntilan; RS Umum Syubbanul Wathon; RS Umum Daerah Merah Putih; RS Umum PKU Aisyiyah Boyolali; RS Umum Umi Barokah;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Daerah Bagas Waras; RS PKU Muhammadiyah Prambanan; RS Umum Daerah Ir. Soekarno Kabupaten Sukoharjo;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Astrini;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Habibullah; RS Umum Islam Purwodadi; RS Umum Trimedika Ketapang; RS Umum Daerah Dr. R. Soetijono Blora; RS Umum Daerah Dr. R. Soeprapto Cepu; RS Umum Permata Blora; RS Umum PKU Muhammadiyah Blora; RS Ibu dan Anak NU Cakra Medika; RS Bhayangkara Blora; RS Umum Daerah dr. R. Soetrasno Rembang; RS Umum Islam Arafah; RS Bhina Bhakti Husada; RS PKU Muhammadiyah Pamotan; RS 3318041; RS Umum Mitra Bangsa Pati; RS Umum Daerah Kayen Pati; RS Umum Keluarga Sehat;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Bina Kasih; RS Umum Kusuma Ungaran; RS Umum Daerah Kabupaten Temanggung; RS Umum Ngesti Waluyo; RS Umum Gunung Sawo Kab. Temanggung; RS PKU Muhammadiyah Temanggung; RS Umum Islam Kendal; RS Umum Muhammadiyah Darul Istiqomah Kendal; RS Umum Charlie Hospital; RS PKU Aisyiyah Kendal; RS Umum Daerah Batang; RS Umum Qim; RS Umum Daerah Kajen Kab. Pekalongan; RS Umum Daerah Bendan Kota Pekalongan; RS Umum Daerah Dr. M. Ashari Pemalang; RS Umum Santa Maria Pemalang; RS Muhammadiyah Rodliyah Achid;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Umum Tk. II Dr. Soedjono; RS 3371039; RS Jiwa Prof. Dr. Soerojo; RS Umum Lestari Raharja; RS Umum Harapan;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Hermina Pandanaran; RS Panti Wilasa "Dr. Cipto" Semarang; RS Umum Banyumanik; RS Umum Hermina Banyumanik Semarang; RS Umum Banyumanik 2; RS Primaya Kota Semarang; RS Keluarga Sehat III Semarang; RS Samsoe Hidajat; RS Umum Daerah Mijen; RS Umum Budi Rahayu; RS Umum Anugerah Pekalongan; RS Umum H. A. Zaky Djunaid; RS Umum Hermina Pekalongan; RS Umum  Mitra Siaga; RS Umum Tk. IV Tegal; RS Umum Islam Harapan Anda; RS Umum Daerah  dr. Darsono; RS Umum Aisyiyah Ponorogo; RS Umum Darmayu Ponorogo; RS Umum Muhammadiyah Ponorogo; RS Umum Daerah dr. Soedomo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Medika Utama;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Marsudi Waluyo; RS Umum Daerah Lawang; RS Umum Wava Husada; RS Mitra Delima; RS Prasetya Husada; RS Prima Husada; RS Lawang Medika; RS Umum Universitas Muhammadiyah Malang; RS Umum Wajak Husada; RS Umum Islam Madinah Kasembon; RS Bedah Hasta Husada; RS Umum Cahaya Medika; RS AU dr. Mohammad Moenir; RS Umum Daerah Dr. Haryoto Kabupaten Lumajang; RS Wijaya Kusuma Lumajang; RS Bhayangkara Lumajang; RS Umum Djatiroto; RS Islam Lumajang; RS Umum Muhammadiyah Lumajang; RS Perkebunan PTPN X (Persero) Jember; RS Tk. III Baladhika Husada Jember; RS Paru Jember; RS Bina Sehat Jember; RS Kaliwates Jember; RS Siloam Jember; RS Umum Bhakti Husada; RS Umum Daerah Genteng; RS Islam Fatimah; RS Yasmin; RS Nahdlatul Ulama Banyuwangi; RS Al Huda; RS Graha Medika; RS Bhayangkara Bondowoso; RS Mitra Medika Bondowoso; RS Umum Daerah dr. Abdoer Rahem Situbondo; RS Elizabeth; RS Umum Daerah Asembagus Kabupaten Situbondo; RS Umum Daerah Waluyo Jati Kraksaan; RS Graha Sehat; RS Umum  Wonolangan; RS Rizani; RS Umum Daerah Tongas; RS Umum Bhayangkara Pusdik Brimob; RS Mitra Sehat Medika; RS Graha Sehat Medika; RS Umum Daerah Grati; RS Prima Husada;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Mitra Sehat Mandiri Sidoarjo; RS Pusura Candi; RS Umum Daerah Sidoarjo Barat; RS Umum Daerah Sumberglagah; RS Umum Daerah Prof. Dr. Soekandar; RS Sido Waras; RS Islam Arofah; RS Dharma Husada; RS Mutiara Hati Mojokerto; RS Umum Kartini; RS Islam Sakinah; RS Umum Daerah Raden Achmad Basoeni; RS Mawaddah Medika; RS Kristen Mojowarno; RS Airlangga Jombang; RS Umum Daerah Ploso; RS Umum dr. Moedjito Dwidjosiswojo; RS Al-Aziz; RS Umum Nadhlatul Ulama Jombang; RS Umum PKU Muhammadiyah Mojoagung; RS Daerah Kertosono; RS Umum Bhayangkara Tk. III Nganjuk; RS Umum Daerah Dungus; RS Umum Daerah Caruban; RS Umum Daerah Dolopo; RS Umum Daerah dr. Sayidiman Magetan; RS Angkatan Udara dr. Efram Harsana; RS Umum Daerah Dr. Soeroto Ngawi; RS Umum Widodo; Rumah Sakit Aisyiyah Bojonegoro; RS Bhayangkara Wahyu Tutuko Bojonegoro; RS Muhammadiyah Kalitidu; RS Medika Mulia Tuban; RS Nahdlatul Ulama Tuban; RS Umum Daerah Dr. Soegiri Lamongan; RS Islam Nashrul Ummah; RS Umum Daerah Ngimbang; RS Umum dr. Suyudi; RS Umum Intan Medika; RS Permata Hati Lamongan;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Qona'ah; RS Umum Larasati Pamekasan; RS Umum Daerah dr. H. Moh. Anwar; RS Islam Garam Kalianget; Rumah Sakit Baghraf Health Care; RS TK. IV 05.07.02 Kediri; RS Umum Bhayangkara Kediri; RS Baptis Kediri; RS Muhammadiyah Ahmad Dahlan; RS Umum Lirboyo; RS Umum Daerah Mardi Waluyo; RS Katolik Budi Rahayu; RS Umum Syuhada Haji; RS Umum Aminah Blitar; RS Islam Aminah; RS Umum Panti Nirmala; RS Umum Panti Waluya Sawahan Malang; RS Umum Lavalette Malang; RS Umum Hermina Tangkubanprahu; RS Bhirawa Bhakti;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Santa Clara; RS Umum Islam Siti Aisyah; RS Umum Daerah Kota Madiun; RS Umum Griya Husada Madiun; RS Umum Darmayu Madiun; RS Hermina Madiun; RS William Booth Surabaya; RS Umum Adi Husada Kapasari; RS Islam Surabaya; RS Umum Tk. III Brawijaya; RS Marinir Ewa Pangalila Gunungsari; RS Jiwa Menur; RS Umum Daerah Bhakti Dharma Husada; RS Umum Islam Surabaya Jemursari; RS Muji Rahayu; RS Umum Daerah Husada Prima; RS Al Irsyad Surabaya; RS Ibu dan Anak Pura Raharja; RS Gotong Royong; RS Bhakti Rahayu; RS Islam Darus Syifa; RS Bhayangkara TK II HS. Samsoeri Mertojoso; RS Wiyung Sejahtera; RS Wijaya Surabaya; RS Manyar Medical Centre; RS Surabaya Medical Service; RS Mitra Keluarga Kenjeran; RS Ubaya;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Windu Husada; RS Umum Daerah Sanjiwani Gianyar; RS Umum Ganesha; RS Umum Ari Canti; RS Umum Famili Husada; RS Umum Kasih Ibu Saba; RS Umum Payangan; RS Kenak Medika; RS Umum Daerah Klungkung; RS Umum Permata Hati; RS Umum Bintang; RS Umum Grha Bhakti Medika; RS Umum Daerah Bangli; RS Umum Daerah Karangasem; RS Umum Balimed Karangasem; RS Umum Kertha Usadha; RS umum Karya Dharma Husada; RS Umum Shanti Graha; RS Balimed Buleleng; RS Umum Daerah Wangaya; RS TK. II Udayana; RS Umum Surya Husadha; RS Umum Bali Royal; RS Umum Dharma Yadnya; RS Umum Puri Raharja; RS Umum Bhakti Rahayu; RS Umum Prima Medika; RS BaliMed; RS Bhayangkara Denpasar; RS Umum Surya Husadha; RS 1407013S; RS 17030300003; RS 32110300095; RS 32150300197; RS 32170300071; RS 32180300024; RS 32750300305; RS 32790300017; RS 33160300030; RS 33240300048; RS 33250300027; RS 33750300020; RS 35220300013; RS 35280300023; RS 35730300108; RS 35730300126; RS 51070300015; RS 51080300002; RS 51080300021; RS K1210810; RS K1211037; RS K1211109; RS K1211359; RS K1211524; RS K1216468; RS K1216717; RS K1216828; RS K1217589; RS K1217678; RS K1218046; RS K1218227; RS K1230271; RS K1230383; RS K1230557; RS K1230932; RS K1231071; RS K1231367; RS K1231529; RS K1231618; RS K1232020; RS K1232070; RS K1232425; RS K1232458; RS K1232846; RS K1233490; RS K1234509; RS K1234534; RS K1234784; RS K1234898; RS K1234958; RS K1234976; RS K1235035; RS K1235252; RS K1235929; RS K1236049; RS K1236080; RS K1236487; RS K1236595; RS K1236718; RS K1236856; RS K1237215; RS K1237357; RS K1237398; RS K1237472; RS K1238056; RS K1238132; RS K1238168; RS K1238199; RS K1238392; RS K1238395; RS K1238411; RS K1238492; RS K1238494; RS K1238787; RS K1238824; RS K1239005; RS K1239006; RS K1239091; RS K1239838; RS K1239933; RS K1250030; RS K1250201; RS K1250398; RS K1305001; RS K1306009; RS K1374001; RS K1471002; RS K1471003; RS K1509001; RS K2171001; RS K2171002; RS K2171007; RS K3201004; RS K3204002; RS K3204005; RS K3204006; RS K3204128; RS K3208001; RS K3209001; RS K3209002; RS K3209004; RS K3210024; RS K3212001; RS K3213001; RS K3214002; RS K3214003; RS K3271002; RS K3273001; RS K3273002; RS K3273005; RS K3273007; RS K3273008; RS K3274014; RS K3276002; RS K3276006; RS K329012; RS K3302002; RS K3302003; RS K3304001; RS K3309002; RS K3322001; RS K3322002; RS K3374001; RS K3374002; RS K3507001; RS K3507002; RS K3507078; RS K3518002; RS K3519001; RS K3519002; RS K3522001; RS K3524001; RS K3525001; RS K3526004; RS K3573002; RS K3578007; RS K3578799; RS K5171002; RS K5171004; RS K5171006; RS Umum Rizki Amalia Medika; RS Umum Kharisma Paramedika; RS Umum PKU Muhammadiyah Nanggulan;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Panti Rahayu; RS Bethesda Wonosari; RS Umum Daerah Saptosari; RS Islam Gunungkidul; RS Umum Daerah Sleman; Charitas Hospital Klepu; RS Umum Queen Latifa; RS Umum Condong Catur; RS Umum Panti Rini; RS Umum Panti Nugroho; RS Islam Yayasan PDHI; RS Umum Sakina Idaman; RS Umum Daerah Prambanan; RS Umum Mitra Paramedika; RS Umum Bhayangkara POLDA DIY; RS Umum Mitra Sehat; RS Universitas Ahmad Dahlan; RS Umum Hermina Yogya; RS PKU Muhammadiyah Sleman; RS Tk. III 04.06.03 Dr. Soetarto; RS PKU Muhammadiyah Yogyakarta; RS Paru Respira; RS AMC Muhammadiyah; RS K1236516</x:v>
      </x:c>
      <x:c r="G8" s="8">
        <x:v>125</x:v>
      </x:c>
      <x:c r="H8" s="7" t="str">
        <x:v>RS Umum Daerah Mohammad Natsir; RS Umum Daerah Dr. Achmad Mochtar; RS Otak DR. Drs. M. Hatta Bukittinggi; RS Santa Maria Pekanbaru; RS Umum  Eka Hospital Pekanbaru; RS Umum  Awal Bros Pekanbaru; RS Umum  Awal Bros Panam; RS Awal Bros Dumai; RS Umum Daerah Raden Mattaher Jambi; RS Tk. III 02.06.01  dr. Bratanata; RS Umum Daerah H. Abdul Manap; RS Umum Daerah Dr. M. Yunus Bengkulu; RS Umum Daerah Embung Fatimah Kota Batam; RS Umum Daerah Raja Ahmad Tabib; RS Umum Daerah Cibinong; RS Umum Daerah Ciawi; RS Umum Daerah RH. Satibi; RS Umum Rumah Sehat Terpadu Dompet Dhuafa; RS Universitas Indonesia; RS Eka Hospital; RS Umum Daerah Welas Asih Provinsi Jawa Barat; RS Umum Daerah Oto Iskandar Di Nata; RS Umum Daerah dr. Soekardjo; RS Umum Daerah Banjar; RS Jantung Hasna Medika Kuningan; RS Umum Mitra Plumbon; RS Umum Permata Cirebon; RS Umum Daerah Umar Wirahadikusumah; RS Umum Siloam Purwakarta; RS Umum Daerah Karawang; RS Umum Lira Medika; Sentra Medika Hospital Cikarang; RS Umum Daerah Kab.Bekasi; RS EMC Cikarang; RS EMC Pekayon; RS Eka Bekasi; RS Umum Daerah Kota Bogor; RS Umum Daerah R. Syamsudin, SH; RSAU dr. M. Salamun; RS Umum Immanuel Bandung; RS Umum Santo Borromeus; RS Umum Advent Bandung; RS Umum Al-Islam Bandung; RS Umum Hermina Pasteur; RS Jantung dan Pembuluh Darah Paramarta; RS Daerah Gunung Jati; RS Jantung Hasna Medika; RS Primaya; RS Umum Hermina Bekasi; RS Umum Sentra Medika; RS Umum Bhayangkara Brimob; RS Siloam Heart Hospital; RS Umum Alia Hospital; RS Umum Daerah Cibabat; RS Umum Tasik Medika Citratama (TMC); RS umum Daerah Banyumas; RS Umum Daerah Prof Dr. Margono Soekarjo; RS Umum Daerah Pandan Arang Boyolali; RS Umum Pusat Dr. Soeradji Tirtonegoro; RS Umum Islam Klaten; RS Umum Universitas Sebelas Maret; RS Umum Indriati; RS Umum Daerah RAA Soewondo; RS Umum Daerah dr. Loekmono Hadi; RS Umum Mardi Rahayu; RS Umum Daerah R. A. Kartini; RS Umum Daerah  Dr. H. Soewondo Kendal; RS Umum Daerah Kraton Kab. Pekalongan; RS Umum Daerah Tidar; RS Umum Dr. Oen; RS 3372051; RS PKU Muhammadiyah Surakarta; RS Umum Daerah Kota Salatiga; RS Umum St. Elisabeth Semarang; RS Umum Telogorejo Semarang; RS Umum Sultan Agung Semarang; RS Umum Daerah dr. Adhyatma, MPH; RS Daerah KRMT Wongsonegoro; RS Khusus Bedah Columbia Asia Semarang; RS Umum Nasional Diponegoro; RS Umum Daerah Kardinah; RS Umum Daerah Dr. Harjono S. Kabupaten Ponorogo; RS Umum Daerah Kanjuruhan Kepanjen Kab. Malang; RS Umum Daerah Dr. Soebandi Jember; RS Umum Daerah Blambangan; RS Umum dr. H.Koesnadi Bondowoso; RS Umum Daerah Bangil; RS Umum Daerah R. T. Notopuro Sidoarjo; RS Umum Siti Khodijah Muhammadiyah Cabang Sepanjan; RS Umum Daerah Kab. Jombang; RS Umum Daerah Nganjuk; RS Umum Daerah Dr. R. Sosodoro Djatikoesoemo; RS Umum Daerah Dr. R. Koesma Tuban; RS Umum Muhammadiyah Lamongan; RS Umum Daerah Ibnu Sina Kab. Gresik; RS Umum Daerah dr. Mohammad Zyn Kab. Sampang; RS Umum Daerah Dr. H. Slamet Martodirdjo Pamekasan; RS 3528038; RS Umum Daerah Gambiran; RS Umum Daerah Dr. Saiful Anwar; RS Tk. II Dr. Soepraoen; RS Umum Islam Aisyiyah Malang; RS Umum Daerah Dr. Soedono Madiun; RS Primasatya Husada Citra (PHC) Surabaya; RS Umum Siloam Hospitals Surabaya; RS Umum Daerah Haji Provinsi Jawa Timur; RS Husada Utama Surabaya; RS Umum Daerah dr. Mohamad Soewandhie; RS Universitas Airlangga; RS Umum Royal Surabaya; Mayapada Hospital Surabaya; RS Umum Pusat Surabaya; RS Umum Karsa Husada Kota Batu; RS Umum Siloam Bali; RS Umum Murni Teguh Tuban Bali; RS Umum Daerah Kab. Buleleng; RS Umum Daerah Bali Mandara Provinsi Bali; RS Umum Daerah Wates; RS Umum PKU Muhammadiyah Gamping; RS Akademik Universitas Gadjah Mada; RS Umum Panti Rapih; RS Bethesda Yogyakarta; RSPAU Dr.  Suhardi Harjolukito; RS Umum Daerah Kota Yogyakarta; RS Siloam Yogyakarta</x:v>
      </x:c>
      <x:c r="I8" s="8">
        <x:v>10</x:v>
      </x:c>
      <x:c r="J8" s="7" t="str">
        <x:v>RS Umum Daerah  Arifin Achmad; RS Badan Pengusahaan Batam; RS Umum Awal Bros Batam; RS Umum Hermina Depok; RS Umum Sentra Medika Cibinong; RS Umum Santosa Hospital Bandung Central; RS Primaya Bekasi Barat; RS Jantung dan Pembuluh Darah Tasikmalaya; RS Umum Daerah Dr. Iskak; RSPAL dr. Ramelan</x:v>
      </x:c>
      <x:c r="K8" s="8">
        <x:v>6</x:v>
      </x:c>
      <x:c r="L8" s="7" t="str">
        <x:v>RSUP Dr. M. Djamil; RS Umum Pusat Dr. Hasan Sadikin; RS Umum Pusat Dr. Kariadi; RS Umum Daerah Dr. Soetomo; RSUP Prof. Dr. I.G.N.G. Ngoerah; RSUP Dr. Sardjito</x:v>
      </x:c>
      <x:c r="M8" s="8">
        <x:v>16</x:v>
      </x:c>
      <x:c r="N8" s="7" t="str">
        <x: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x:v>
      </x:c>
    </x:row>
    <x:row r="9">
      <x:c r="A9" s="7" t="str">
        <x:v>JIWA</x:v>
      </x:c>
      <x:c r="B9" s="7" t="str">
        <x:v>Jiwa</x:v>
      </x:c>
      <x:c r="C9" s="8">
        <x:v>4</x:v>
      </x:c>
      <x:c r="D9" s="7" t="str">
        <x:v>Paripurna</x:v>
      </x:c>
      <x:c r="E9" s="8">
        <x:v>767</x:v>
      </x:c>
      <x:c r="F9" s="7" t="str">
        <x:v>RS Umum BKM; RS Umum Daerah Solok Selatan; RS Umum Daerah Lubuk Basung; RS Umum Daerah Tuanku Imam Bonjol; RS Umum Islam Ibnu Sina; RS Umum Daerah Batang Sangir; RS Umum Daerah Sungai Dareh; RS Tk. III Reksodiwiryo Padang; RS Umum Yos Sudarso; RS Umum Islam Ibnu Sina; RS Umum Aisyiyah Padang; RS Umum Bunda Padang; RS Islam Siti Rahmah; RS Umum Naili DBS; RS Umum Hermina Padang; RS Otak DR. Drs. M. Hatta Bukittinggi; RS Islam Ibnu Sina Bukittinggi; RS Umum Daerah Kota Bukittinggi; RS Umum Daerah Teluk Kuantan; RS Umum Daerah  Selasih Riau; RS Umum  Efarina; RS Umum Daerah Tengku Rafi'an Siak Sri Indrapura; RS Umum Daerah Tualang; RS Umum Daerah  Bangkinang; RS Umum  Tandun; RS Umum  Mesra; RS Umum Pelita; RS Nurlima; RS Umum  Awal Bros Ujung Batu; RS Umum Daerah  Bengkalis; RS Umum  Permata Hati; RS Umum Daerah  Dr. RM. Pratomo Bagansiapiapi; RS Umum Awal Bros Bagan Batu; RS Tk. IV Pekanbaru; RS Umum  Syafira; RS Umum  Islam Ibnu Sina; RS Umum  Awal Bros Pekanbaru; RS Murni Teguh Eria; RS Umum  Pekanbaru Medical Center; RS Awal Bros A. Yani; RS Umum  Awal Bros Panam; RS Umum  Universitas Riau; RS Ibu Anak  Budhi Mulia; Aulia Hospital; RS Daerah Madani Kota Pekanbaru; RS Hermina Pekanbaru; RS Umum Daerah  Kota Dumai; RS Umum Daerah Prof. Dr. H.  Chatib Quzwain; RS Umum Daerah Haji Abdoel Madjid Batoe; RS Umum Daerah Nurdin Hamzah; RS Umum Permata Hati; RS Bhayangkara Jambi; RS Umum Santa Theresia; RS Mitra; RS Umum Daerah Kabupaten Rejang Lebong; RS Umum Daerah Mukomuko; RS Umum Daerah Kepahiang; RS Umum Daerah Harapan dan Doa; RS Gading Medika; RS Jiwa Soeprapto Provinsi Bengkulu; RS Bhayangkara Jitra Kota Bengkulu; RS Tiara Sella; RS Umum Daerah Muhammad Sani Kabupaten Karimun; RS Umum Daerah Natuna; RS Umum Santa Elisabeth Batam; RS Umum Santa Elisabeth Batam Kota; RS Umum Soedarsono Darmosoewito; RS Umum Awal Bros Batam; RS Bhayangkara Batam Polda Kepri; RS Santa Elisabeth Sei Lekop; RS Hj. Bunda Halimah Batam; RS Awal Bros Botania; RS Mutiara Aini; RS Paru Dr. M. Goenawan Partowidigdo; RS Umum Bhakti Yudha; RS Umum Daerah Cibinong; RS Umum Daerah Ciawi; RS Umum Tugu Ibu; RS Umum Daerah R. Moh. Noh Nur; RS Umum Hermina Depok; RS Umum Family Medical Center; RS Umum Bunda Margonda; RS Umum Islam Bogor; RS Umum Sentra Medika Cibinong; RS Umum Rumah Sehat Terpadu Dompet Dhuafa; RS Umum Medika Dramaga; RS Umum Hermina Mekarsari; RSU Assalam; RS Ibu dan Anak Sawojajar; RS Universitas Indonesia; RS Eka Hospital; RS Pena 98; RS Islam Aysha; RS Hermina Ciawi; RS Umum Daerah Sekarwangi; RS Umum Hermina Sukabumi; RS Umum Bhakti Medicare; RS Primaya Sukabumi;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Umum TNI AU Lanud Sulaiman; RS Hermina Soreang; RS Oetomo; RS Umum Daerah Pameungpeuk Prov. Jabar; RS 3205035; RS Umum Daerah dr. Soekardjo; RS Umum Daerah KHZ Musthafa Kabupaten Tasikmalaya; RS Umum Islam Hj. Siti Muniroh; RS Umum Jasa Kartini; RS Umum Dadi Keluarga Ciamis; RS Umum Daerah Kawali; RS Umum Wijaya Kusumah; RS Umum Juanda; RS Umum El-Syifa; RS Umum Daerah Linggajati Kuningan; RS Permata Kuningan; RS Pertamina Cirebon; RS Daerah Sidawangi; RS Umum Universitas Muhammadiyah Cirebon; RS Umum Permata Cirebon; Sentra Medika Hospital Gempol; RS Umum Daerah Majalengka; RS Mitra Plumbon Majalengka; RS Umum Daerah Umar Wirahadikusumah; RS Universitas Padjadjaran; RS Umum Daerah M. A. Sentot Patrol; RS Umum MM Indramayu; RS Umum Pertamina Balongan Indramayu; RS Mitra Plumbon Indramayu; RS Islam Zam-Zam Muhammadiyah Jatibarang; RS Mitra Plumbon Patrol; RS Umum Daerah Subang; RS Umum Pamanukan Medical Center (PMC); RS Umum Siloam Purwakarta; RS Umum Asri Purwakarta; RS Umum Amira; RS Umum Daerah Karawang; RS Umum Dewi Sri; RS Umum Citra Sari Husada; RS Umum Izza; RS Umum Daerah Jatisari Kabupaten Karawang; RS Umum Fikri Medika; RS Umum Puri Asih; RS Umum Rosela; RS Umum Amanda Mitra Keluarga; RS Hermina Karawang; RS Primaya Karawang; RS EFARINA ETAHAM KARAWANG; RS Umum Karya Medika; RS Umum Annisa; Siloam Hospitals Lippo Cikarang; Sentra Medika Hospital Cikarang; RS Umum Ananda; RS Umum Daerah Kab.Bekasi; RS Umum St. Elisabeth; RS Umum Karya Medika II; RS Mitra Plumbon Cibitung; RS Umum Hermina Galaxy; RS Umum Anna Medika; RS Umum Harapan Mulia; RS Umum Kartika Husada; RS EMC Cibitung; RS EMC Pekayon; RS Ananda Babelan; RS Hermina Metland Cibitung; RS Umum Daerah Lembang; RS Ibu dan Anak Kartini; RS Umum Cahya Kawaluyan; RS Umum PMI Bogor; RSAU Dr. M. Hassan Toto; RS Umum Azra; RS Umum Melania; RS Umum Vania; RS Umum Mulia Pajajaran; RS Umum Assyifa Sukabumi; RS Umum Kartika Kasih; RS Umum Daerah Al-Mulk; RSU Bhayangkara Tk. II Sartika Asih; RS 3273046; RS Umum Immanuel Bandung; RS Umum Santo Yusup; RS Umum Santo Borromeus; RS Umum Pindad; RS Umum Muhammadiyah; RS Umum Hermina Arcamanik; RS Umum Tk. IV 03.07.03 Sariningsih; RS Paru Dr. H. A. Rotinsulu; RS Umum Daerah Bandung Kiwari; RS Umum Daerah Kota Bandung; RS Umum Al-Islam Bandung; RS Umum Santosa Hospital Bandung Central; RS AMC; RS Ibu dan Anak Harapan Bunda Bandung; RS Umum Santosa Hospital Bandung Kopo; RS Umum Melinda 2; RS Pasundan; RS Umum Tk. III Ciremai; RS Umum Panti Abdi Dharma; RS Umum Pelabuhan Cirebon; RS Umum Sumber Kasih; RS Umum Medimas; RS Umum Sumber Hurip; RS Umum Daerah dr. Chasbullah Abdulmadjid; RS Mekar Sari; RS Siloam Sentosa; RS Umum Masmitra; RS Umum Juwita; RS Umum Taman Harapan Baru; RS Primaya; RS Primaya Bekasi Utara; RS Umum Daerah Jatisampurna; RS Umum Hermina Bekasi; RS Umum Bhakti Kartini; RS Umum Bella; RS Umum Anna; RS Umum Islam dr. Subki Abdulkadir; RS Siloam Bekasi Sepanjang Jaya; RS Ibu dan Anak Selasih Medika; RS Umum Sentra Medika; RS Umum Mitra Keluarga Depok; RS Umum Grha Permata Ibu; RS Umum Hasanah Graha Afiah; RS Umum Permata Depok; RS Umum Citra Arafiq; RS Umum Alia Hospital; RS Umum Daerah Anugerah Sehat Afiat; RS Umum Mitra Anugrah Lestari; RS Umum Avisena; RS Umum Daerah Cibabat; RS Umum Kasih Bunda; RS Umum Baros; RS Umum Tasik Medika Citratama (TMC); RS Umum Prasetya Bunda; RS Umum Permata Bunda; RS Hermina Tasikmalaya; RS Umum Mitra Idaman; RS Umum Banjar Patroman; RS Umum Pertamina Cilacap; RS Umum Islam Fatimah; RS Umum Daerah Majenang; RS Umum PKU Muhammdiyah Aghisna Kroya; RS Umum Raffa Majenang; RS Umum Aghisna Medika Sidareja; RS Priscilla Medical Center; RS Umum Tk. III Wijayakusuma; RS Umum Santa Elisabeth Purwokerto; RS Umum An Ni'mah; RS Umum PKU Muhammadiyah Amanah Sumpiuh; RS Umum Islam Purwokerto; RS Umum Sinar Kasih; RS Umum Daerah Ajibarang; RS Umum Wiradadi Husada; RS Umum Siaga Medika Banyumas; RS Umum Dadi Keluarga; RS Hermina Purwokerto; RS Umum Nirmala; RS Umum Harapan Ibu; RS Ibu dan Anak Ummu Hani; RS Islam At-Tin Husada Purbalingga; RS Umum Daerah Hj. Anna Lasmanah Banjarnegara; RS Umum Emmanuel; RS Umum Islam Banjarnegara; RS Umum Permata Medika Kebumen; RS Umum Palang Biru Gombong; RS Umum Wijayakusuma; RS Umum Purbowangi; RS Umum PKU Muhammadiyah Sruweng; RS Umum PKU Muhammadiyah Petanahan Kebumen; RS Umum  Aisyiyah; RS Umum Panti Waluyo Yakkum Purworejo; RS Umum Islam Purworejo; RS Umum Budi Sehat Purworejo; RS Amanah Umat Purworejo; RS Umum Daerah R.A.A Tjokronegoro; RS Umum Islam Wonosobo; RS Umum  PKU Muhammadiyah Wonosobo; RS Umum Daerah Muntilan Kab. Magelang; RS Umum Aisyiyah Muntilan; RS Umum PKU Aisyiyah Boyolali; RS Umum  Karanggede Sisma Medika; RS Umum Asy-Syifa Sambi; RS Umum Islam Banyubening Boyolali; RS Umum Natalia; RS Indriati Boyolali; RS Umum Islam Boyolali; RS Umum PKU dr. Soemowidagdo Boyolali; RS Umum Diponegoro Dua Satu Klaten; RS Umum Islam Cawas Klaten; RS Umum PKU Muhammadiyah Jatinom; RS Umum Mitra Pedan; RS Umum Daerah Bagas Waras; RS PKU Muhammadiyah Prambanan; RS Umum Dr. Oen Solo Baru; RS Umum PKU Muhammadiyah Sukoharjo; RS PKU Muhammadiyah Kartasura; RS Islam Surakarta YARSIS; RS Umum Maguan Husada; RS Umum Muhammadiyah Selogiri; RS Hermina Wonogiri; RS Umum Mulia Hati Wonogiri; RS Umum Astrini; RS Umum Daerah Kartini Karanganyar; RSAU dr. Siswanto Lanud Adi Soemarmo; RS PKU Muhammadiyah Karanganyar; RS Umum Jati Husada Karanganyar; RS Mangesti Rahayu; RS Umum Mardi Lestari Sragen; RS Umum Sarila Husada; RS Umum Islam Amal Sehat Sragen; RS Umum Assalam; RS Umum Daerah dr. Soeratno Gemolong; RS Umum Islam Yakssi Gemolong; RS Umum Rizky Amalia; RS Umum Daerah Dr. R.Soedjati Soemodiardjo; RS Umum Panti Rahayu; RS Umum PKU Muhammadiyah Gubug; RS Umum Islam Purwodadi; RS Umum Trimedika Ketapang; RS Umum Daerah Dr. R. Soetijono Blora; RS Umum Daerah Dr. R. Soeprapto Cepu; RS Umum Permata Blora; RS Umum Islam Arafah; RS Bhina Bhakti Husada; RS Umum Islam Pati; RS Umum Mitra Bangsa Pati; RS Umum Daerah Kayen Pati; RS Umum Keluarga Sehat; RS Umum  Budi Agung Pati; RS Umum Fastabiq Sehat PKU Muhammadiyah Pati; RS Umum Sebening Kasih; RS Umum As-Suyuthiyyah; RS Keluarga Sehat Tayu; RS Umum Mardi Rahayu;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Kusuma Ungaran; RS Umum Ngesti Waluyo; RS Umum Gunung Sawo Kab. Temanggung; RS Umum Islam Kendal; RS Umum Muhammadiyah Darul Istiqomah Kendal; RS PKU Muhammadiyah Boja; RS Umum Qim; RS Umum Daerah Limpung; RS Islam PKU Muhammadiyah Pekajangan; RS Umum Daerah Kajen Kab. Pekalongan; RS Umum Daerah Dr. M. Ashari Pemalang; RS Muhammadiyah Rodliyah Achid; RS Umum Siaga Medika Pemalang; RS Umum Prima Medika; RS Umum Muhammadiyah Mardhatillah; RS Harapan Sehat Pemalang; RS Umum Daerah dr. Soeselo Slawi Kabupaten Tegal; RS Umum Daerah Suradadi; RSI PKU Muhammadiyah Tegal; RS Umum Dedy Jaya; RS Umum Bhakti Asih Brebes; RS Umum Allam Medica Bumiayu; RS Harapan Sehat Jatibarang; RS Umum Tk. II Dr. Soedjono; RS Umum Lestari Raharja; RS Umum Harapan; RS Umum Islam Magelang; RS Umum Tk III Slamet Riyadi Surakarta; RS Umum Brayat Minulya; RS Orthopedi Prof. Dr. R. Soeharso; RS Umum Panti Waluyo; RS Umum Islam Kustati; RS Umum Daerah Ibu Fatmawati Soekarno; RS Umum Hermina Solo; RS PKU Muhammadiyah Sampangan Surakarta; RS Umum Daerah Bung Karno Kota Surakarta; RS Bhayangkara Surakarta; RS Umum Tk. IV 04.07.03 dr. Asmir; RS Paru Dr. Ario Wirawan; RS Umum Puri Asih; RS Islam Tunas Harapan; RS Umum St. Elisabeth Semarang; RS Umum William Booth; RS 3374035; RS Umum Permata Medika; RS Roemani Muhammadiyah Semarang; RS Umum Bhayangkara Semarang; RS Umum Bhayangkara Akpol Semarang; RS Umum Banyumanik; RS Umum Hermina Banyumanik Semarang; RS Khusus Bedah Columbia Asia Semarang; RS Umum Banyumanik 2; RS Primaya Kota Semarang; RS Keluarga Sehat III Semarang; RS Unimus; RS Samsoe Hidajat; RS Umum Daerah Mijen; RS Umum Budi Rahayu; RS Umum H. A. Zaky Djunaid; RS Umum Hermina Pekalongan; RS Umum  Mitra Siaga; RS Umum Tk. IV Tegal; RS Umum Islam Harapan Anda; RS Umum Aisyiyah Ponorogo; RS Umum Darmayu Ponorogo; RS Umum Muhammadiyah Ponorogo; RS Umum Islam Orpeha; RS Umum Era Medika; RS Umum Bhayangkara Tulungagung; RS Umum Satiti Prima Husada; RS Umum Islam  Madinah; RS Umum Muhammadiyah Bandung; RS Putra Waspada Tulungagung; RS Ibu dan Anak Amanda; RS Ibu dan Anak Trisna Medika; RS Umum Prima Medika; RS Umum Wava Husada Kesamben; RS Umum An-Nisaa; RS Toeloengredjo; RS Umum Arga Husada; RS Muhammadiyah Siti Khodijah; RS Umum  Aura Syifa; RS Umum Daerah Simpang Lima Gumul Kediri; RS Umum Daerah Kanjuruhan Kepanjen Kab. Malang; RS Marsudi Waluyo; RS Umum Wava Husada; RS Mitra Delima; RS Prasetya Husada; RS Siti Miriam; RS Prima Husada; RS Ben Mari; RS Umum Pindad; RS Umum Wajak Husada; RS Wijaya Kusuma Lumajang; RS Bhayangkara Lumajang; RS Umum Djatiroto; RS Umum Daerah Pasirian Kabupaten Lumajang; RS Perkebunan PTPN X (Persero) Jember; RS Tk. III Baladhika Husada Jember; RS Daerah Kalisat Jember; RS Daerah Balung Jember; RS Bina Sehat Jember; RS Kaliwates Jember; RS Siloam Jember; RS Umum Universitas Muhammadiyah Jember; RS Umum Bhakti Husada; RS Umum Daerah Genteng; RS Al Huda; RS Umum Bakti Mulia Banyuwangi; RS Graha Medika; RS Umum Rahayu Medika; RS Bhayangkara Bondowoso; RS Elizabeth; RS Umum Daerah Asembagus Kabupaten Situbondo; RS Umum  Wonolangan; RS Umum Daerah Tongas; RS Islam Masyithoh Bangil; RS Umum Bhayangkara Pusdik Brimob; RS Mitra Sehat Medika; RS Umum Daerah Grati; RS Prima Husada; RS Bhayangkara TK.III Pusdik Sabhara Porong; RS Umum Delta Surya; RS Islam Siti Hajar Sidoarjo; RS Umum Al-Islam H. M. Mawardi; RS Umum Assakinah Medika; RS Umum Citra Medika; RS Umum Aisyiyah Siti Fatimah; RS Arafah Anwar Medika Sukodono; RS Umum Aminah; RS Pusura Candi; RS Umum Daerah Sidoarjo Barat; RS Umum Daerah Sumberglagah; RS Sido Waras; RS Mutiara Hati Mojokerto; RS Umum Kartini; RS Islam Sakinah; RS Umum Daerah Raden Achmad Basoeni; RS Mawaddah Medika; RS Kristen Mojowarno; RS Ibu dan Anak Muslimat Jombang; RS Umum Daerah Ploso; RS Umum Nadhlatul Ulama Jombang; RS Umum Pelengkap Medical Center; RS Umum PKU Muhammadiyah Mojoagung; RS Umum Bhayangkara Tk. III Nganjuk; RS Umum Daerah Dungus; RS Umum Daerah Dolopo; RS Angkatan Udara dr. Efram Harsana; RS Umum Widodo; RS Umum At-Tin Husada; RS Umum Daerah Geneng; Rumah Sakit Aisyiyah Bojonegoro; RSI Muhammadiyah Sumberrejo; RS Umum Daerah Dr. R. Koesma Tuban; RS Medika Mulia Tuban; RS Umum Daerah Dr. Soegiri Lamongan; RS Umum dr. Suyudi; RS Muhammadiyah Babat; RS Umum Muhammadiyah Babat; RS Umum Daerah Karangkembang; RS Nahdlatul Ulama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Nindhita; RS Qona'ah; RS Umum Daerah Dr. H. Slamet Martodirdjo Pamekasan; RS Umum Daerah dr. H. Moh. Anwar; RS Islam Garam Kalianget; Rumah Sakit Baghraf Health Care; RS Umum Daerah Gambiran;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Lavalette Malang; RS Umum Islam Aisyiyah Malang; RS Islam Unisma Malang; RS Umum Hermina Tangkubanprahu; RS Umum Permata Bunda; RS Ibu dan Anak Galeri Candra Malang; RS Universitas Brawijaya; RS Umum Daerah dr. Mohamad Saleh Kota Probolinggo; RS Umum Daerah Dr. R. Soedarsono Kota Pasuruan; RSUD dr. Wahidin Sudiro Husodo Kota Mojokerto; RS Gatoel; RS Reksa Waluya; RS Islam Hasanah Muhammadiyah; RS Kamar Medika; RS Emma; RS Umum Islam Siti Aisyah; RS Umum Daerah Kota Madiun; RS Umum Griya Husada Madiun; RS Umum Darmayu Madiun; RS Hermina Madiun; RS Primasatya Husada Citra (PHC) Surabaya; RS Islam Surabaya; RS Umum Tk. III Brawijaya; RS Umum Daerah Bhakti Dharma Husada; RS Umum Daerah Husada Prima; RS Umum Siloam Hospitals Surabaya; RS Umum Daerah Haji Provinsi Jawa Timur; RS Umum Daerah dr. Mohamad Soewandhie; RS Ibu dan Anak Pura Raharja; RS Gotong Royong; RS Bhakti Rahayu; RS Bhayangkara TK II HS. Samsoeri Mertojoso; RS Wiyung Sejahtera; RS Wijaya Surabaya; RS Umum Royal Surabaya; RS Ubaya; RS Umum Daerah Eka Candrarini; RS Umum dr. Etty Asharto Batu; RS Umum Karsa Husada Kota Batu; RS Baptis Batu; RS Umum Bunda; RS Umum Daerah Tabanan; RS Umum Dharma Kerti; RS Umum Bhakti Rahayu Tabanan; RS Umum Kasih Ibu Tabanan; RS Umum Semara Ratih; RS Ibu dan Anak Puri Bunda Tabanan; RS Daerah Mangusada; RS Umum Kasih Ibu Kedonganan; RS Umum Surya Husadha Nusa Dua; RS Bali Jimbaran; RS Universitas Udayana; RS Umum Murni Teguh Tuban Bali; RS Windu Husada; RS Umum Ganesha; RS Umum Ari Canti; RS Umum Famili Husada; RS Umum Daerah Klungkung; RS Umum Permata Hati; RS Umum Bintang; RS Umum Grha Bhakti Medika; RS Umum Daerah Bangli; RS Umum Bangli Medika Canti; RS umum Karya Dharma Husada; RS Umum Parama Sidhi; RS Umum Shanti Graha; RS Ibu dan Anak Puri Bunda Singaraja; RS Umum Daerah Wangaya; RS TK. II Udayana; RS Umum Surya Husadha; RS Umum Bali Royal; RS Umum Dharma Yadnya; RS Umum Puri Raharja; RS Umum Bhakti Rahayu; RS Umum Prima Medika; RS BaliMed; RS Bhayangkara Denpasar; RS Umum Surya Husadha; RS 1407013S; RS 17030300003; RS 32090300077; RS 32170300071; RS 32180300024; RS 33160300030; RS 35730300108; RS 35730300126; RS 35780300103; RS 51070300015; RS 51080300002; RS 51080300021; RS K1210810; RS K1211037; RS K1211109; RS K1211359; RS K1211524; RS K1216717; RS K1217678; RS K1230417; RS K1230557; RS K1230932; RS K1231529; RS K1231618; RS K1232020; RS K1232425; RS K1232458; RS K1232846; RS K1234757; RS K1234784; RS K1235035; RS K1235929; RS K1236049; RS K1236595; RS K1236718; RS K1237357; RS K1237472; RS K1237986; RS K1238056; RS K1238199; RS K1238411; RS K1238492; RS K1238494; RS K1238824; RS K1238862; RS K1239091; RS K1239241; RS K1239933; RS K1250027; RS K1250201; RS K1250398; RS K1305001; RS K1306009; RS K1471002; RS K1471003; RS K3201004; RS K3204002; RS K3204006; RS K3208002; RS K3211002; RS K3212001; RS K3213001; RS K3214003; RS K3271002; RS K3273001; RS K3273002; RS K3273005; RS K3273007; RS K3273008; RS K3273126; RS K3276006; RS K3276120; RS K3302002; RS K3302003; RS K3303003; RS K3304001; RS K3322002; RS K3324079; RS K3374001; RS K3507001; RS K3507002; RS K3522001; RS K5171004; RS K5171006; RS Umum Rizki Amalia Medika; RS Umum Kharisma Paramedika; RS Umum Rizki Amalia; RS Umum Daerah Nyi Ageng Serang; RS Umum Queen Latifa; RS Umum Daerah Panembahan Senopati; RS Umum Santa Elisabeth; RS Umum Nur Hidayah; RS Umum Rachma Husada; RS 3402077; RS Universitas Islam Indonesia; RS Rajawali Citra; RS Umum Daerah Saras Adyatma; RS Umum Daerah Wonosari; RS Umum Nur Rohmah; RS Umum Panti Rahayu; RS Umum PKU Muhammadiyah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Tk. III 04.06.03 Dr. Soetarto; RS PKU Muhammadiyah Yogyakarta; RS Bethesda Yogyakarta; RS Bethesda Lempuyangwangi; RS Gigi dan Mulut UGM Prof. Soedomo; RS Happy Land Medical Centre; RS Pratama Kota Yogyakarta; RS Siloam Yogyakarta; RS AMC Muhammadiyah</x:v>
      </x:c>
      <x:c r="G9" s="8">
        <x:v>137</x:v>
      </x:c>
      <x:c r="H9" s="7" t="str">
        <x:v>RS Umum Daerah Dr. Muhammad Zein Painan; RS Umum Daerah Ahmad Syafi'I Ma'arif; RS Umum Daerah Prof H Muhammad Yamin, SH; RS Jiwa Prof. Dr. Hasan Basri Saanin Datuk Tan Par; RS. Universitas Andalas; RS Umum Daerah Mohammad Natsir; RS Umum Daerah Dr. Achmad Mochtar; RS Umum Daerah  Puri Husada Tembilahan; RS Umum Daerah  Kec.Mandau; RS Santa Maria Pekanbaru; RS Umum  Prima Pekanbaru; RS Awal Bros Dumai; RS Umum Budi Kemuliaan Batam; RS Badan Pengusahaan Batam; RS Umum Daerah Embung Fatimah Kota Batam; RS Umum Daerah Raja Ahmad Tabib; RS Umum Daerah RH. Satibi; RS Umum Daerah Sayang; RS Umum Daerah Welas Asih Provinsi Jawa Barat; Rumah Sakit TK.IV 03.07.04 Guntur; RS Umum Daerah Banjar; RS Umum Daerah Waled; RS Umum Daerah Arjawinangun; RS Umum Mitra Plumbon; RS Umum Sumber Waras; RS Umum Daerah Kab. Indramayu; RS Umum Lira Medika; RS Umum Hermina Grand Wisata; RS Umum Daerah Kota Bogor; RS Umum Hermina Bogor; RS Umum Daerah R. Syamsudin, SH; RSAU dr. M. Salamun; RS Umum Advent Bandung; RS Umum Hermina Pasteur; RS Daerah Gunung Jati; RS Primaya Bekasi Barat; RS Umum Bhayangkara Brimob; RS Umum Daerah Khidmat Sehat Afiat Kota Depok; RS Umum Daerah Cilacap; RS umum Daerah Banyumas; RS Umum Daerah Prof Dr. Margono Soekarjo; RS Umum Daerah dr. R. Goeteng Taroenadibrata; RS Umum Siaga Medika Purbalingga; RS Umum Daerah dr. Soedirman Kabupaten Kebumen; RS Umum PKU Muhamadiyah Gombong; RS Umum Daerah Prembun; RS Umum Daerah Dr. Tjitrowardojo Purworejo; RS Umum Setjonegoro Wonosobo; RS Umum Daerah Merah Putih; RS Umum Daerah Pandan Arang Boyolali; RS Umum Daerah Waras Wiris; RS Umum Daerah Simo; RS Umum Hidayah Boyolali; RS Umum Pusat Dr. Soeradji Tirtonegoro; RS Umum Islam Klaten; RS Umum Cakra Husada; RS Umum Daerah Ir. Soekarno Kabupaten Sukoharjo; RS Umum Nirmala Suri; RS Umum Universitas Sebelas Maret; RS Umum Indriati; RS Umum Daerah Dr. Soediran Mangun Sumarso Wonogi; RS Umum Daerah dr. Soehadi Prijonegoro; RS Umum Daerah dr. R. Soetrasno Rembang; RS Umum Daerah RAA Soewondo; RS Umum Daerah dr. Loekmono Hadi; RS Umum Daerah R. A. Kartini; RS Umum Daerah Kabupaten Temanggung; RS PKU Muhammadiyah Temanggung; RS Umum Daerah  Dr. H. Soewondo Kendal; RS Umum Daerah Kraton Kab. Pekalongan; RS Umum Daerah Brebes; RS Umum Dr. Oen; RS 3372051; RS PKU Muhammadiyah Surakarta; RS Umum Kasih Ibu; RS Umum Triharsi; RS Umum Daerah Kota Salatiga; RS Umum Pusat Dr. Kariadi; RS Umum Telogorejo Semarang; RS Umum Sultan Agung Semarang; RS Umum Panti Wilasa Citarum; RS Umum Daerah dr. Adhyatma, MPH; RS Umum Hermina Pandanaran; RS Panti Wilasa "Dr. Cipto" Semarang; RS Daerah KRMT Wongsonegoro; RS Umum Nasional Diponegoro; RS Umum Daerah Kardinah; RS Umum Daerah  dr. Darsono; RS Umum Daerah Dr. Harjono S. Kabupaten Ponorogo; RS Umum Daerah dr. Soedomo Trenggalek; RS Umum Daerah Dr. Iskak; RS Umum Daerah Ngudi Waluyo Wlingi; RS Umum Daerah Kabupaten Kediri; RS Umum Daerah Dr. Haryoto Kabupaten Lumajang; RS Umum Daerah Dr. Soebandi Jember; RS Umum Daerah Blambangan; RS Umum dr. H.Koesnadi Bondowoso; RS Umum Daerah dr. Abdoer Rahem Situbondo; RS Umum Daerah Waluyo Jati Kraksaan; RS Rizani; RS Umum Daerah Bangil; RS Umum Daerah R. T. Notopuro Sidoarjo; RS Umum Siti Khodijah Muhammadiyah Cabang Sepanjan; RS Umum Anwar Medika; RS Umum Daerah Prof. Dr. Soekandar; RS Umum Daerah Kab. Jombang; RS Umum Daerah Nganjuk; RS Umum Daerah Caruban; RS Umum Daerah dr. Sayidiman Magetan; RS Umum Daerah Dr. Soeroto Ngawi; RS Umum Daerah Dr. R. Sosodoro Djatikoesoemo; RS umum Daerah Padangan; RS Bhayangkara Wahyu Tutuko Bojonegoro; RS Nahdlatul Ulama Tuban; RS Umum Muhammadiyah Lamongan; RS Umum Daerah dr. Mohammad Zyn Kab. Sampang; RS 3528038; RS Umum Daerah Dr. Saiful Anwar; RS Tk. II Dr. Soepraoen; RS Umum BRI Medika Malang; RS Umum Daerah Dr. Soedono Madiun; RS Husada Utama Surabaya; RS Universitas Airlangga; RS Bhayangkara Hasta Brata Batu; RS Umum Negara; RS Umum Siloam Bali; RS Umum Daerah Sanjiwani Gianyar; RS Umum Daerah Kab. Buleleng; RSUP Prof. Dr. I.G.N.G. Ngoerah; RS Umum Daerah Bali Mandara Provinsi Bali; RS Umum Daerah Wates; RSU PKU Muhammadiyah Bantul; RS Jiwa Grhasia; RS Islam Yayasan PDHI; RS Umum Panti Rapih; RSPAU Dr.  Suhardi Harjolukito; RS Umum Daerah Kota Yogyakarta</x:v>
      </x:c>
      <x:c r="I9" s="8">
        <x:v>10</x:v>
      </x:c>
      <x:c r="J9" s="7" t="str">
        <x:v>RSUP Dr. M. Djamil; RS Jiwa Tampan; RS Jiwa Daerah Provinsi Jambi; RS Umum Ummi; RS Jiwa Provinsi Jawa Barat; RS Umum Pusat Dr. Hasan Sadikin; RS Jiwa Daerah  Dr. Amino Gondohutomo; RSPAL dr. Ramelan; RS Jiwa Manah Shanti Mahottama; RSUP Dr. Sardjito</x:v>
      </x:c>
      <x:c r="K9" s="8">
        <x:v>8</x:v>
      </x:c>
      <x:c r="L9" s="7" t="str">
        <x: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x:v>
      </x:c>
      <x:c r="M9" s="8">
        <x:v>8</x:v>
      </x:c>
      <x:c r="N9" s="7" t="str">
        <x: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x:v>
      </x:c>
    </x:row>
    <x:row r="10">
      <x:c r="A10" s="7" t="str">
        <x:v>KERACUNAN</x:v>
      </x:c>
      <x:c r="B10" s="7" t="str">
        <x:v>Keracunan</x:v>
      </x:c>
      <x:c r="C10" s="8">
        <x:v>4</x:v>
      </x:c>
      <x:c r="D10" s="7" t="str">
        <x:v>Paripurna</x:v>
      </x:c>
      <x:c r="E10" s="8">
        <x:v>634</x:v>
      </x:c>
      <x:c r="F10" s="7" t="str">
        <x:v>RS Umum BKM; RS Umum Daerah Solok Selatan; RS Umum Daerah Ahmad Syafi'I Ma'arif; RS Umum Daerah dr. Achmad Darwis; RS Umum Daerah Lubuk Basung; RS Umum Daerah Tuanku Imam Bonjol; RS Umum Islam Ibnu Sina; RS Umum Daerah Sungai Rumbai; RS Tk. III Reksodiwiryo Padang; RS Umum Yos Sudarso; RS Umum Aisyiyah Padang; RS Umum Semen Padang Hospital; RS Umum Daerah dr. Rasidin Padang; RS Umum Bunda Padang; RS Islam Siti Rahmah; RS Umum Naili DBS;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Daerah  Selasih Riau; RS Umum  Medicare Sorek; RS Umum  Amalia Medika; RS Umum  Tandun; RS Umum  Mesra; RS Umum Pelita; RS Umum  Surya Insani; RS Umum Daerah  Kec.Mandau; RS Umum Mutiasari; RS Umum  Thursina; RS Umum  Permata Hati; RS Umum Daerah  Dr. RM. Pratomo Bagansiapiapi; RS Umum Daerah  Kabupaten Kepulauan Meranti; RS Bhayangkara Tk. III Kota Pekanbaru; RS Umum  Syafira; RS Umum Daerah  Petala Bumi; RS Prof. Dr. Tabrani; RS Murni Teguh Eria; RS Umum  Pekanbaru Medical Center; RS Ibu dan Anak  Zainab; RS Umum  Universitas Riau; Aulia Hospital; RS Daerah Madani Kota Pekanbaru; RS Hermina Pekanbaru; Naray Hospital; RS Raudhah;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Umum Daerah H. Abdul Manap; RS Islam Arafah; RS Umum Kambang;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Umum Daerah Dr. M. Yunus Bengkulu; RS Bhayangkara Jitra Kota Bengkulu; RS Jiwa dan Ketergantungan Obat Engku Haji Daud; RS Umum Daerah Natuna; RS Umum Harapan Bunda Batam; RS Umum Camatha Sahidya; RS Bhayangkara Batam Polda Kepri; RS Paru Dr. M. Goenawan Partowidigdo; RS Umum Bhakti Yudha; RS Umum Tugu Ibu; RS Umum Hermina Depok; RS Umum Family Medical Center; RS Umum Mary Cileungsi Hijau; RS Umum Meilia; RS Umum Bunda Margonda; RS dr. Abdul Radjak Cileungsi; RS Umum Islam Bogor; RS Umum Citama; RS Umum Rumah Sehat Terpadu Dompet Dhuafa; RS Umum Medika Dramaga; RS Umum Hermina Mekarsari; RS Umum Ummi; RS Umum Permata Jonggol; RS Helsa Citeureup; RS Islam Aysha; RS Paragon; RS Umum Daerah Palabuhanratu; RS Umum Daerah Jampang Kulon; RS Umum Hermina Sukabumi; RS Umum Betha Medika; RS Umum Bhakti Medicare; RS Primaya Sukabumi; RS Umum Daerah Sayang; RS Umum Daerah Cimacan; RS Umum Daerah Pagelaran; RS Umum Kebonjati; RS Umum Mitra Kasih; RS Umum Daerah Cicalengka; RS Umum Daerah Kesehatan Kerja; RS Umum Karya Pangalengan Bhakti Sehat; RS Oetomo; RS Umum Daerah Bedas Cimaung; RS Umum Daerah Bedas Kertasari; RS Umum Daerah dr. Slamet Garut; RS Umum Daerah Pameungpeuk Prov. Jabar; RS Umum Daerah dr. Soekardjo; RS Umum Daerah KHZ Musthafa Kabupaten Tasikmalaya; RS Umum Jasa Kartini; RS Umum Dadi Keluarga Ciamis; RS Umum Daerah Kawali; RS Umum Daerah 45 Kuningan; RS Umum Wijaya Kusumah; RS Umum Sekar Kamulyan; RS Umum El-Syifa; RS Umum Daerah Linggajati Kuningan; RS Mitra Husada; RS Pradipa Medika; RS Umum Daerah Waled; RS Pertamina Cirebon; RS Daerah Sidawangi; RS Umum Universitas Muhammadiyah Cirebon; RS Pasar Minggu Cirebon; Sentra Medika Hospital Gempol; RS Umum Daerah Majalengka; RS Umum Daerah Umar Wirahadikusumah; RS Umum Pakuwon; RS Universitas Padjadjaran; RS Cimalaka; RS Umum Daerah Kab. Indramayu; RS Umum Daerah M. A. Sentot Patrol; RS Umum Bhayangkara Indramayu; RS Umum Daerah Mursid Ibnu Syafiuddin; RS Sentra Medika Langut; RS Umum PTPN VIII; RS Umum Mutiara Hati; RS Umum Pamanukan Medical Center (PMC); RS Indosehat 2003; RS Umum dr. Abdul Radjak Purwakarta; RS Umum Asri Purwakarta; RS Umum Rama Hadi; RS Umum Amira; RS Umum Holistic Purwakarta; RS Umum Bhakti Husada II Purwakarta; RS Umum Islam Karawang; RS Umum Delima Asih Sisma Medika; RS Umum Izza; RS Umum Mandaya; RS Umum Daerah Jatisari Kabupaten Karawang; RS Umum Fikri Medika; RS Umum Sentral Medika; RS Umum Amanda Mitra Keluarga; RS Hastien; RS Umum Annisa; RS Umum St. Elisabeth; RS Umum Hermina Grand Wisata; RS Amanda Cikarang Selatan; RS Uni Medika Setu Bekasi; RS Umum Anna Medika; RS Umum Harapan Mulia; RS Umum Cikarang Medika; RS Umum Kartika Husada Setu; RS Umum Permata Keluarga Lippo Cikarang; RS Umum Medirossa 2; RS Umum Kartika Husada; RS Umum Daerah Cabangbungin; RS Umum Permata Keluarga Jababeka; RS Ananda Babelan; RS Eka Bekasi; RS Umum Daerah Lembang; RS Ibu dan Anak Kartini; RS Umum Cahya Kawaluyan; RS Umum Daerah Pandega Pangandaran; RSAU Dr. M. Hassan Toto; RS Jiwa dr. H. Marzoeki Mahdi; RS Umum Azra; RS Umum Melania; RS Umum Vania; RS Umum Mulia Pajajaran; RS Graha Medika Bogor; RS Umum Santo Yusup; RS Umum Pindad; RS Ibu dan Anak Al Islam; RS Pasundan; RS Umum Tk. III Ciremai; RS Umum Pelabuhan Cirebon; RS Umum Putera Bahagia; RS Umum Medimas; RS Mekar Sari; RS Umum Taman Harapan Baru; RS Helsa; RS Umum Permata Bekasi; RS Ibu dan Anak Asyifa Depok; RS Umum Citra Medika Depok; RS Umum Citra Arafiq Sawangan; RS Umum Daerah Anugerah Sehat Afiat; RS Umum Mitra Anugrah Lestari; RS Umum Banjar Patroman; RS Umum Islam Fatimah; RS Umum Duta Mulya; RS Umum Santa Maria Cilacap; RS Umum Raffa Majenang; RS Umum Aghisna Medika Sidareja; RS Priscilla Medical Center; RS Umum Santa Elisabeth Purwokerto; RS Umum An Ni'mah; RS Umum Islam Purwokerto; RS Umum Hidayah Purwokerto; RS Umum Ananda Purwokerto; RS Umum Daerah Ajibarang; RS Umum Siaga Medika Banyumas; RS Umum Dadi Keluarga; RS Hermina Purwokerto; RS Umum Nirmala; RS Umum PKU Muhammadiyah Purbalingga; RS Umum Permata Medika Kebumen; RS Umum Palang Biru Gombong; RS Umum Purbowangi; RS Umum PKU Muhammadiyah Sruweng; RS Umum Purwogondo; RS Umum PKU Muhammadiyah Kutowinangun; RS Umum Daerah Prembun; RS Umum Panti Waluyo Yakkum Purworejo; RS Umum Palang Biru Kutoarjo; RS Umum Budi Sehat Purworejo; RS Umum Islam Wonosobo; RS Umum  PKU Muhammadiyah Wonosobo; RS Umum Daerah Muntilan Kab. Magelang; RS Umum Aisyiyah Muntilan; RS Umum Syubbanul Wathon; RS Umum PKU Aisyiyah Boyolali; RS Umum Umi Barokah; RS Umum  Karanggede Sisma Medika; RS Umum Daerah Simo; RS Umum Asy-Syifa Sambi; RS Umum Hidayah Boyolali; RS Umum Islam Banyubening Boyolali; RS Umum Islam Boyolali; RS Umum PKU dr. Soemowidagdo Boyolali; RS Jiwa Daerah Dr. RM. Soedjarwadi; RS Umum 'Aisyiyah Klaten; RS Umum Islam Klaten; RS Umum Cakra Husada; RS Umum PKU Muhammadiyah Delanggu; RS Umum Islam Cawas Klaten; RS Umum PKU Muhammadiyah Jatinom; RS Umum Mitra Pedan; RS PKU Muhammadiyah Prambanan; RS Umum PKU Muhammadiyah Sukoharjo; RS Umum Daerah Dr. Soediran Mangun Sumarso Wonogi; RS Umum Maguan Husada; RS Umum Muhammadiyah Selogiri; RS Hermina Wonogiri; RS Umum  Amal Sehat; RS Fitri Candra; RS Umum Mulia Hati Wonogiri; RS Umum Astrini; RS Umum Daerah Kartini Karanganyar; RSAU dr. Siswanto Lanud Adi Soemarmo; RS PKU Muhammadiyah Karanganyar; RS Umum Jati Husada Karanganyar; RS Umum Jafar Medika Karanganyar; RS Umum Daerah dr. Soehadi Prijonegoro; RS Umum Sarila Husada; RS Umum Islam Amal Sehat Sragen; RS Umum Assalam; RS Umum Daerah dr. Soeratno Gemolong; RS Umum Islam Yakssi Gemolong; RS Umum Daerah Sukowati Tangen; RS Umum Panti Rahayu; RS Permata Bunda; RS Umum PKU Muhammadiyah Gubug; RS Umum Islam Purwodadi; RS Umum Daerah Ki Ageng Selo; RS Umum Trimedika Ketapang; RS Umum Daerah Dr. R. Soeprapto Cepu; RS Umum Permata Blora; RS Umum PKU Muhammadiyah Cepu; RS Ibu dan Anak NU Cakra Medika; RS Umum Daerah Samin Surosentiko Randublatung; RS Bhayangkara Blora; RS Umum Daerah dr. R. Soetrasno Rembang; RS Umum Islam Arafah; RS Bhina Bhakti Husada; RS PKU Muhammadiyah Pamotan; RS Umum Islam Pati; RS Umum Mitra Bangsa Pati; RS Umum Daerah Kayen Pati; RS Umum  Budi Agung Pati; RS Umum Sebening Kasih; RS Umum As-Suyuthiyyah; RS Keluarga Sehat Tayu; RS Umum Kumala Siwimijen Kudus; RS Umum  Nurussyifa;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Bina Kasih; At-Tin Hospital; RS Umum Muhammadiyah Darul Istiqomah Kendal; RS Umum Charlie Hospital; RS PKU Aisyiyah Kendal; RS PKU Muhammadiyah Boja; RS Umum Daerah Batang; RS Umum Qim; RS Umum Daerah Limpung; RS Islam PKU Muhammadiyah Pekajangan; RS Umum Daerah Kajen Kab. Pekalongan; RS Umum Santa Maria Pemalang; RS Muhammadiyah Rodliyah Achid; RS Umum Islam Al-Ikhlas; RS Umum Prima Medika; RS Umum Muhammadiyah Mardhatillah; RS Harapan Sehat Pemalang; RS Umum Daerah Suradadi; RSI PKU Muhammadiyah Tegal; RS Umum Adella; RS Harapan Sehat Slawi; RS Mitra Siaga Tarub; RS Umum Muhammadiyah Siti Aminah; RS Umum Dedy Jaya; RS Umum Dera As-Syifa; RS Umum Daerah Bumiayu; RS Umum Islami Mutiara Bunda; RS Umum Allam Medica Bumiayu; RS Umum Amanah Mahmudah; RS Harapan Sehat Jatibarang; RS Umum Lestari Raharja; RS Umum Harapan; RS Umum Tk III Slamet Riyadi Surakarta; RS Umum Brayat Minulya; RS Orthopedi Prof. Dr. R. Soeharso; RS Umum Panti Waluyo; RS Umum Islam Kustati; RS Umum Triharsi; RS Umum Hermina Solo; RS Umum Daerah Bung Karno Kota Surakarta; RS Umum Tk. IV 04.07.03 dr. Asmir; RS Paru Dr. Ario Wirawan; RS Islam Tunas Harapan; RS Umum Bhayangkara Semarang; RS Umum Hermina Pandanaran; RS Umum Banyumanik; RS Umum Hermina Banyumanik Semarang; RS Umum Banyumanik 2; RS Unimus; RS Cepoko; RS Umum Budi Rahayu; RS Umum  Mitra Siaga; RS Umum Aisyiyah Ponorogo; RS Umum Darmayu Ponorogo; RS Umum Muhammadiyah Ponorogo; RS Umum Muslimat Ponorogo; RS Umum Daerah Bantarangin; RS Umum Islam Orpeha; RS Umum Islam  Madinah; RS Umum Muhammadiyah Bandung; RS Putra Waspada Tulungagung; RS Umum Prima Medika; RS Umum Daerah Campurdarat; RS Umum Wava Husada Kesamben; RS Umum Daerah Srengat Kab. Blitar; RS Toeloengredjo; RS Umum Muhammadiyah Surya Melati; RS Muhammadiyah Siti Khodijah; RS Umum  Aura Syifa; RS Umum Daerah Simpang Lima Gumul Kediri; RS Bala Keselamatan Bokor; RS Marsudi Waluyo; RS Umum Daerah Lawang; RS Prima Husada; RS Lawang Medika; RS Ben Mari; RS Umum Universitas Muhammadiyah Malang; RS Umum Islam Madinah Kasembon; RS Bedah Hasta Husada; RS Enggal Dangan; RS Wijaya Kusuma Lumajang; RS Umum Djatiroto; RS Umum Daerah Pasirian Kabupaten Lumajang; RS Perkebunan PTPN X (Persero) Jember; RS Tk. III Baladhika Husada Jember; RS Utama Husada Jember; RS Daerah Kalisat Jember; RS Daerah Balung Jember; RS Bina Sehat Jember; RS Umum Citra Husada Jember; RS Kaliwates Jember; RS Siloam Jember; RS Umum Universitas Muhammadiyah Jember; RS Umum Bhakti Husada; RS Umum Daerah Genteng; RS Islam Fatimah; RS Yasmin; RS Nahdlatul Ulama Banyuwangi; RS Umum PKU Muhammadiyah Rogojampi; RS Umum Bakti Mulia Banyuwangi; RS Graha Medika; RS Mitra Medika Bondowoso; RS Umum Daerah dr. Abdoer Rahem Situbondo; RS Elizabeth; RS Umum Daerah Besuki Kabupaten Situbondo; RS Umum Daerah Asembagus Kabupaten Situbondo; RS Umum Mitra Sehat Kabupaten Situbondo; RS Graha Sehat; RS Umum  Wonolangan; RS Rizani; RS Umum Daerah Tongas; RS Umum Bhayangkara Pusdik Brimob; RS Sahabat; RS Umum Daerah Grati; RS Bhayangkara TK.III Pusdik Sabhara Porong; RS Islam Siti Hajar Sidoarjo; RS Umum Anwar Medika; RS Umum Mitra Keluarga Waru; RS Umum Al-Islam H. M. Mawardi; RS Umum Citra Medika; RS Arafah Anwar Medika Sukodono; RS Pusura Candi; RS Umum Daerah Sidoarjo Barat; RS Umum Daerah Sumberglagah; RS Sido Waras; RS Umum Kartini; RS Islam Sakinah; RS Mawaddah Medika; RS Kristen Mojowarno; RS Umum Daerah Ploso; RS Umum Nadhlatul Ulama Jombang; RS Umum Pelengkap Medical Center; RS Umum PKU Muhammadiyah Mojoagung; RS Hasyim Asy'ari; RS Daerah Kertosono; RS Umum Bhayangkara Tk. III Nganjuk; RS Islam Aisyiyah Nganjuk; RS Umum Daerah Dungus; RS Umum Daerah Dolopo; RS Angkatan Udara dr. Efram Harsana; RS Umum Daerah Dr. Soeroto Ngawi; RS Umum Widodo; RS Umum At-Tin Husada; RS Umum Daerah Geneng; RS Umum Daerah Mantingan; Rumah Sakit Aisyiyah Bojonegoro; RSI Muhammadiyah Sumberrejo; RS Umum Daerah Sumberrejo; RS umum Daerah Padangan; RS Bhayangkara Wahyu Tutuko Bojonegoro; RS Muhammadiyah Kalitidu;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Petrokimia Gresik; RS Umum Mabarrot MWC NU; RS Umum Wates Husada; RS Umum Wali Songo I; RS Grha Husada Gresik; RS Fathma Medika; RS PKU Muhammadiyah Sekapuk; RS Surya Medika; RS Umum Islam Cahaya Giri Gresik; RS Umum Randegansari Husada; RS Eka Husada; RS Umum Daerah Syarifah Ambami Rato Ebu; RS Umum Daerah Ketapang; RS Umum Daerah dr. H. Moh. Anwar; RS Islam Garam Kalianget; RS Umum Daerah Abuya Kangean; RS Umum Bhayangkara Kediri; RS Baptis Kediri; RS Umum Daha Husada; RS Muhammadiyah Ahmad Dahlan; RS Umum Lirboyo; RS Umum Ratih; RS Umum Daerah Kilisuci; RS Umum Daerah Mardi Waluyo; RS Katolik Budi Rahayu; RS Umum Syuhada Haji; RS Umum Aminah Blitar; RS Umum Lavalette Malang; RS Umum Daerah Kota Malang; RS Umum BRI Medika Malang; RS Umum Daerah dr. Mohamad Saleh Kota Probolinggo; RS Umum Dharma Husada; RS Umum Daerah Ar Rozy; RS Umum Daerah Dr. R. Soedarsono Kota Pasuruan; RSUD dr. Wahidin Sudiro Husodo Kota Mojokerto; RS Islam Hasanah Muhammadiyah; RS Emma; RS Umum Daerah Dr. Soedono Madiun; RS Umum TNI AD Tk. IV 05.04.01 Kota Madiun; RS Umum Islam Siti Aisyah; RS Umum Daerah Kota Madiun; RS Umum Griya Husada Madiun; RS Umum Darmayu Madiun; RS William Booth Surabaya; RS Umum Adi Husada Kapasari; RS Islam Surabaya; RS Umum Tk. III Brawijaya; RS Bunda; RS Umum Daerah Husada Prima; RS Al Irsyad Surabaya; RS Umum Daerah Haji Provinsi Jawa Timur; RS Ibu dan Anak Pura Raharja; RS Gotong Royong; RS Bhakti Rahayu; RS Islam Darus Syifa; RS Wiyung Sejahtera; RS Manyar Medical Centre; RS Ubaya; RS Umum Daerah Eka Candrarini; RS Umum dr. Etty Asharto Batu; RS Baptis Batu; RS Umum Negara; RS Umum Bunda; RS Umum Dharma Kerti; RS Umum Bhakti Rahayu Tabanan; RS Umum Wisma Prashanti; RS Umum Kasih Ibu Tabanan; RS Umum Daerah Singasana; RS Umum Semara Ratih; RS Umum Kasih Ibu Kedonganan; RS Umum Surya Husadha Nusa Dua; RS Bali Jimbaran; RS Umum Murni Teguh Tuban Bali; RS Windu Husada; RS Umum Ari Canti; RS Umum Famili Husada; RS Umum Kasih Ibu Saba; RS Umum Payangan; RS Kenak Medika; RS Umum Permata Hati; RS Umum Daerah Gema Santi Nusa Penida; RS Umum Daerah Bangli; RS Umum Bangli Medika Canti; RS Umum Balimed Karangasem; RS Umum Kertha Usadha; RS umum Karya Dharma Husada; RS Umum Parama Sidhi; RS Umum Shanti Graha; RS Umum Daerah Tangguwisia; RS Umum Daerah Giri Emas; RS Umum Daerah Wangaya; RS TK. II Udayana; RS Umum Surya Husadha; RS Umum Puri Raharja; RS Umum Bhakti Rahayu; RS Umum Surya Husadha; RS 1407013S; RS 17030300003; RS 32790300017; RS 35280300023; RS K1232070; RS K1232846; RS K1235035; RS K3210024; RS K3302002; RS K3302003; RS K3322002; RS K3522001; RSU Santo Yusup Boro; RS Umum Rizki Amalia Medika; RS Umum PKU Muhammadiyah Nanggulan; RS Umum Rizki Amalia; RS Umum Daerah Nyi Ageng Serang; RS Umum Pura Raharja Medika; RS Umum Queen Latifa; RS Umum Santa Elisabeth; RS Umum Nur Hidayah; RS Umum Rachma Husada; RS Umum Permata Husada; RS Umum Daerah Saras Adyatma; RS Umum Daerah Wonosari; RS Umum Nur Rohmah; RS Umum Pelita Husada; RS Umum Panti Rahayu; RS Bethesda Wonosari; RS Umum Daerah Saptosari; RS Islam Gunungkidul; Charitas Hospital Klepu; RS Umum Queen Latifa; RS Umum Condong Catur; RS Umum Panti Rini; RS Umum Panti Nugroho; RS Umum Sakina Idaman; RS Umum Mitra Paramedika; RS At-Turots Al-Islamy; RS Umum PKU Muhammadiyah Gamping; RS Umum Bhayangkara POLDA DIY; RS Umum Mitra Sehat; RS Universitas Ahmad Dahlan; RS Umum Hermina Yogya; RS PKU Muhammadiyah Sleman; RS Islam Hidayatullah Yogyakarta; RS Khusus Ibu dan Anak  PKU Muhammadiyah Kotagede; RS Paru Respira; RS Ludira Husada Tama; RS Pratama Kota Yogyakarta; RS AMC Muhammadiyah</x:v>
      </x:c>
      <x:c r="G10" s="8">
        <x:v>159</x:v>
      </x:c>
      <x:c r="H10" s="7" t="str">
        <x:v>RS Umum Daerah Dr. Muhammad Zein Painan; RS Umum Daerah Prof H Muhammad Yamin, SH; RS Umum Daerah Sungai Dareh; RS. Universitas Andalas; RS Umum Daerah Mohammad Natsir; RS Umum Daerah Dr. Achmad Mochtar; RS Umum  Efarina; RS Umum Daerah Tengku Rafi'an Siak Sri Indrapura; RS Umum Daerah  Bangkinang; RS Umum Daerah  Rokan Hulu; RS Umum  Awal Bros Ujung Batu; RS Umum Daerah  Bengkalis; RS Umum Awal Bros Bagan Batu; RS Umum  Islam Ibnu Sina; RS Umum Daerah  Kota Dumai; RS Siloam Jambi; RS Umum Daerah Muhammad Sani Kabupaten Karimun; RS Badan Pengusahaan Batam; RS Umum Daerah Embung Fatimah Kota Batam; RS Umum Daerah Raja Ahmad Tabib; RS Hj. Bunda Halimah Batam; RS Awal Bros Botania; RS Umum Daerah Cibinong; RS Mitra Keluarga Bina Husada; RS Umum Daerah RH. Satibi; RS Umum Karya Bhakti Pratiwi; RS Umum Daerah Sekarwangi; RS Umum Daerah Majalaya; RS Umum Daerah Welas Asih Provinsi Jawa Barat; RS Umum Daerah Oto Iskandar Di Nata; Rumah Sakit TK.IV 03.07.04 Guntur; RS Umum Daerah Kab. Ciamis; RS Umum Daerah Banjar; RS Umum Daerah Arjawinangun; RS Umum Daerah Cideres; RS Mitra Plumbon Majalengka; RS Mitra Plumbon Indramayu; RS Mitra Plumbon Patrol; RS Umum Daerah Subang; RS Umum Siloam Purwakarta; RS Umum Daerah Karawang; RS Umum Citra Sari Husada; Sentra Medika Hospital Cikarang; RS Umum Daerah Kab.Bekasi; RS Mitra Plumbon Cibitung; RS Umum Tiara; RS Umum Daerah Bandung Kiwari; RS Umum Daerah Kota Bandung; RS Daerah Gunung Jati; RS Umum Bhakti Kartini; RS Umum Bhayangkara Brimob; RS Umum Daerah Khidmat Sehat Afiat Kota Depok; RS Umum Hasanah Graha Afiah; RS Umum Permata Depok; RS Umum Daerah Cibabat; RS Umum Tk. II Dustira; RS Hermina Tasikmalaya; RS Umum Daerah Cilacap; RS Umum Pertamina Cilacap; RS Umum Daerah Majenang; RS Umum PKU Muhammdiyah Aghisna Kroya; RS Umum Tk. III Wijayakusuma; RS Umum PKU Muhammadiyah Amanah Sumpiuh; RS Umum Wiradadi Husada; RS Umum Daerah dr. R. Goeteng Taroenadibrata; RS Umum Siaga Medika Purbalingga; RS Umum Daerah Hj. Anna Lasmanah Banjarnegara; RS Umum Emmanuel; RS Umum Islam Banjarnegara; RS Umum PKU Muhamadiyah Gombong; RS Umum Daerah R.A.A Tjokronegoro; RS Umum Setjonegoro Wonosobo; RS Umum Daerah Merah Putih; RS Umum Daerah Pandan Arang Boyolali; RS Umum Daerah Waras Wiris; RS Umum Daerah Bagas Waras; RS Umum Daerah Ir. Soekarno Kabupaten Sukoharjo; RS Umum Nirmala Suri; RS Umum Dr. Oen Solo Baru; RS Umum Daerah Dr. R. Soetijono Blora; RS Umum Daerah RAA Soewondo; RS Umum Keluarga Sehat; RS Umum Fastabiq Sehat PKU Muhammadiyah Pati; RS Umum Daerah dr. Loekmono Hadi; RS Umum Mardi Rahayu; RS Umum  Islam Sunan Kudus; RS Umum Daerah R. A. Kartini; RS Umum Daerah Sunan Kalijaga; RS Umum Daerah dr. Gunawan Mangunkusumo; RS Umum Daerah dr. Gondo Suwarno; RS Umum Daerah Kabupaten Temanggung; RS Umum Ngesti Waluyo; RS PKU Muhammadiyah Temanggung; RS Umum Daerah  Dr. H. Soewondo Kendal; RS Umum Islam Kendal; RS Umum Daerah Kraton Kab. Pekalongan; RS Umum Daerah Bendan Kota Pekalongan; RS Umum Daerah Dr. M. Ashari Pemalang; RS Umum Siaga Medika Pemalang; RS Umum Daerah dr. Soeselo Slawi Kabupaten Tegal; RS Umum Daerah Brebes; RS Umum Daerah Tidar; RS Jiwa Prof. Dr. Soerojo; RS 3372051; RS Umum Daerah Ibu Fatmawati Soekarno; RS Umum Daerah Kota Salatiga; RS Umum St. Elisabeth Semarang; RS Roemani Muhammadiyah Semarang; RS Umum Panti Wilasa Citarum; RS Panti Wilasa "Dr. Cipto" Semarang; RS Umum Daerah Kardinah; RS Umum Daerah Dr. Harjono S. Kabupaten Ponorogo; RS Umum Daerah dr. Soedomo Trenggalek; RS Umum Bhayangkara Tulungagung; RS Umum Daerah Ngudi Waluyo Wlingi; RS Umum Daerah Kabupaten Kediri; RS Umum Wava Husada; RS Umum Daerah Dr. Haryoto Kabupaten Lumajang; RS Bhayangkara Lumajang; RS Al Huda; RS Bhayangkara Bondowoso; RS Umum Daerah Waluyo Jati Kraksaan; RS Prima Husada; RS Umum Daerah Prof. Dr. Soekandar; RS Umum Daerah Raden Achmad Basoeni; RS Umum Daerah Caruban; RS Umum Daerah dr. Sayidiman Magetan; RS Umum Daerah Dr. R. Koesma Tuban; RS Umum Muhammadiyah Lamongan; RS Umum Daerah Ibnu Sina Kab. Gresik; RS Semen Gresik; RS Petrokimia Gresik Driyorejo; RS Umum Daerah dr. Mohammad Zyn Kab. Sampang; RS Umum Daerah Dr. H. Slamet Martodirdjo Pamekasan; RS 3528038; RS Tk. II Dr. Soepraoen; RS Umum Islam Aisyiyah Malang; RS Universitas Brawijaya; RS Gatoel; RS Umum Daerah Bhakti Dharma Husada; RS Bhayangkara TK II HS. Samsoeri Mertojoso; RS Umum Royal Surabaya; RS Bhayangkara Hasta Brata Batu; RS Daerah Mangusada; RS Umum Ganesha; RS Umum Daerah Klungkung; RS Umum Grha Bhakti Medika; RS Umum Daerah Kab. Buleleng; RS Umum Daerah Wates; RS Umum Daerah Panembahan Senopati; RSU PKU Muhammadiyah Bantul; RS Universitas Islam Indonesia; RS Umum Daerah Sleman; RS Islam Yayasan PDHI; RS Umum Daerah Prambanan; RS Akademik Universitas Gadjah Mada; RS PKU Muhammadiyah Yogyakarta; RS Bethesda Yogyakarta; RSPAU Dr.  Suhardi Harjolukito</x:v>
      </x:c>
      <x:c r="I10" s="8">
        <x:v>75</x:v>
      </x:c>
      <x:c r="J10" s="7" t="str">
        <x:v>RSUP Dr. M. Djamil; RS Umum Daerah  Puri Husada Tembilahan; RS Umum Daerah  Arifin Achmad; RS Santa Maria Pekanbaru; RS Umum  Eka Hospital Pekanbaru; RS Umum  Awal Bros Pekanbaru; RS Awal Bros A. Yani; RS Umum  Awal Bros Panam; RS Umum  Prima Pekanbaru; RS Awal Bros Dumai; RS Umum Daerah Ciawi; RS Umum Daerah R. Moh. Noh Nur; RS Umum Sentra Medika Cibinong; RS Universitas Indonesia; RS Umum Mitra Plumbon; RS Umum Daerah Bayu Asih; RS Primaya Karawang; RS Umum PMI Bogor; RS Umum Daerah Kota Bogor; RS Umum Hermina Bogor; RS Umum Daerah R. Syamsudin, SH; RS Umum Immanuel Bandung; RS Umum Santo Borromeus; RS Umum Advent Bandung; RS Umum Hermina Arcamanik; RS Umum Al-Islam Bandung; RS Umum Santosa Hospital Bandung Central; RS Umum Hermina Pasteur; RS Umum Santosa Hospital Bandung Kopo; RS Umum Daerah dr. Chasbullah Abdulmadjid; RS Primaya; RS Umum Hermina Bekasi; RS Umum Sentra Medika; RS umum Daerah Banyumas; RS Umum Daerah Prof Dr. Margono Soekarjo; RS Umum Daerah dr. Soedirman Kabupaten Kebumen; RS Umum Daerah Dr. Tjitrowardojo Purworejo; RS Umum Pusat Dr. Soeradji Tirtonegoro; RS Umum Universitas Sebelas Maret; RS Umum Indriati; RS Umum Daerah Dr. R.Soedjati Soemodiardjo; RS Umum Tk. II Dr. Soedjono; RS Umum Dr. Oen; RS PKU Muhammadiyah Surakarta; RS Umum Kasih Ibu; RS Umum Sultan Agung Semarang; RS Umum Daerah dr. Adhyatma, MPH; RS Daerah KRMT Wongsonegoro; RS Umum Nasional Diponegoro; RS Umum Islam Harapan Anda; RS Umum Daerah  dr. Darsono; RS Umum Daerah Dr. Iskak; RS Umum Daerah Kanjuruhan Kepanjen Kab. Malang; RS Umum Daerah Dr. Soebandi Jember; RS Umum Daerah Blambangan; RS Umum dr. H.Koesnadi Bondowoso; RS Umum Daerah Bangil; RS Umum Daerah R. T. Notopuro Sidoarjo; RS Umum Siti Khodijah Muhammadiyah Cabang Sepanjan; RS Umum Delta Surya; RS Umum Daerah Kab. Jombang; RS Umum Daerah Nganjuk; RS Umum Daerah Dr. R. Sosodoro Djatikoesoemo; RS Umum Daerah Dr. Soegiri Lamongan; RS Umum Daerah Gambiran; RSPAL dr. Ramelan; RS Husada Utama Surabaya; RS Umum Daerah dr. Mohamad Soewandhie; RS Universitas Airlangga; RS Umum Karsa Husada Kota Batu; RS Umum Daerah Tabanan; RS Umum Daerah Sanjiwani Gianyar; RS Umum Daerah Bali Mandara Provinsi Bali; RS Umum Panti Rapih; RS Umum Daerah Kota Yogyakarta</x:v>
      </x:c>
      <x:c r="K10" s="8">
        <x:v>7</x:v>
      </x:c>
      <x:c r="L10" s="7" t="str">
        <x:v>RS Umum Awal Bros Batam; RS Umum Pusat Dr. Hasan Sadikin; RS Umum Pusat Dr. Kariadi; RS Umum Daerah Dr. Saiful Anwar; RS Umum Daerah Dr. Soetomo; RSUP Prof. Dr. I.G.N.G. Ngoerah; RSUP Dr. Sardjito</x:v>
      </x:c>
      <x:c r="M10" s="8">
        <x:v>7</x:v>
      </x:c>
      <x:c r="N10" s="7" t="str">
        <x: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11">
      <x:c r="A11" s="7" t="str">
        <x:v>KULIT &amp; PENYAKIT KELAMIN</x:v>
      </x:c>
      <x:c r="B11" s="7" t="str">
        <x:v>Kulit &amp; Penyakit Kelamin</x:v>
      </x:c>
      <x:c r="C11" s="8">
        <x:v>4</x:v>
      </x:c>
      <x:c r="D11" s="7" t="str">
        <x:v>Paripurna</x:v>
      </x:c>
      <x:c r="E11" s="8">
        <x:v>1220</x:v>
      </x:c>
      <x:c r="F11" s="7" t="str">
        <x:v>RS Umum Daerah Dr. Muhammad Zein Painan; RS Umum BKM; RS Umum Daerah Solok Selatan; RS Umum Daerah Arosuka Solok; RS Umum Daerah Prof. Dr. M.A. Hanafiah; RS Ibu dan Anak Sayang Ibu; RS Ibu dan Anak Fadhila Batusangkar; RS Umum Daerah Padang Pariaman; RS Ibu dan Anak Rezki Bunda; RS Umum Daerah dr. Achmad Darwis; RS Umum Daerah Lubuk Basung; RS Umum Daerah Tuanku Imam Bonjol; RS Umum Islam Ibnu Sina; RS Islam Ibnu Sina Panti Yarsi; RS Umum Daerah Batang Sangir; RS Umum Daerah Sungai Dareh; RS Umum Daerah Pasaman Barat; RS Tk. III Reksodiwiryo Padang; RS Umum Yos Sudarso; RS Umum Islam Ibnu Sina; RS Umum Aisyiyah Padang; RS Bhayangkara Padang; RS Umum Semen Padang Hospital; RS Umum Bunda Padang; RS Ibu dan Anak Cicik; RS Ibu dan Anak Siti Hawa; RS Islam Siti Rahmah; RS Umum Naili DBS; RS. Universitas Andalas; RS Umum Hermina Padang; RS Ibu dan Anak Permata Bunda Solok; RS Umum Daerah Serambi Madinah Kota Solok; RS Umum Daerah Sawah Lunto; RS Umum Ibnu Sina Padang Panjang; RS Otak DR. Drs. M. Hatta Bukittinggi; RS Islam Ibnu Sina Bukittinggi; RS Umum Madina; RS Umum Ibnu Sina Kota Payakumbuh; RS Umum Daerah Dr. Adnaan WD; RS Ibu dan Anak Annisa Payakumbuh; RS Umum Tamar Medical Centre; RS Umum Daerah Teluk Kuantan; RS Umum Daerah  Indrasari Rengat; RS Umum  Kasih Ibu Rengat; RS Ibu dan Anak  Safira; RS Muizzah; RS Umum Daerah  Puri Husada Tembilahan; RS Umum Daerah  Selasih Riau; RS Umum  Medicare Sorek; RS Umum  Amalia Medika; RS Umum Daerah Tengku Rafi'an Siak Sri Indrapura; RS Umum Daerah Tualang; RS Umum Daerah  Bangkinang; RS Umum  Tandun; RS Ibu Anak  Husada Bunda; RS Ibu Anak  Bunda Anisyah; RS Norfa Husada;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Umum Daerah  Arifin Achmad; RS Tk. IV Pekanbaru; RS Bhayangkara Tk. III Kota Pekanbaru; RS Umum  Eka Hospital Pekanbaru; RS Umum Daerah  Petala Bumi; RS Umum  Islam Ibnu Sina; RS Prof. Dr. Tabrani; RS Umum  Bina Kasih; RS Umum  Lancang Kuning; RS Umum  Pekanbaru Medical Center; RS Ibu dan Anak Annisa; RS Ibu dan Anak  Zainab; RS Umum  Universitas Riau; RS Ibu Anak  Budhi Mulia; Aulia Hospital; RS Umum  Prima Pekanbaru; RS Daerah Madani Kota Pekanbaru; RS Hermina Pekanbaru; RS Umum Daerah  Kota Dumai; RS Pertamina Dumai; Naray Hospital; RS Umum Daerah Kolonel Abundjani/Bangko; RS Raudhah; RS Andimas; RS Merangin Medical Centre; RS Umum Daerah Prof. Dr. H.  Chatib Quzwain; RS Langit Golden Medika; RS Umum Daerah Haji Abdoel Madjid Batoe; RS Royal Prima; RS Mitra Medika Batang Hari; RS Umum Daerah Ahmad Ripin; RS Umum Daerah Sungai Bahar; RS Umum Daerah Nurdin Hamzah; RS Umum Daerah Suryah Khairuddin; RS Umum Daerah H. Hanafie; RS Umum Permata Hati; RS Jabal Rahmah Medika; RS Umum Daerah Raden Mattaher Jambi; RS Tk. III 02.06.01  dr. Bratanata; RS Bhayangkara Jambi; RS Umum Santa Theresia; RS Siloam Jambi; RS Umum Daerah H. Abdul Manap; RS Islam Arafah; RS Ibu dan Anak Annisa; RS Umum Kambang; RS Umum Baiturahim Jambi; RS Mitra; RS Umum Daerah H. Abdurrahman Sayoeti; RS Rapha Theresia; RS Umum Melati; RS Umum Daerah Hasanuddin Damrah Manna; RS As-syifa; RS Umum Daerah Kabupaten Rejang Lebong; RS Assalam; RS Umum Daerah Arga Makmur; Charitas Hospital Arga Makmur; RS Umum Daerah Lagita; RS Umum Daerah Tais Kabupaten Seluma; RS Umum Daerah Mukomuko; RS Ibu dan Anak AL-Barra; RS Umum Daerah Lebong; RS Umum Daerah Kepahiang; RS Umum Daerah Bengkulu Tengah; RS Umum Daerah Harapan dan Doa; RS Umum Ummi Bengkulu; RS Gading Medika; RS Rafflesia Bengkulu; RS Tk. IV Bengkulu; RS Bhayangkara Jitra Kota Bengkulu;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Santa Elisabeth Batam Kota; RS Griya Medika; RS Umum Camatha Sahidya; RS Ibu dan Anak Frisdhy Angel; RS Umum Soedarsono Darmosoewito; RS Umum Daerah Raja Ahmad Tabib; RS Umum Daerah Kota Tanjung Pinang; Rumkital dr. Midiyato Suratani; RS Bhayangkara Batam Polda Kepri; RS Santa Elisabeth Sei Lekop; RS Hj. Bunda Halimah Batam; RS Jasmine; RS Mutiara Aini; RS Paru Dr. M. Goenawan Partowidigdo; RS Umum Bhakti Yudha; RS Umum Daerah Cibinong; RS Umum Daerah Ciawi; RS Umum Tugu Ibu; RS Umum Annisa; RS Mitra Keluarga Bina Husada; RS Umum Hermina Depok;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Universitas Indonesia; RS Umum Nuraida; RS Pena 98; RS Paragon; RS Hermina Ciawi; RS Umum Daerah Sekarwangi; RS Umum Daerah Palabuhanratu; RS Umum Daerah Jampang Kulon; RS Umum Hermina Sukabumi;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dr. Slamet Garut; RS Umum Daerah Pameungpeuk Prov. Jabar; RS Medina; RS 3205035; RS Umum Daerah dr. Soekardjo; RS Umum Daerah KHZ Musthafa Kabupaten Tasikmalaya; RS Umum Islam Hj. Siti Muniroh; RS Umum Jasa Kartini; RS Ibu dan Anak dr. Hj. Karmini EH; RS Ibu dan Anak Respati; RS Umum Daerah Kab. Ciamis; RS Umum Daerah Banjar; RS Umum Permata Bunda; RS Umum Al-Arif;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Universitas Muhammadiyah Cirebon; RS Umum Khalishah; RS Pasar Minggu Cirebon; Sentra Medika Hospital Gempol;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PTPN VIII; RSAU dr. Hoediyono Lanud Suryadarma; RS Umum Mutiara Hati;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Ibu dan Anak Dr. Djoko Pramono; RS Umum Citra Sari Husada;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Hosana Medica; RS Umum Ananda; RS Umum St. Elisabeth; RS Umum Medirossa Cikarang; RS Ananda Tambun Selatan; RS dr. Abdul Radjak Jababeka; RS Amanda Cikarang Selatan; RS Umum Dokter Adam Talib; RS Umum Hermina Galaxy; RS Emhaka; RS Umum Asri Medika;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Umum Bunda Mulia; RS DKH Sukatani; RS Dokter Adam Talib Cikunir; RS Umum Tarumajaya; RS Umum Pinna; RS Umum Daerah Cabangbungin; RS Umum Permata Keluarga Jababeka; RS EMC Cibitung; RS Cenka; RS EMC Pekayon; RS Ibu dan Anak Aisyah Qurratu'ain; RS Mitra Keluarga Pratama; RS Ananda Babelan; RS Eka Bekasi; RS Hermina Metland Cibitung; RS Umum dr. Abdul Radjak Cibitung; RS Mitra Keluarga Deltamas; RS Umum Daerah Cililin; RS Umum Daerah Lembang; RS Umum Daerah Cikalongwetan; RS Ibu dan Anak Kartini; RS Umum Daerah Pandega Pangandaran; RS Umum Salak; RSAU Dr. M. Hassan Toto; RS Jiwa dr. H. Marzoeki Mahdi; RS Umum Azra; RS Umum Daerah Kota Bogor; Mayapada Hospital Bogor; RS Umum Trimitra;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Bungsu; RS Umum Tk. IV 03.07.03 Sariningsih; RS Paru Dr. H. A. Rotinsulu; RS Umum Daerah Bandung Kiwari; RS Khusus Ginjal Ny. R. A. Habibie; RS AMC; RS Ibu dan Anak Harapan Bunda Bandung; RS Ibu dan Anak Al Islam; RS Pasundan; RS Daerah Gunung Jati; RS Umum Panti Abdi Dharma; RS Umum Pelabuhan Cirebon; RS Umum Putera Bahagia; RS Umum Sumber Kasih; RS Umum Budi Asta; RS Umum Muhammadiyah; RS Umum Medimas; RS Umum Sumber Hurip; RS Karunia Kasih; RS Mekar Sari; RS Siloam Sentosa; RS Umum Masmitra; RS Umum Mitra Keluarga Bekasi Timur; RS Umum Juwita; RS Umum Taman Harapan Baru; RS DKH Kedungwaringin; RS Umum Karya Medika Bantar Gebang; RS Umum Satria Medika; RS Helsa; RS Siloam Bekasi Timur; RS Umum Daerah Jatisampurna; RS Umum Daerah Pondokgede; RS Umum Daerah Bantar Gebang; RS umum Daerah Teluk Pucung; RS Seto Hasbadi; RS Umum Permata Bekasi; RS Umum Graha Juanda; RS Umum Citra Harapan; RS Umum Jati Sampurna; RS Umum Islam dr. Subki Abdulkadir; RS Siloam Bekasi Sepanjang Jaya; RS Ibu dan Anak Selasih Medika; RS Paramedika; RS Umum Mitra Keluarga Depok; RS Umum Grha Permata Ibu; RS Umum Daerah Khidmat Sehat Afiat Kota Depok; RS Umum Simpangan Depok; RS Ibu dan Anak Asyifa Depok; RS Ibu dan Anak Setya Bhakti; RS Umum Citra Medika Depok; RS Umum Citra Arafiq; RS Umum Citra Arafiq Sawangan; RS Primaya Depok; RS Umum Daerah Anugerah Sehat Afiat; RS Umum Mitra Anugrah Lestari; RS Umum Avisena; RS Umum Daerah Cibabat; RS Umum Kasih Bunda; RS Umum Baros; RS Umum Tk. II Dustira; RS Umum Tasik Medika Citratama (TMC); RS Ibu dan Anak Widaningsih; RS Umum Syifa Medina; RS Ibu dan Anak Bunda Aisyah;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Afdila Cilacap; RS Umum Raffa Majenang; RS Umum Aghisna Medika Sidareja; RS Priscilla Medical Center; RS Umum Tk. III Wijayakusuma; RS 3302040; RS Umum Santa Elisabeth Purwokerto; RS Khusus Bedah Jatiwinangun; RS Umum An Ni'mah; RS Umum PKU Muhammadiyah Amanah Sumpiuh; RS Umum Islam Purwokerto; RS Umum Hidayah Purwokerto; RS Umum Bunda; RS Umum Ananda Purwokerto; RS Ibu dan Anak Bunda Arif Purwokerto; RS Umum Sinar Kasih; RS Umum Wiradadi Husada; RS Umum Siaga Medika Banyumas; RS Umum Medika Lestari Banyumas; RS Umum Dadi Keluarga; RS Umum Daerah dr. R. Goeteng Taroenadibrata; RS Umum Nirmala; RS Umum Daerah Panti Nugroho; RS Ibu dan Anak Ummu Hani; RS Umum Siaga Medika Purbalingga; RS Umum PKU Muhammadiyah Purbalingga; RS Islam At-Tin Husada Purbalingga; RS Umum Daerah Hj. Anna Lasmanah Banjarnegara; RS Umum Emmanuel; RS Umum PKU Muhammadiyah Banjarnegara; RS Umum Daerah dr. Soedirman Kabupaten Kebumen; RS Umum Permata Medika Kebumen; RS Umum Palang Biru Gombong; RS Umum Wijayakusuma; RS Umum Purbowangi;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Ibu dan Anak Adina; RS Umum Islam Wonosobo; RS Umum  PKU Muhammadiyah Wonosobo; RS Umum Daerah Muntilan Kab. Magelang;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PKU Muhammadiyah Kartasura; RS Islam Surakarta YARSIS; RS Umum Daerah Dr. Soediran Mangun Sumarso Wonogi; RS Umum Maguan Husada; RS Umum Muhammadiyah Selogiri; RS Umum  Amal Sehat; RS Fitri Candra; RS Umum Mulia Hati Wonogiri; RS PKU Muhammadiyah Wonogiri; RS Umum Daerah Kartini Karanganyar; RSAU dr. Siswanto Lanud Adi Soemarmo;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Habibullah; RS Umum Islam Purwodadi; RS Umum Daerah Ki Ageng Selo; RS Umum Trimedika Ketapang; RS Umum Daerah Dr. R. Soetijono Blora; RS Umum Daerah Dr. R. Soeprapto Cepu; RS Umum Permata Blora; RS Umum PKU Muhammadiyah Cepu; RS Umum Bantuan Blora; RS Umum PKU Muhammadiyah Blora; RS Ibu dan Anak NU Cakra Medika; RS Umum Daerah Samin Surosentiko Randublatung; RS Bhayangkara Blora;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Aisyiyah Kudus;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Daerah Sunan Kalijaga; RS Umum Pelita Anugerah; RS Hj. Fatimah Sulhan PKU Muhammadiyah Demak; Charlie Hospital Demak; RS Umum Daerah dr. Gondo Suwarno; RS 3322037; RS Umum Bina Kasih; RS Ibu dan Anak Plamongan Indah; RS Umum Kusuma Ungaran; RS Umum Daerah Kabupaten Temanggung; RS Umum Gunung Sawo Kab.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Umum Daerah Kajen Kab. Pekalongan; RS Umum Daerah Bendan Kota Pekalongan; RS Ibu dan Anak Aisyiyah Pekajangan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dr. Soeselo Slawi Kabupaten Tegal; RS Umum Daerah Suradadi; RSI PKU Muhammadiyah Tegal;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Umum Panti Waluyo; RS Umum Islam Kustati; RS Umum Daerah Ibu Fatmawati Soekarno; RS Umum Hermina Solo; RS Bhayangkara Surakarta; RS Umum Daerah Kota Salatiga; RS Umum Tk. IV 04.07.03 dr. Asmir; RS Paru Dr. Ario Wirawan;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Karomah Holistic; RS Umum Anugerah Pekalongan; RS Umum H. A. Zaky Djunaid; RS Umum  ARO; RS Umum Hermina Pekalongan; RS Umum  Mitra Siaga; RS Umum Tk. IV Tegal; RS Umum Islam Harapan Anda; RS Ibu dan Anak Kasih Ibu Tegal; RS Umum Daerah  dr. Darsono; RSU Agung Mulia;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Satiti Prima Husada; RS Umum Islam  Madinah; RS Umum Muhammadiyah Bandung; RS Putra Waspada Tulungagung; RS Ibu dan Anak Amanda; RS Ibu dan Anak Trisna Medika; RS Umum Prima Medika; RS Umum Daerah Campurdarat; RS Umum Daerah Ngudi Waluyo Wlingi; RS Umum Aulia Blitar; RS Umum Ananda; RS Umum Medika Utama; RS Umum Wava Husada Kesamben;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Umum Cahaya Medika; RS AU dr. Mohammad Moenir; RS Umum Daerah Dr. Haryoto Kabupaten Lumajang; RS Wijaya Kusuma Lumajang; RS Bhayangkara Lumajang; RS Umum Djatiroto;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Umum Srikandi IBI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Ibu dan Anak Fatimah Kraksaan;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Bantuan 05.08.03 Sidoarjo; RS Ibu dan Anak Pondok Tjandra; RS Umum Aisyiyah Siti Fatimah; RS Arafah Anwar Medika Sukodono; RS Umum Bunda; RS Umum Aminah; RS Umum Mitra Sehat Mandiri Sidoarjo; RS Pusura Candi; RS Umum Daerah Sidoarjo Barat; RS Umum Daerah Sumberglagah; RS Sido Waras; RS Islam Arofah; RS Dharma Husada; RS Mutiara Hati Mojokerto; RS Umum Kartini; RS Dian Husada; RS Islam Sakinah; RS Umum Daerah Raden Achmad Basoeni; RS Kristen Mojowarno; RS Airlangga Jombang; RS Ibu dan Anak Muslimat Jombang; RS Umum Islam Jombang; RS Unipdu Medika Jombang; RS Umum Daerah Ploso; RS Umum dr. Moedjito Dwidjosiswojo; RS Muhammadiyah Jombang; RS Al-Aziz; RS Umum Pelengkap Medical Center; RS Umum PKU Muhammadiyah Mojoagung; RS Hasyim Asy'ari; RS Daerah Kertosono; RS Umum Bhayangkara Tk. III Nganjuk; RS Islam Aisyiyah Nganjuk; RS Umum Daerah Dungus; RS Umum Daerah Caruban; RS Umum Daerah Dolopo; RS Umum Bhakti Persada; RS Ibu dan Anak Samudra Husada; RS Angkatan Udara dr. Efram Harsana; RS Umum Widodo; RS Umum At-Tin Husada; RS Umum Daerah Mantingan; Rumah Sakit Aisyiyah Bojonegoro; RSI Muhammadiyah Sumberrejo; RS umum Daerah Padangan;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Daerah Ngimbang; RS Umum dr. Suyudi; RS Umum Intan Medika; RS Muhammadiyah Babat; RS Umum Citra Medika Lamongan; RS Umum Muhammadiyah Babat; RS Umum Permata Bunda; RS Umum Daerah Karangkembang; RS Muhammadiyah Kalikapas Lamongan; RS Permata Hati Lamongan; RS Nahdlatul Ulama Babat; RS Umum Daerah Ki Ageng Brondong; RS Umum Daerah Ibnu Sina Kab. Gresik;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Daerah Umar Mas'ud Bawean; RS Umum Randegansari Husada; RS Ibu dan Anak Khodijah; RS Eka Husada; RS Umum Daerah Gresik Sehati; RS Umum Daerah Syarifah Ambami Rato Ebu; RS Umum Anna Medika Madura; RS Nindhita; RS Umum Daerah Ketapang; RS Sukma Wijaya; RS Qona'ah; RS Umum Larasati Pamekasan; RS Umum Daerah Waru Pamekasan; RS Umum Kusuma Hospital; RS Umum Daerah dr. H. Moh. Anwar; RS Islam Garam Kalianget; RS Umum Sumekar; Rumah Sakit Baghraf Health Care; RS Umum Daerah Gambiran; RS TK. IV 05.07.02 Kediri; RS Baptis Kediri; RS Ibu dan Anak Nirmala Kediri;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Ibu dan Anak Mutiara Bunda; RS Ibu dan Anak Galeri Candra Malang; RS Umum Daerah Kota Malang; RS Bhirawa Bhakti; RS Universitas Brawijaya; RS Umum Dharma Husada; RS Umum Amanah; RS Ibu dan Anak Muhammadiyah Kota Probolinggo;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Muji Rahayu; RS Ibu dan Anak IBI Surabaya; RS Umum Daerah Husada Prima; RS Umum Siloam Hospitals Surabaya; RS Al Irsyad Surabaya; RS Husada Utama Surabaya; RS Ibu dan Anak Pura Raharja; RS Bhakti Rahayu; RS Islam Darus Syifa; RS Bhayangkara TK II HS. Samsoeri Mertojoso; RS Wiyung Sejahtera; RS Wijaya Surabaya; RS Ibu dan Anak Putri Surabaya; RS Manyar Medical Centre; RS Ibu dan Anak Bantuan 05.08.05 Surabaya; RS Ibu dan Anak Nur Ummi Numbi; RS Ibu dan Anak Perdana Medica; RS Mitra Keluarga Kenjeran; RS Ibu dan Anak Graha Medika; RS PKU Muhammadiyah Surabaya; Mayapada Hospital Surabaya; RS Ubaya; RS Umum Pusat Surabaya; RS Umum Daerah Eka Candrarini; RS Umum dr. Etty Asharto Batu; RS Umum Karsa Husada Kota Batu; RS Baptis Batu; RS Umum Negara; RS Umum Kertayasa; RS Umum Balimed Negara;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Surya Husadha Nusa Dua; RS Bali Jimbaran; RS Umum Garba Med; RS Windu Husada; RS Umum Ganesha; RS Umum Ari Canti; RS Umum Kasih Ibu Saba; RS Umum Payangan; RS Kenak Medika; RS Umum Permata Hati; RS Umum Bintang; RS Umum Daerah Gema Santi Nusa Penida; RS Umum Daerah Bangli; RS Umum Bangli Medika Canti; RS Umum Daerah Karangasem; RS Umum Balimed Karangasem; RS Kasna Medika;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Umum Bhakti Rahayu; RS Ibu dan Anak Puri Bunda; RS Umum Surya Husadha; RS Khusus Ibu dan Anak Pucuk Permata Hati; RS 14010300059; RS 1407013S; RS 17030300003; RS 32110300095; RS 32150300197; RS 32170300071; RS 32180300024; RS 32740300084; RS 32790300017; RS 33160300030; RS 33240300048; RS 33250300027; RS 33750300020; RS 35220300013; RS 35280300023; RS 35730300108; RS 35730300126; RS 35780300103; RS 51070300015; RS 51080300002; RS 51080300021; RS K1210810; RS K1211037; RS K1211109; RS K1211359; RS K1216468; RS K1216717; RS K1216852; RS K1217589; RS K1217678; RS K1217961; RS K1218046; RS K1218417; RS K1230271; RS K1230383; RS K1230557; RS K1230932; RS K1231071; RS K1231529; RS K1231618; RS K1232020; RS K1232070; RS K1232425; RS K1232458; RS K1232846; RS K1233490; RS K1234534; RS K1234757; RS K1234784; RS K1234821; RS K1234898; RS K1234958; RS K1235035; RS K1235252; RS K1235929; RS K1236049; RS K1236080; RS K1236408; RS K1236487; RS K1236595; RS K1236718; RS K1237215; RS K1237254; RS K1237357; RS K1237398; RS K1237472; RS K1237500; RS K1237986; RS K1238056; RS K1238168; RS K1238199; RS K1238392; RS K1238395; RS K1238411; RS K1238492; RS K1238494; RS K1238824; RS K1239005; RS K1239006; RS K1239091; RS K1239274; RS K1239353; RS K1239409; RS K1239838; RS K1239933; RS K1250030; RS K1250201; RS K1250398; RS K1305001; RS K1306009; RS K1471002; RS K1471003; RS K1501001; RS K1509001; RS K2171001; RS K2172001; RS K2172002; RS K3201003; RS K3201004; RS K3204002; RS K3204006; RS K3204128; RS K3208001; RS K3208002; RS K3209001; RS K3209002; RS K3209004; RS K3212001; RS K3213001; RS K3214002; RS K3214003; RS K3216003; RS K3216005; RS K3271002; RS K3273002; RS K3273005; RS K3273007; RS K3273008; RS K3274001; RS K3274013; RS K3276002; RS K3276006; RS K3276079; RS K3276120; RS K3302001; RS K3302002; RS K3302003; RS K3304001; RS K3322001; RS K3507001; RS K3507078; RS K3514001; RS K3518002; RS K3519001; RS K3519002; RS K3522001; RS K3524001; RS K3573002; RS K3578003; RS K3578004; RS K3578005; RS K3578797;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K1236516</x:v>
      </x:c>
      <x:c r="G11" s="8">
        <x:v>224</x:v>
      </x:c>
      <x:c r="H11" s="7" t="str">
        <x:v>RS Umum Daerah Ahmad Syafi'I Ma'arif; RS Umum Daerah Prof H Muhammad Yamin, SH; RS Umum Daerah dr. Rasidin Padang; RS Umum Daerah Mohammad Natsir; RS Umum Daerah Dr. Achmad Mochtar; RS Umum  Efarina; RS Umum  Mesra; RS Umum  Awal Bros Ujung Batu; RS Umum Awal Bros Bagan Batu; RS Santa Maria Pekanbaru; RS Umum  Syafira; RS Umum  Awal Bros Pekanbaru; RS Murni Teguh Eria; RS Awal Bros A. Yani; RS Umum  Awal Bros Panam; RS Awal Bros Dumai; RS Umum Daerah Dr. M. Yunus Bengkulu; RS Tiara Sella; RS Badan Pengusahaan Batam; RS Umum Graha Hermine; RS Umum Awal Bros Batam; RS Umum Daerah Embung Fatimah Kota Batam; RS Awal Bros Botania; RS Umum Daerah R. Moh. Noh Nur; RS Umum Meilia; RS Umum Sentra Medika Cibinong; RS Umum Daerah RH. Satibi; RS Eka Hospital; RS Islam Aysha; RS Umum Betha Medika; RS Umum Daerah Sayang; RS Umum Dr. Hafiz; RS Umum Daerah Welas Asih Provinsi Jawa Barat; Rumah Sakit TK.IV 03.07.04 Guntur; RS Umum Daerah Waled; RS Umum Daerah Arjawinangun; RS Umum Mitra Plumbon; RS Umum Permata Cirebon; RS Umum Sumber Waras; RS Umum Daerah Majalengka; RS Umum Daerah Cideres; RS Mitra Plumbon Majalengka; RS Umum Daerah Kab. Indramayu; RS Mitra Plumbon Indramayu; RS Mitra Plumbon Patrol; RS Umum Daerah Subang; RS Umum Siloam Purwakarta; RS Umum Daerah Karawang; RS Umum Izza; RS Primaya Karawang; Sentra Medika Hospital Cikarang; RS Umum Daerah Kab.Bekasi; RS Umum Hermina Grand Wisata; RS Umum Karya Medika II; RS Mitra Plumbon Cibitung; RS EMC Cikarang; RS Umum Cahya Kawaluyan; RS Umum PMI Bogor; RS Umum Hermina Bogor; RS Umum Melania; RS Umum Daerah R. Syamsudin, SH; RSAU dr. M. Salamun; RS Umum Immanuel Bandung; RS Umum Santo Yusup; RS Umum Santo Borromeus; RS Umum Pindad; RS Umum Muhammadiyah; RS Umum Hermina Arcamanik; RS Umum Daerah Kota Bandung; RS Umum Al-Islam Bandung; RS Umum Santosa Hospital Bandung Central; RS Umum Hermina Pasteur; RS Umum Santosa Hospital Bandung Kopo; RS Umum Melinda 2; RS Edelweiss; RS Umum Tk. III Ciremai; RS Ibu dan Anak Cahaya Bunda; RS Umum Daerah dr. Chasbullah Abdulmadjid; RS Primaya; RS Primaya Bekasi Utara; RS Umum Hermina Bekasi; RS Umum Bhakti Kartini; RS Umum Bella; RS Umum Anna; RS Primaya Bekasi Barat; RS Umum Sentra Medika; RS Umum Bhayangkara Brimob; RS Umum Hasanah Graha Afiah; RS Umum Permata Depok; RS Umum Alia Hospital; RS Umum PKU Muhammdiyah Aghisna Kroya; RS umum Daerah Banyumas; RS Umum Daerah Prof Dr. Margono Soekarjo; RS Umum Daerah Ajibarang; RS Hermina Purwokerto; RS Umum Harapan Ibu; RS Umum Islam Banjarnegara; RS Umum PKU Muhamadiyah Gombong; RS Umum PKU Muhammadiyah Sruweng; RS Umum Daerah Dr. Tjitrowardojo Purworejo; RS Umum Setjonegoro Wonosobo; RS Umum Aisyiyah Muntilan; RS Umum Daerah Pandan Arang Boyolali; RS Indriati Boyolali; RS Umum Pusat Dr. Soeradji Tirtonegoro; RS Umum Islam Klaten; RS Umum Cakra Husada; RS Umum Islam Cawas Klaten; RS Umum Nirmala Suri; RS Umum Dr. Oen Solo Baru; RS Umum PKU Muhammadiyah Sukoharjo; RS Umum Universitas Sebelas Maret; RS Umum Indriati; RS Hermina Wonogiri; RS Umum Astrini; RS PKU Muhammadiyah Karanganyar; RS Umum Panti Rahayu; RS Umum Daerah dr. R. Soetrasno Rembang; RS Umum Daerah RAA Soewondo; RS Umum PKU Muhammadiyah Mayong; RS Umum Islam NU Demak; RS Umum Daerah Sultan Fatah Karangawen Demak; RS Umum Daerah dr. Gunawan Mangunkusumo; RS Umum Ken Saras; RS Umum Ngesti Waluyo; RS PKU Muhammadiyah Temanggung; RS Umum Qim; RS Islam PKU Muhammadiyah Pekajangan; RS Umum Daerah Brebes; RS Umum Tk. II Dr. Soedjono; RS Jiwa Prof. Dr. Soerojo; RS Umum Dr. Oen; RS Umum Brayat Minulya; RS 3372051; RS PKU Muhammadiyah Surakarta; RS Umum Kasih Ibu; RS Umum Triharsi; RS PKU Muhammadiyah Sampangan Surakarta; RS Umum Daerah Bung Karno Kota Surakarta; RS Umum St. Elisabeth Semarang; RS Umum Telogorejo Semarang; RS Umum Sultan Agung Semarang; RS Roemani Muhammadiyah Semarang; RS Umum Panti Wilasa Citarum; RS Umum Daerah dr. Adhyatma, MPH; RS Panti Wilasa "Dr. Cipto" Semarang; RS Daerah KRMT Wongsonegoro; RS Umum Nasional Diponegoro; RS Samsoe Hidajat; RS Umum Daerah Kardinah; RS Umum Daerah Dr. Harjono S. Kabupaten Ponorogo; RS Umum Bhayangkara Tulungagung; RS Umum Wava Husada; RS Islam Lumajang; RS Umum Daerah Dr. Soebandi Jember; RS Umum dr. H.Koesnadi Bondowoso; RS Rizani; RS Umum Daerah Bangil; RS Umum Daerah R. T. Notopuro Sidoarjo; RS Umum Siti Khodijah Muhammadiyah Cabang Sepanjan; RS Umum Delta Surya; RS Umum Daerah Prof. Dr. Soekandar; RS Mawaddah Medika; RS Umum Daerah Kab. Jombang; RS Umum Nadhlatul Ulama Jombang; RS Umum Daerah Nganjuk; RS Umum Daerah dr. Sayidiman Magetan; RS Umum Daerah Dr. Soeroto Ngawi; RS Umum Daerah Dr. R. Sosodoro Djatikoesoemo; RS Umum Daerah Sumberrejo; RS Bhayangkara Wahyu Tutuko Bojonegoro; RS Umum Daerah Dr. Soegiri Lamongan; RS Umum Muhammadiyah Lamongan; RS Petrokimia Gresik; RS Umum Daerah dr. Mohammad Zyn Kab. Sampang; RS Umum Daerah Dr. H. Slamet Martodirdjo Pamekasan; RS 3528038; RS Umum Bhayangkara Kediri; RS Umum Daha Husada; RS Umum Aminah Blitar; RS Tk. II Dr. Soepraoen; RS Umum Panti Waluya Sawahan Malang; RS Umum Lavalette Malang; RS Umum BRI Medika Malang;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Daerah Haji Provinsi Jawa Timur; RS Umum Daerah dr. Mohamad Soewandhie; RS Gotong Royong; RS Universitas Airlangga; RS Umum Royal Surabaya; RS Bhayangkara Hasta Brata Batu; RS Umum Bunda; RS Umum Daerah Tabanan; RS Umum Siloam Bali; RS Universitas Udayana; RS Umum Murni Teguh Tuban Bali; RS Umum Daerah Sanjiwani Gianyar; RS Umum Famili Husada; RS Umum Daerah Klungkung; RS Umum Grha Bhakti Medika; RS Umum Daerah Kab. Buleleng; RS Umum Bali Royal; RS Umum Prima Medika; RS BaliMed; RS Bhayangkara Denpasar; RS Umum Daerah Bali Mandara Provinsi Bali; RS Umum Daerah Wates; RS Umum Queen Latifa; RS Islam Yayasan PDHI; RS Akademik Universitas Gadjah Mada; RS PKU Muhammadiyah Yogyakarta; RS Umum Panti Rapih; RS Bethesda Yogyakarta; RSPAU Dr.  Suhardi Harjolukito; RS Umum Daerah Kota Yogyakarta; RS AMC Muhammadiyah</x:v>
      </x:c>
      <x:c r="I11" s="8">
        <x:v>4</x:v>
      </x:c>
      <x:c r="J11" s="7" t="str">
        <x:v>RSUP Dr. M. Djamil; RS Umum Advent Bandung; RS Umum Pusat Dr. Kariadi; RS Umum Daerah Dr. Saiful Anwar</x:v>
      </x:c>
      <x:c r="K11" s="8">
        <x:v>4</x:v>
      </x:c>
      <x:c r="L11" s="7" t="str">
        <x:v>RS Umum Pusat Dr. Hasan Sadikin; RS Umum Daerah Dr. Soetomo; RSUP Prof. Dr. I.G.N.G. Ngoerah; RSUP Dr. Sardjito</x:v>
      </x:c>
      <x:c r="M11" s="8">
        <x:v>4</x:v>
      </x:c>
      <x:c r="N11" s="7" t="str">
        <x:v>RS Umum Pusat Dr. Hasan Sadikin (Paripurna); RS Umum Daerah Dr. Soetomo (Paripurna); RSUP Prof. Dr. I.G.N.G. Ngoerah (Paripurna); RSUP Dr. Sardjito (Paripurna)</x:v>
      </x:c>
    </x:row>
    <x:row r="12">
      <x:c r="A12" s="7" t="str">
        <x:v>LUKA BAKAR</x:v>
      </x:c>
      <x:c r="B12" s="7" t="str">
        <x:v>Luka Bakar</x:v>
      </x:c>
      <x:c r="C12" s="8">
        <x:v>4</x:v>
      </x:c>
      <x:c r="D12" s="7" t="str">
        <x:v>Paripurna</x:v>
      </x:c>
      <x:c r="E12" s="8">
        <x:v>898</x:v>
      </x:c>
      <x:c r="F12" s="7" t="str">
        <x:v>RS Umum Daerah Dr. Muhammad Zein Painan; RS Umum BKM; RS Umum Daerah Solok Selatan;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 Umum Hermina Padang; RS Umum Daerah Sawah Lunto; RS Umum Daerah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Umum Daerah  Selasih Riau;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Charitas Hospital Arga Makmur; RS Umum Daerah Kepahiang; RS Umum Daerah Harapan dan Doa; RS Umum Ummi Bengkulu; RS Gading Medika; RS Umum Daerah Dr. M. Yunus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Bhayangkara Batam Polda Kepri; RS Santa Elisabeth Sei Lekop;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Rumah Sehat Terpadu Dompet Dhuafa; RS Umum Medika Dramaga; RS Umum Hermina Mekarsari; RSU Assalam; RS Umum Ummi; RS Ibu dan Anak Sawojajar; RS Umum Permata Jonggol; RS Umum Karya Bhakti Pratiwi; RS Asysyifaa; RS Helsa Citeureup; Bogor Senior Hospital; RS Umum Nuraida;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Umum Daerah Bedas Kertasari; RS Umum Daerah dr. Slamet Garut; RS Umum Daerah Pameungpeuk Prov. Jabar; RS Medina;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Saraswati; RS Umum Delima Asih Sisma Medika; RS Umum Citra Sari Husada; RS Umum Izza; RS Umum Mandaya; RS Umum Daerah Jatisari Kabupaten Karawang;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Ananda; RS Umum St. Elisabeth; RS Umum Medirossa Cikarang; RS dr. Abdul Radjak Jababeka; RS Amanda Cikarang Selatan; RS Umum Hermina Galaxy; RS DKH Cikarang Barat; RS Uni Medika Setu Bekasi; RS Umum Anna Medika; RS Umum Harapan Mulia; RS Umum Kartika Husada Setu; RS Umum Amanda; RS Umum Ridhoka Salma; RS Umum Permata Keluarga Lippo Cikarang; RS Umum Medirossa 2; RS Umum Kartika Husada;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PMI Bogor; RS Umum Salak; RSAU Dr. M. Hassan Toto; RS Jiwa dr. H. Marzoeki Mahdi; RS Umum Azra;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Umum Daerah Bandung Kiwari; RS AMC; RS Ibu dan Anak Harapan Bunda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Seto Hasbadi; RS Umum Bhakti Kartini; RS Umum Permata Bekasi; RS Umum Bella; RS Umum Anna; RS Umum Jati Sampurna; RS Siloam Bekasi Sepanjang Jaya; RS Ibu dan Anak Selasih Medika; RS Umum Mitra Keluarga Depok; RS Umum Grha Permata Ibu; RS Umum Daerah Khidmat Sehat Afiat Kota Depok; RS Umum Simpangan Depok; RS Umum Hasanah Graha Afiah; RS Ibu dan Anak Setya Bhakti; RS Umum Citra Medika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Umum 'Aisyiyah Klaten; RS Umum Cakra Husada; RS Umum Diponegoro Dua Satu Klaten; RS Umum PKU Muhammadiyah Delanggu; RS Umum PKU Muhammadiyah Jatinom; RS Umum Mitra Pedan; RS Umum Daerah Bagas Waras; RS Umum PKU Muhammadiyah Pedan; RS PKU Muhammadiyah Prambanan; RS Umum Daerah Ir. Soekarno Kabupaten Sukoharjo; RS Umum PKU Muhammadiyah Sukoharjo; RS PKU Muhammadiyah Kartasura; RS Islam Surakarta YARSIS; RS Umum Daerah Dr. Soediran Mangun Sumarso Wonogi; RS Umum Maguan Husada; RS Umum Muhammadiyah Selogiri; RS Umum  Amal Sehat; RS Umum Mulia Hati Wonogiri; RS Umum Astrini; RS Umum Daerah Kartini Karanganyar; RSAU dr. Siswanto Lanud Adi Soemarmo; RS Umum Jati Husada Karanganyar; RS Mangesti Rahayu; RS Umum Daerah dr. Soehadi Prijonegoro; RS Umum Sarila Husada; RS Umum Islam Amal Sehat Sragen; RS Umum Assalam; RS Umum PKU Muhammadiyah Sragen; RS Umum Islam Yakssi Gemolong; RS Umum Rizky Amalia; RS Umum Daerah Dr. R.Soedjati Soemodiardjo; RS Permata Bunda; RS Umum PKU Muhammadiyah Gubug;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PKU Muhammadiyah Pamotan; RS Umum Islam Pati;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Umum Daerah dr. Gunawan Mangunkusumo; RS Umum Daerah dr. Gondo Suwarno; RS Umum Bina Kasih; RS Umum Kusuma Ungaran;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Daerah Bumiayu; RS Umum Islami Mutiara Bunda; RS Umum Allam Medica Bumiayu; RS Umum Amanah Mahmudah; RS Harapan Sehat Jatibarang;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Paru Dr. Ario Wirawan; RS Umum William Booth; RS Umum Permata Medika; RS Umum Tk.III Bhakti Wira Tamtama Smg; RS Roemani Muhammadiyah Semarang; RS Umum Bhayangkara Semarang; RS Umum Hermina Pandanaran; RS Umum Bhayangkara Akpol Semarang; RS Umum Banyumanik; RS Umum Hermina Banyumanik Semarang; RS Umum Banyumanik 2; RS Keluarga Sehat III Semarang; RS Unimus; RS Cepoko; RS Umum Daerah Mijen; RS Umum Budi Rahayu; RS Umum Siti Khodijah; RS Umum Anugerah Pekalongan; RS Umum H. A. Zaky Djunaid; RS Umum  ARO; RS Umum Hermina Pekalongan; RS Umum Daerah Kardinah; RS Umum  Mitra Siaga; RS Umum Daerah  dr. Darsono; RS Umum Daerah Dr. Harjono S. Kabupaten Ponorogo; RS Umum Aisyiyah Ponorogo; RS Umum Darmayu Ponorogo; RS Umum Muslimat Ponorogo; RS Umum Islam Orpeha; RS Umum Bhayangkara Tulungagung; RS Umum Satiti Prima Husada; RS Umum Islam  Madinah; RS Umum Muhammadiyah Bandung; RS Putra Waspada Tulungagung; RS Umum Daerah Campurdarat; RS Umum Daerah Ngudi Waluyo Wlingi; RS Umum Aulia Blitar; RS Umum Ananda; RS Umum Wava Husada Kesamben; RS Umum Daerah Srengat Kab. Blitar; RS Umum An-Nisaa; RS Umum Daerah Kabupaten Kediri; RS Toeloengredjo; RS Umum Arga Husada; RS Muhammadiyah Siti Khodijah; RS Umum  Aura Syifa; RS Umum  Wilujeng; RS Umum Daerah Simpang Lima Gumul Kediri;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Umum Daerah Dr. Haryoto Kabupaten Lumajang;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Anwar Medika;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Umum Islam Jombang; RS Unipdu Medika Jombang; RS Umum Daerah Ploso; RS Umum dr. Moedjito Dwidjosiswojo; RS Al-Aziz; RS Umum Nadhlatul Ulama Jombang; RS Umum Pelengkap Medical Center; RS Umum PKU Muhammadiyah Mojoagung; RS Hasyim Asy'ari; RS Umum Bhayangkara Tk. III Nganjuk; RS Islam Aisyiyah Nganjuk; RS Umum Daerah Caruban; RS Umum Daerah Dolopo; RS Umum Daerah dr. Sayidiman Magetan;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Daerah Ngimbang; RS Umum dr. Suyudi; RS Umum Intan Medika; RS Umum Muhammadiyah Babat; RS Umum Daerah Ibnu Sina Kab. Gresik; RS Semen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Umum Daerah Dr. H. Slamet Martodirdjo Pamekasan; RS Islam Garam Kalianget;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Islam Aisyiyah Malang; RS Islam Unisma Malang; RS Umum Daerah Kota Malang;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Reksa Waluya; RS Islam Hasanah Muhammadiyah; RS Kamar Medika; RS Emma; RS Umum Daerah Dr. Soedono Madiun; RS Umum Santa Clara; RS Umum Islam Siti Aisyah; RS Umum Daerah Kota Madiun; RS Umum Griya Husada Madiun; RS Umum Darmayu Madiun; RS Hermina Madiun; RS William Booth Surabaya; RS Umum Adi Husada Kapasari; RS Islam Surabaya; RS Umum Tk. III Brawijaya; RS Umum Daerah Bhakti Dharma Husada; RS Umum Islam Surabaya Jemursari; RS Muji Rahayu; RS Umum Daerah Husada Prima; RS Al Irsyad Surabaya; RS Ibu dan Anak Pura Raharja; RS Bhakti Rahayu; RS Islam Darus Syifa; RS Bhayangkara TK II HS. Samsoeri Mertojoso; RS Wiyung Sejahtera; RS Wijaya Surabaya; RS Mitra Keluarga Kenjeran;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Balimed Buleleng; RS Umum Daerah Wangaya; RS TK. II Udayana; RS Umum Surya Husadha; RS Umum Bali Royal; RS Umum Dharma Yadnya; RS Umum Puri Raharja; RS Umum Bhakti Rahayu; RS Umum Surya Husadha; RS 17030300003; RS 32180300024; RS 35280300023; RS K1216717; RS K1217678; RS K1232846; RS K1238494; RS K1239006; RS K1305001; RS K1306009; RS K1471002; RS K2171001; RS K3214002; RS K3273005; RS K3302003; RS K3304001; RS K3522001; RS Umum Daerah Wates;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Khusus Bedah Ring Road Selatan; RS Universitas Islam Indonesia; RS Rajawali Citra; RS Umum Daerah Saras Adyatma; RS Umum Daerah Wonosari; RS Umum Nur Rohmah; RS Umum Pelita Husada; RS Umum PKU Muhammadiyah Wonosari;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Islam Hidayatullah Yogyakarta; RS Tk. III 04.06.03 Dr. Soetarto; RS PKU Muhammadiyah Yogyakarta; RSPAU Dr.  Suhardi Harjolukito; RS Umum Daerah Kota Yogyakarta; RS Ludira Husada Tama; RS Bethesda Lempuyangwangi; RS Happy Land Medical Centre; RS Pratama Kota Yogyakarta; RS Siloam Yogyakarta; RS AMC Muhammadiyah</x:v>
      </x:c>
      <x:c r="G12" s="8">
        <x:v>132</x:v>
      </x:c>
      <x:c r="H12" s="7" t="str">
        <x:v>RS Umum Daerah Ahmad Syafi'I Ma'arif; RS Umum Daerah Prof H Muhammad Yamin, SH; RS Umum Daerah Mohammad Natsir; RS Umum Daerah Dr. Achmad Mochtar; RS Umum  Efarina; RS Santa Maria Pekanbaru; RS Umum  Syafira; RS Umum Daerah Raden Mattaher Jambi; RS Badan Pengusahaan Batam; RS Umum Daerah Embung Fatimah Kota Batam; RS Awal Bros Botania; RS Umum Hermina Depok; RS Umum Daerah RH. Satibi; RS EMC Sentul; RS Universitas Indonesia; RS Eka Hospital; RS Umum Dr. Hafiz; Rumah Sakit TK.IV 03.07.04 Guntur; RS Umum Daerah Waled; RS Umum Mitra Plumbon; RS Umum Permata Cirebon; RS Umum Daerah Kab. Indramayu; RS Mitra Plumbon Indramayu; RS Mitra Plumbon Patrol; RS Umum Siloam Purwakarta; RS Umum Daerah Karawang; RS Umum Lira Medika; Sentra Medika Hospital Cikarang; RS Umum Daerah Kab.Bekasi; RS Umum Hermina Grand Wisata; RS Umum Karya Medika II; RS Mitra Plumbon Cibitung; RS Umum Tiara; RS EMC Cikarang; RS EMC Pekayon; RS Umum Cahya Kawaluyan; RS Umum Daerah Kota Bogor; RS Umum Daerah R. Syamsudin, SH; RSAU dr. M. Salamun; RS Umum Santo Yusup; RS Umum Santo Borromeus; RS Umum Daerah Kota Bandung; RS Umum Melinda 2; RS Primaya; RS Umum Hermina Bekasi; RS Umum Sentra Medika; RS Umum Bhayangkara Brimob; RS Umum Permata Depok; RS Umum Citra Arafiq; RS Umum Alia Hospital; RS Primaya Depok; RS Umum Daerah Cilacap; RS Umum Daerah Dr. Tjitrowardojo Purworejo; RS Umum Daerah Pandan Arang Boyolali; RS Umum Islam Klaten; RS Umum Islam Cawas Klaten; RS Umum Nirmala Suri; RS Umum Dr. Oen Solo Baru; RS Umum Universitas Sebelas Maret; RS Hermina Wonogiri; RS PKU Muhammadiyah Karanganyar; RS Umum Panti Rahayu; RS Umum Daerah RAA Soewondo; RS Umum Keluarga Sehat; RS Umum Mardi Rahayu; RS Umum Islam NU Demak; RS Umum Daerah Sultan Fatah Karangawen Demak; Charlie Hospital Demak; RS Umum Ken Saras; RS Umum Ngesti Waluyo; RS Umum Qim; RS Umum Tk. II Dr. Soedjono; RS Umum Dr. Oen; RS Umum Brayat Minulya; RS 3372051; RS Umum Puri Asih; RS Umum St. Elisabeth Semarang; RS Umum Telogorejo Semarang; RS Umum Sultan Agung Semarang; RS Umum Panti Wilasa Citarum; RS Panti Wilasa "Dr. Cipto" Semarang; RS Daerah KRMT Wongsonegoro; RS Umum Nasional Diponegoro; RS Primaya Kota Semarang; RS Umum Islam Harapan Anda; RS Umum Muhammadiyah Ponorogo; RS Umum Daerah dr. Soedomo Trenggalek; RS Umum Daerah Dr. Soebandi Jember; RS Tk. III Baladhika Husada Jember; RS Rizani; RS Umum Daerah Bangil; RS Umum Daerah R. T. Notopuro Sidoarjo; RS Umum Siti Khodijah Muhammadiyah Cabang Sepanjan; RS Umum Delta Surya; RS Umum Daerah Prof. Dr. Soekandar; RS Mawaddah Medika; RS Umum Daerah Kab. Jombang; RS Umum Daerah Nganjuk; RS Umum Daerah Dr. R. Sosodoro Djatikoesoemo; Rumah Sakit Aisyiyah Bojonegoro; RS Bhayangkara Wahyu Tutuko Bojonegoro; RS Umum Daerah Dr. Soegiri Lamongan; RS Umum Muhammadiyah Lamongan; RS Umum Daerah dr. Mohammad Zyn Kab. Sampang; RS 3528038; RS Tk. II Dr. Soepraoen; RS Umum Lavalette Malang; RS Umum Hermina Tangkubanprahu; RS Gatoel; RS Primasatya Husada Citra (PHC) Surabaya; RS Umum Siloam Hospitals Surabaya; RS Husada Utama Surabaya; RS Umum Daerah dr. Mohamad Soewandhie; RS Gotong Royong; RS Umum Royal Surabaya; RS Umum Karsa Husada Kota Batu; RS Umum Siloam Bali; RS Universitas Udayana; RS Umum Murni Teguh Tuban Bali; RS Umum Daerah Sanjiwani Gianyar; RS Umum Grha Bhakti Medika; RS Umum Daerah Kab. Buleleng; RS Umum Prima Medika; RS BaliMed; RS Bhayangkara Denpasar; RS Umum Daerah Bali Mandara Provinsi Bali; RS Umum Panti Rahayu; RS Umum Daerah Sleman; RS Islam Yayasan PDHI; RS Akademik Universitas Gadjah Mada; RS Umum Panti Rapih; RS Bethesda Yogyakarta</x:v>
      </x:c>
      <x:c r="I12" s="8">
        <x:v>27</x:v>
      </x:c>
      <x:c r="J12" s="7" t="str">
        <x:v>RS. Universitas Andalas; RS Umum Daerah  Arifin Achmad; RS Umum  Eka Hospital Pekanbaru; RS Awal Bros A. Yani; RS Umum  Awal Bros Panam; RS Umum Awal Bros Batam; RS Umum Sentra Medika Cibinong; RS Umum Daerah Welas Asih Provinsi Jawa Barat; RS Primaya Karawang; RS Umum Hermina Bogor; RS Umum Immanuel Bandung; RS Umum Advent Bandung; RS Umum Hermina Arcamanik; RS Umum Al-Islam Bandung; RS Umum Santosa Hospital Bandung Central; RS Umum Hermina Pasteur; RS Umum Daerah Prof Dr. Margono Soekarjo; RS Umum Pusat Dr. Soeradji Tirtonegoro; RS Umum Indriati; RS PKU Muhammadiyah Surakarta; RS Umum Kasih Ibu; RS Umum Daerah dr. Adhyatma, MPH; RS Khusus Bedah Columbia Asia Semarang; RS Umum Daerah Dr. Iskak; RSPAL dr. Ramelan; RS Umum Daerah Haji Provinsi Jawa Timur; RS Universitas Airlangga</x:v>
      </x:c>
      <x:c r="K12" s="8">
        <x:v>10</x:v>
      </x:c>
      <x:c r="L12" s="7" t="str">
        <x:v>RSUP Dr. M. Djamil; RS Umum  Awal Bros Pekanbaru; RS Umum Pusat Dr. Hasan Sadikin; RS Umum Santosa Hospital Bandung Kopo; RS Primaya Bekasi Barat; RS Umum Pusat Dr. Kariadi; RS Umum Daerah Dr. Saiful Anwar; RS Umum Daerah Dr. Soetomo; RSUP Prof. Dr. I.G.N.G. Ngoerah; RSUP Dr. Sardjito</x:v>
      </x:c>
      <x:c r="M12" s="8">
        <x:v>10</x:v>
      </x:c>
      <x:c r="N12" s="7" t="str">
        <x: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x:v>
      </x:c>
    </x:row>
    <x:row r="13">
      <x:c r="A13" s="7" t="str">
        <x:v>MATA</x:v>
      </x:c>
      <x:c r="B13" s="7" t="str">
        <x:v>Mata</x:v>
      </x:c>
      <x:c r="C13" s="8">
        <x:v>3</x:v>
      </x:c>
      <x:c r="D13" s="7" t="str">
        <x:v>Utama</x:v>
      </x:c>
      <x:c r="E13" s="8">
        <x:v>546</x:v>
      </x:c>
      <x:c r="F13" s="7" t="str">
        <x:v>RS Umum Daerah Dr. Muhammad Zein Painan; RS Umum Daerah Solok Selatan; RS Umum Daerah Prof H Muhammad Yamin, SH; RS Umum Daerah Tuanku Imam Bonjol; RS Tk. III Reksodiwiryo Padang; RS Umum Yos Sudarso; RS Umum Aisyiyah Padang; RS Umum Semen Padang Hospital; RS Umum Naili DBS; RS Umum Daerah Sawah Lunto; RS Umum Daerah  Selasih Riau; RS Umum  Medicare Sorek; RS Umum Daerah Tengku Rafi'an Siak Sri Indrapura; RS Umum Daerah  Bangkinang; RS Umum  Tandun; RS Umum  Surya Insani; RS Umum  Permata Hati; RS Umum Daerah  Dr. RM. Pratomo Bagansiapiapi; RS Umum  Islam Ibnu Sina; Aulia Hospital; RS Daerah Madani Kota Pekanbaru; RS Pertamina Dumai; RS Raudhah; RS Mitra Medika Batang Hari; RS Umum Permata Hati; RS Umum Santa Theresia; RS Umum Daerah Kabupaten Rejang Lebong; RS Umum Daerah Mukomuko; RS Umum Daerah Kepahiang; RS Umum Daerah Dr. M. Yunus Bengkulu; RS Rafflesia Bengkulu; RS Bhayangkara Jitra Kota Bengkulu; RS Umum Daerah Muhammad Sani Kabupaten Karimun; RS Umum Bhakti Timah; RS Mutiara Aini; RS Umum Bhakti Yudha; RS Umum Tugu Ibu; RS Umum Bunda Margonda; RS dr. Abdul Radjak Cileungsi; RS Umum Islam Bogor; RS Umum Hermina Mekarsari; RS Umum Ummi; RS Umum Karya Bhakti Pratiwi; Bogor Senior Hospital; RS Universitas Indonesia; RS Paragon; RS Hermina Ciawi; RS Umum Daerah Jampang Kulon; RS Primaya Sukabumi; RS Umum Daerah Sayang; RS Umum Daerah Cimacan; RS 3203062; RS Umum Daerah Majalaya; RS Umum Kebonjati; RS Umum Mitra Kasih; RS Umum Daerah Oto Iskandar Di Nata; RS Umum Humana Prima; RS Umum Karya Pangalengan Bhakti Sehat; RS Umum Daerah Pameungpeuk Prov. Jabar; RS 3205035; RS Umum Jasa Kartini; RS Umum Daerah Banjar; RS Umum Daerah 45 Kuningan; RS Umum Juanda; RS Pertamina Cirebon; RS Umum Daerah Majalengka; RS Umum Daerah Umar Wirahadikusumah; RS Umum Pakuwon; RS Umum Harapan Keluarga; RS Umum PTPN VIII; RS Umum dr. Abdul Radjak Purwakarta; RS Umum Asri Purwakarta; RS Umum Rama Hadi; RS Umum Amira; RS 3215037; RS Umum Dewi Sri; RS Umum Karya Husada; RS Umum Proklamasi; RS Umum Delima Asih Sisma Medika; RS Umum Citra Sari Husada; RS Umum Fikri Medika; RS Umum Puri Asih; RS Umum Mitra Family; RS Umum Amanda Mitra Keluarga; RS Hermina Karawang; RS Permata Keluarga Karawang; RS Hastien; RS Umum Karya Medika; RS Umum Annisa; Siloam Hospitals Lippo Cikarang; RS Amanda Cikarang Selatan; RS Umum Hermina Galaxy; RS Uni Medika Setu Bekasi; RS Umum Anna Medika; RS Umum Harapan Mulia; RS Umum Permata Keluarga Lippo Cikarang; RS Umum Kartika Husada; RS Umum Tarumajaya; RS Umum Daerah Cabangbungin; RS Umum Permata Keluarga Jababeka; RS EMC Cibitung; RS Mitra Keluarga Pratama; RS Ananda Babelan; RS Hermina Metland Cibitung; RS Umum Daerah Lembang; RS Umum Salak; RSAU Dr. M. Hassan Toto; RS Umum Azra; RS Umum Hermina Bogor; RS Umum Trimitra; RS Umum Vania; RS Graha Medika Bogor; RS Umum Bhayangkara Setukpa Lemdikpol; RS Umum Kartika Kasih; RS Umum Santo Borromeus; RS Umum Pindad; RS Umum Muhammadiyah; RS Umum Tk. IV 03.07.03 Sariningsih; RS AMC; RS Umum Santosa Hospital Bandung Kopo; RS Umum Melinda 2; RS Umum Panti Abdi Dharma; RS Umum Pelabuhan Cirebon; RS Umum Putera Bahagia; RS Umum Sumber Kasih; RS Umum Budi Asta; RS Umum Medimas; RS Umum Sumber Hurip; RS Umum Daerah dr. Chasbullah Abdulmadjid; RS Mekar Sari; RS Umum Masmitra; RS Umum Juwita; RS Umum Karya Medika Bantar Gebang; RS Helsa; RS Nusantara; RS Seto Hasbadi; RS Umum Bhakti Kartini; RS Umum Permata Bekasi; RS Umum Anna; RS Siloam Bekasi Sepanjang Jaya; RS Ibu dan Anak Selasih Medika; RS Umum Mitra Keluarga Depok; RS Ibu dan Anak Asyifa Depok; RS Umum Permata Depok; RS Umum Citra Medika Depok; RS Umum Citra Arafiq; RS Primaya Depok; RS Umum Mitra Anugrah Lestari; RS Umum Daerah Cibabat; RS Umum Kasih Bunda; RS Umum Permata Bunda; RS Umum Mitra Idaman; RS Umum Banjar Patroman; RS Umum Islam Fatimah; RS Umum Daerah Majenang; RS Umum Duta Mulya; RS Umum Santa Maria Cilacap; RS Umum Aghisna Medika Sidareja; RS Priscilla Medical Center; RS Umum Santa Elisabeth Purwokerto; RS Umum An Ni'mah; RS Umum PKU Muhammadiyah Amanah Sumpiuh; RS Umum Sinar Kasih; RS Umum Nirmala; RS Umum Harapan Ibu; RS Islam At-Tin Husada Purbalingga; RS Umum Emmanuel; RS Umum Permata Medika Kebumen; RS Umum Palang Biru Gombong; RS Umum PKU Muhamadiyah Gombong; RS Umum PKU Muhammadiyah Sruweng; RS Umum PKU Muhammadiyah Petanahan Kebumen; RS Umum Daerah Prembun; RS Umum Daerah Dr. Tjitrowardojo Purworejo; RS Umum Panti Waluyo Yakkum Purworejo; RS Amanah Umat Purworejo; RS Umum Islam Wonosobo; RS Umum Aisyiyah Muntilan; RS Umum Syubbanul Wathon; RS Umum Daerah Merah Putih; RS Umum  Karanggede Sisma Medika; RS Umum Asy-Syifa Sambi; RS Umum Islam Banyubening Boyolali; RS Umum 'Aisyiyah Klaten; RS Umum Islam Cawas Klaten; RS Umum Mitra Pedan; RS Umum Universitas Sebelas Maret; RS Islam Surakarta YARSIS; RS Umum Maguan Husada; RS Umum Mulia Hati Wonogiri; RS Umum Jati Husada Karanganyar; RS Umum Assalam; RS Umum Rizky Amalia; RS Umum Saras Ibnu Sina Sukowati; RS Umum PKU Muhammadiyah Gubug; RS Umum Islam Purwodadi; RS Umum Daerah Dr. R. Soetijono Blora; RS Umum Islam Arafah; RS Bhina Bhakti Husada; RS Umum Mitra Bangsa Pati; RS Umum Daerah Kayen Pati; RS Umum  Budi Agung Pati; RS Umum Kumala Siwimijen Kudus; RS Umum  Nurussyifa; Rumkitban 04.08.04 Kartika Husada Kudus; RS Sarkies 'Aisyiyah Kudus; RS Umum Sultan Hadlirin Jepara; RS PKU Aisyiyah Jepara; Charlie Hospital Demak; RS 3322037; RS Umum Daerah Kabupaten Temanggung; RS Umum Ngesti Waluyo; RS Umum Daerah  Dr. H. Soewondo Kendal; RS Umum Muhammadiyah Darul Istiqomah Kendal; RS Umum Charlie Hospital; RS PKU Aisyiyah Kendal; RS PKU Muhammadiyah Boja; RS Umum Daerah Limpung; RS Islam PKU Muhammadiyah Pekajangan; RS Umum Santa Maria Pemalang; RS Umum Siaga Medika Pemalang; RS Harapan Sehat Pemalang; RS Umum Daerah Suradadi; RS Umum Adella; RS Harapan Sehat Slawi; RS Hawari Essa; RS Umum Dera As-Syifa; RS Umum Allam Medica Bumiayu; RS Harapan Sehat Jatibarang; RS Jiwa Prof. Dr. Soerojo; RS Umum Lestari Raharja; RS Umum Harapan; RS Umum Islam Magelang; RS Umum Tk III Slamet Riyadi Surakarta; RS Umum Panti Waluyo; RS Umum Tk. IV 04.07.03 dr. Asmir; RS 3374035; RS Umum Permata Medika; RS Umum Tk.III Bhakti Wira Tamtama Smg; RS Umum Daerah dr. Adhyatma, MPH; RS Umum Hermina Pandanaran; RS Umum Hermina Banyumanik Semarang; RS Primaya Kota Semarang; RS Keluarga Sehat III Semarang; RS Unimus; RS Cepoko; RS Samsoe Hidajat; RS Umum Budi Rahayu; RS Umum Anugerah Pekalongan; RS Umum H. A. Zaky Djunaid; RS Umum Daerah Kardinah; RS Umum Tk. IV Tegal; RS Umum Daerah  dr. Darsono; RS Umum Medical Mandiri Pacitan; RS Umum Daerah Dr. Harjono S. Kabupaten Ponorogo; RS Umum Muslimat Ponorogo; RS Umum Islam Orpeha; RS Umum Era Medika; RS Umum Islam  Madinah; RS Umum Muhammadiyah Bandung; RS Umum Prima Medika; RS Umum Daerah Campurdarat; RS Umum Daerah Srengat Kab. Blitar; RS Umum An-Nisaa; RS Umum  Aura Syifa; RS Marsudi Waluyo; RS Mitra Delima; RS Prasetya Husada; RS Prima Husada; RS Umum Pindad; RS Umum Wajak Husada; RS Sumber Sentosa; RS Umum Islam Madinah Kasembon; RS Bhayangkara Lumajang; RS Islam Lumajang; RS Umum Muhammadiyah Lumajang; RS Perkebunan PTPN X (Persero) Jember; RS Tk. III Baladhika Husada Jember; RS Umum Universitas Muhammadiyah Jember; RS Umum Bhakti Husada; RS Umum Bakti Mulia Banyuwangi; RS Elizabeth; RS Mata Situbondo; RS Umum  Wonolangan; RS Umum Daerah Tongas; RS Mitra Sehat Medika; RS Islam Siti Hajar Sidoarjo; RS Umum Al-Islam H. M. Mawardi; RS Umum Assakinah Medika; RS Umum Citra Medika; RS Mata Fatma; RS Umum Aisyiyah Siti Fatimah; RS Arafah Anwar Medika Sukodono; RS Umum Aminah; RS Pusura Candi; RS Umum Daerah Sumberglagah; RS Sido Waras; RS Dharma Husada; RS Umum Kartini; RS Umum Daerah Raden Achmad Basoeni; RS Mawaddah Medika; RS Kristen Mojowarno; RS Umum dr. Moedjito Dwidjosiswojo; RS Muhammadiyah Jombang; RS Al-Aziz; RS Umum PKU Muhammadiyah Mojoagung; RS Hasyim Asy'ari; RS Umum Daerah Caruban; RS Umum Daerah Dolopo; RS Umum Bhakti Persada; RS Umum Widodo; RS Umum At-Tin Husada; Rumah Sakit Aisyiyah Bojonegoro; RSI Muhammadiyah Sumberrejo; RS Medika Mulia Tuban; RS Muhammadiyah Tuban; RS Graha Husada; RS Umum dr. Suyudi; RS Umum Intan Medika; RS Umum Daerah Karangkembang; RS Semen Gresik; RS Umum Nyai Ageng Pinatih Gresik; RS Petrokimia Gresik; RS Denisa; RS Muhammadiyah Gresik; RS Umum Wali Songo I; RS Grha Husada Gresik; RS PKU Muhammadiyah Sekapuk; RS Umum Islam Cahaya Giri Gresik; RS Eka Husada; RS Nindhita; RS Sukma Wijaya; RS Umum Larasati Pamekasan; RS Islam Garam Kalianget; RS TK. IV 05.07.02 Kediri; RS Muhammadiyah Ahmad Dahlan; RS Umum Lirboyo; RS Katolik Budi Rahayu; RS Umum Syuhada Haji; RS Umum Aminah Blitar; RS Islam Aminah; RS Umum Lavalette Malang; RS Islam Unisma Malang; RS Bantuan 05.08.04 Lawang; RS Bhirawa Bhakti; RS Umum BRI Medika Malang; RS Reksa Waluya; RS Islam Hasanah Muhammadiyah; RS Kamar Medika; RS Umum Islam Siti Aisyah; RS Umum Daerah Kota Madiun; RS Umum Darmayu Madiun; RS Hermina Madiun; RS Umum Tk. III Brawijaya; RS Umum Daerah Husada Prima; RS Al Irsyad Surabaya; RS Husada Utama Surabaya; RS Ibu dan Anak Pura Raharja; RS Bhakti Rahayu; RS Wiyung Sejahtera; RS Manyar Medical Centre; RS Umum dr. Etty Asharto Batu; RS Umum Negara; RS Umum Daerah Tabanan; RS Umum Dharma Kerti; RS Umum Bhakti Rahayu Tabanan; RS Umum Wisma Prashanti; RS Umum Kasih Ibu Tabanan; RS Umum Semara Ratih; RS Umum Kasih Ibu Kedonganan; RS Umum Surya Husadha Nusa Dua; RS Bali Jimbaran; RS Windu Husada; RS Umum Ganesha; RS Umum Ari Canti; RS Umum Famili Husada; RS Umum Kasih Ibu Saba; RS Umum Permata Hati; RS Umum Bintang; RS Umum Bangli Medika Canti; RS Umum Daerah Kab. Buleleng; RS Umum Parama Sidhi; RS Balimed Buleleng; RS TK. II Udayana; RS Umum Surya Husadha; RS Umum Bali Royal; RS Umum Dharma Yadnya; RS Umum Puri Raharja; RS Umum Bhakti Rahayu; RS Umum Surya Husadha; RS 13710300106; RS 32010300258; RS 32010300278; RS 32090300099; RS 32110300095; RS 32150300197; RS 32170300071; RS 32750300305; RS 33090300041; RS 33160300030; RS 35070300055; RS 35280300023; RS 35730300126; RS 51080300002; RS 51080300021; RS 51710300130; RS K1210810; RS K1211037; RS K1216717; RS K1216828; RS K1216852; RS K1217678; RS K1217961; RS K1218046; RS K1218227; RS K1218417; RS K1230271; RS K1230417; RS K1231529; RS K1232425; RS K1232458; RS K1232702; RS K1232846; RS K1233911; RS K1234236; RS K1234509; RS K1234523; RS K1234534; RS K1234757; RS K1234769; RS K1234784; RS K1234821; RS K1234875; RS K1234898; RS K1234958; RS K1235035; RS K1235083; RS K1236049; RS K1236408; RS K1236595; RS K1236718; RS K1236856; RS K1236952; RS K1237215; RS K1237254; RS K1237357; RS K1237398; RS K1237500; RS K1237935; RS K1237986; RS K1238056; RS K1238132; RS K1238168; RS K1238199; RS K1238494; RS K1238787; RS K1238862; RS K1239005; RS K1239353; RS K1239409; RS K1239505; RS K1239933; RS K1302001; RS K1305001; RS K1306009; RS K1471003; RS K1501001; RS K1509001; RS K2171001; RS K2172001; RS K2172002; RS K3201003; RS K3201004; RS K3204002; RS K3204003; RS K3204128; RS K3208001; RS K3209002; RS K3213001; RS K3214002; RS K3216002; RS K3216003; RS K3216005; RS K3271002; RS K3273005; RS K3273007; RS K3273008; RS K3274001; RS K3274013; RS K3276001; RS K3276006; RS K3276079; RS K3276120; RS K3302001; RS K3302002; RS K3304001; RS K3305003; RS K3322001; RS K3507001; RS K3507002; RS K3507078; RS K3514001; RS K3517001; RS K3518001; RS K3518002; RS K3524001; RS K3525001; RS K3526001; RS K3526004; RS K354007; RS K3573001; RS K3573002; RS K3576001; RS K3578003; RS K3578004; RS K3578005; RS K3578797; RS K5171004; RS K5171006; RS Umum Rizki Amalia Medika; RS Umum Kharisma Paramedika; RS Umum Rizki Amalia; RS Umum Daerah Nyi Ageng Serang; RS Umum Pura Raharja Medika; RS Umum Queen Latifa; RS Umum Santa Elisabeth; RSU PKU Muhammadiyah Bantul; RS Umum Nur Hidayah; RS 3402077; RS Universitas Islam Indonesia; RS Rajawali Citra; RS Umum Daerah Wonosari; RS Umum Pelita Husada; RS Bethesda Wonosari; RS Islam Gunungkidul; RS Umum Condong Catur; RS Umum Panti Rini; RS Umum Panti Nugroho; RS Umum Daerah Prambanan; RS Umum Mitra Paramedika; RS Umum PKU Muhammadiyah Gamping; RS PKU Muhammadiyah Sleman; RS Tk. III 04.06.03 Dr. Soetarto; RS PKU Muhammadiyah Yogyakarta; RS Bethesda Lempuyangwangi; RS K1239182</x:v>
      </x:c>
      <x:c r="G13" s="8">
        <x:v>449</x:v>
      </x:c>
      <x:c r="H13" s="7" t="str">
        <x:v>RS Umum BKM; RS Umum Daerah Ahmad Syafi'I Ma'arif; RS Umum Daerah Sungai Dareh; RSUP Dr. M. Djamil; RS Umum Islam Ibnu Sina; RS Umum Daerah dr. Rasidin Padang; RS Islam Siti Rahmah; RS Khusus Mata Regina Eye Center; RS. Universitas Andalas; RS Umum Hermina Padang; RUMAH SAKIT MATA SUMATERA BARAT; RS Umum Daerah Mohammad Natsir; RS Otak DR. Drs. M. Hatta Bukittinggi; RS Islam Ibnu Sina Bukittinggi; RS Umum Daerah Teluk Kuantan; RS Umum Daerah  Indrasari Rengat; RS Umum  Kasih Ibu Rengat; RS Muizzah; RS Umum Daerah  Puri Husada Tembilahan; RS Umum  Efarina; RS Umum  Mesra; RS Umum Pelita; RS Umum  Awal Bros Ujung Batu; RS Umum Daerah  Bengkalis; RS Umum Daerah  Kec.Mandau; RS Umum Mutiasari; RS Umum Awal Bros Bagan Batu; RS Umum Daerah  Kabupaten Kepulauan Meranti; RS Umum Daerah  Arifin Achmad; RS Santa Maria Pekanbaru; RS Umum  Eka Hospital Pekanbaru; RS Umum  Syafira; RS Umum Daerah  Petala Bumi; RS Prof. Dr. Tabrani; RS Murni Teguh Eria; RS Awal Bros A. Yani; RS Umum  Awal Bros Panam; RS Khusus Mata Pekanbaru Eye Center; RS Umum  Prima Pekanbaru; RS Hermina Pekanbaru; RS Awal Bros Dumai; RS Umum Daerah  Kota Dumai; RS Umum Daerah Haji Abdoel Madjid Batoe; RS Royal Prima; RS Umum Daerah Nurdin Hamzah; RS Umum Daerah Raden Mattaher Jambi; RS Tk. III 02.06.01  dr. Bratanata; RS Bhayangkara Jambi; RS Umum Daerah H. Abdul Manap; RS Umum Kambang; RS Mitra; RS Umum Ummi Bengkulu; RS Tiara Sella; RS Umum Budi Kemuliaan Batam; RS Umum Santa Elisabeth Batam; RS Umum Harapan Bunda Batam; RS Badan Pengusahaan Batam; RS Umum Graha Hermine; RS Umum Santa Elisabeth Batam Kota; RS Umum Camatha Sahidya; RS Umum Daerah Embung Fatimah Kota Batam; RS Umum Daerah Raja Ahmad Tabib; RS Awal Bros Botania; RS Umum Daerah Cibinong; RS Umum Daerah Ciawi; RS Umum Daerah R. Moh. Noh Nur; RS Umum Annisa; RS Mitra Keluarga Bina Husada; RS Umum Hermina Depok; RS Umum Family Medical Center; RS Umum Meilia; RS Umum Sentra Medika Cibinong; RS Sentosa; RS Umum Daerah RH. Satibi; RS Umum Rumah Sehat Terpadu Dompet Dhuafa; RS Umum Medika Dramaga; RS Umum Nuraida; RS Eka Hospital; RS Pena 98; RS Umum Daerah Sekarwangi; RS Umum Hermina Sukabumi; RS Umum Betha Medika; RS Umum Bhakti Medicare; RS Umum Dr. Hafiz; RS Umum Daerah Pagelaran; RS Umum Daerah Welas Asih Provinsi Jawa Barat; RS Umum Daerah Cicalengka; RS Maranatha; RS Hermina Soreang; RS Oetomo; Rumah Sakit TK.IV 03.07.04 Guntur; RS Umum Daerah dr. Soekardjo; RS Umum Daerah KHZ Musthafa Kabupaten Tasikmalaya; RS Umum Daerah Kab. Ciamis; RS Umum Dadi Keluarga Ciamis; RS Umum Daerah Linggajati Kuningan; RS Umum Daerah Waled; RS Umum Daerah Arjawinangun; RS Umum Mitra Plumbon; RS Umum Khalishah; RS Umum Permata Cirebon; RS Umum Sumber Waras; Sentra Medika Hospital Gempol; RS Umum Daerah Cideres; RS Mitra Plumbon Majalengka; RS Universitas Padjadjaran; RS Umum Daerah Kab. Indramayu; RS Umum Daerah M. A. Sentot Patrol; RS Mitra Plumbon Indramayu; RS Mitra Plumbon Patrol; RS Umum Daerah Subang; RS Umum Pamanukan Medical Center (PMC); RS Umum Daerah Bayu Asih; RS Umum Siloam Purwakarta; RS Umum Bhakti Husada II Purwakarta; RS Umum Daerah Karawang; RS Umum Bayukarta; RS Umum Izza; RS Umum Mandaya; RS Umum Lira Medika; RS Primaya Karawang; Sentra Medika Hospital Cikarang; RS Umum Ananda; RS Umum Daerah Kab.Bekasi; RS Umum St. Elisabeth; RS Umum Hermina Grand Wisata; RS Umum Karya Medika II; RS Mitra Plumbon Cibitung; RS Umum Kartika Husada Setu; RS Umum Ridhoka Salma; RS EMC Pekayon; RS Umum Cahya Kawaluyan; RS Umum Daerah Pandega Pangandaran; RS Umum PMI Bogor; RS Umum Daerah Kota Bogor; RS Umum Melania; RS Umum Mulia Pajajaran; RS Umum Daerah R. Syamsudin, SH; RS Umum Assyifa Sukabumi; RS Umum Pusat Dr. Hasan Sadikin; RSU Bhayangkara Tk. II Sartika Asih; RSAU dr. M. Salamun; RS Umum Immanuel Bandung; RS Umum Santo Yusup; RS Umum Advent Bandung; RS Umum Hermina Arcamanik; RS Umum Daerah Bandung Kiwari; RS Umum Daerah Kota Bandung; RS Umum Al-Islam Bandung; RS Umum Santosa Hospital Bandung Central; RS Umum Hermina Pasteur; RS Edelweiss; RS Daerah Gunung Jati; RS Umum Tk. III Ciremai; RS Siloam Sentosa; RS Umum Taman Harapan Baru; RS Primaya; RS Primaya Bekasi Utara; RS Umum Bella; RS Umum Sentra Medika; RS Umum Bhayangkara Brimob; RS Umum Grha Permata Ibu; RS Umum Daerah Khidmat Sehat Afiat Kota Depok; RS Umum Hasanah Graha Afiah; RS Umum Alia Hospital; RS Umum Citra Arafiq Sawangan; RS Umum Daerah Anugerah Sehat Afiat; RS Umum Avisena; RS Umum Tasik Medika Citratama (TMC); RS Umum Daerah Cilacap; RS Umum PKU Muhammdiyah Aghisna Kroya; RS umum Daerah Banyumas; RS Umum Daerah Prof Dr. Margono Soekarjo; RS Umum Tk. III Wijayakusuma; RS Umum Islam Purwokerto; RS Umum Daerah Ajibarang; RS Umum Wiradadi Husada; RS Umum Siaga Medika Banyumas; RS Umum Dadi Keluarga; RS Hermina Purwokerto; RS Khusus Mata Purwokerto; RS Umum Daerah dr. R. Goeteng Taroenadibrata; RS Umum Siaga Medika Purbalingga; RS Umum Daerah Hj. Anna Lasmanah Banjarnegara; RS Umum Islam Banjarnegara; RS Umum Daerah dr. Soedirman Kabupaten Kebumen; RS Umum Islam Purworejo; RS Umum Budi Sehat Purworejo; RS Umum Daerah R.A.A Tjokronegoro; RS Umum Setjonegoro Wonosobo; RS Umum  PKU Muhammadiyah Wonosobo; RS Umum Daerah Pandan Arang Boyolali; RS Umum Daerah Waras Wiris; RS Umum Daerah Simo; RS Umum Hidayah Boyolali; RS Indriati Boyolali; RS Umum Islam Boyolali; RS Umum Islam Klaten; RS Umum Cakra Husada; RS Umum Diponegoro Dua Satu Klaten; RS Umum Daerah Bagas Waras; RS PKU Muhammadiyah Prambanan; RS Umum Daerah Ir. Soekarno Kabupaten Sukoharjo; RS Umum Nirmala Suri; RS Umum Dr. Oen Solo Baru; RS Umum PKU Muhammadiyah Sukoharjo; RS Umum Indriati; RS Umum Daerah Dr. Soediran Mangun Sumarso Wonogi; RS Umum Muhammadiyah Selogiri; RS Hermina Wonogiri; RS Umum Astrini; RS Umum Daerah Kartini Karanganyar; RSAU dr. Siswanto Lanud Adi Soemarmo; RS PKU Muhammadiyah Karanganyar; RS Umum Sarila Husada; RS Umum Islam Amal Sehat Sragen; RS Umum Daerah Dr. R.Soedjati Soemodiardjo; RS Umum Panti Rahayu; RS Permata Bunda; RS Umum Daerah Dr. R. Soeprapto Cepu; RS Umum Permata Blora; RS Ibu dan Anak NU Cakra Medika; RS Umum Daerah dr. R. Soetrasno Rembang; RS PKU Muhammadiyah Pamotan; RS Umum Daerah RAA Soewondo; RS Umum Keluarga Sehat; RS Umum Fastabiq Sehat PKU Muhammadiyah Pati; RS Umum Sebening Kasih; RS Keluarga Sehat Tayu; RS Umum Daerah dr. Loekmono Hadi; RS Umum Mardi Rahayu; RS Umum  Islam Sunan Kudus; RS Umum Daerah R. A. Kartini; RS Graha Husada Jepara; RS Umum PKU Muhammadiyah Mayong; RS Umum Daerah Sunan Kalijaga; RS Umum Islam NU Demak; RS Umum Pelita Anugerah; RS Umum Daerah Sultan Fatah Karangawen Demak; RS Umum Daerah dr. Gunawan Mangunkusumo; RS Umum Daerah dr. Gondo Suwarno; RS Umum Ken Saras; RS Umum Kusuma Ungaran; RS PKU Muhammadiyah Temanggung; RS Umum Islam Kendal; RS Umum Qim; RS Umum Daerah Kraton Kab. Pekalongan; RS Umum Daerah Kajen Kab. Pekalongan; RS Umum Daerah Bendan Kota Pekalongan; RS Umum Daerah Dr. M. Ashari Pemalang; RS Umum Prima Medika; RS Umum Muhammadiyah Mardhatillah; RS Umum Daerah dr. Soeselo Slawi Kabupaten Tegal; RSI PKU Muhammadiyah Tegal; RS Mitra Siaga Tarub; RS Umum Daerah Brebes; RS Umum Muhammadiyah Siti Aminah; RS Umum Bhakti Asih Brebes; RS Umum Tk. II Dr. Soedjono; RS Umum Dr. Oen; RS Umum Brayat Minulya; RS 3372051; RS PKU Muhammadiyah Surakarta; RS Umum Triharsi; RS Umum Daerah Ibu Fatmawati Soekarno; RS Khusus Mata Solo; RS Umum Hermina Solo; RS PKU Muhammadiyah Sampangan Surakarta; RS Umum Daerah Bung Karno Kota Surakarta; RS Umum Daerah Kota Salatiga; RS Paru Dr. Ario Wirawan; RS Umum Puri Asih; RS Umum St. Elisabeth Semarang; RS Umum William Booth; RS Umum Telogorejo Semarang; RS Roemani Muhammadiyah Semarang; RS Umum Bhayangkara Semarang; RS Umum Panti Wilasa Citarum; RS Panti Wilasa "Dr. Cipto" Semarang; RS Daerah KRMT Wongsonegoro; RS Khusus Bedah Columbia Asia Semarang; RS Umum Nasional Diponegoro; RS Umum Banyumanik 2; Rumah Sakit Mata Daerah Soepardjo Roestam; RS Umum Hermina Pekalongan; RS Umum  Mitra Siaga; RS Umum Islam Harapan Anda; RS Umum Aisyiyah Ponorogo; RS Umum Darmayu Ponorogo; RS Umum Muhammadiyah Ponorogo; RS Umum Daerah dr. Soedomo Trenggalek; RS Umum Daerah Dr. Iskak; RS Umum Bhayangkara Tulungagung; RS Putra Waspada Tulungagung; RS Umum Daerah Ngudi Waluyo Wlingi; RS Umum Ananda; RS Toeloengredjo; RS Umum Arga Husada; RS Muhammadiyah Siti Khodijah; RS Umum Daerah Simpang Lima Gumul Kediri; RS Umum Daerah Kanjuruhan Kepanjen Kab. Malang; RS Umum Daerah Lawang; RS Umum Wava Husada; RS Ben Mari; RS Umum Universitas Muhammadiyah Malang; RS Umum Daerah Dr. Haryoto Kabupaten Lumajang; RS Wijaya Kusuma Lumajang; RS Umum Djatiroto; RS Umum Daerah Dr. Soebandi Jember; RS Paru Jember; RS Daerah Kalisat Jember; RS Daerah Balung Jember; RS Bina Sehat Jember; RS Umum Citra Husada Jember; RS Kaliwates Jember; RS Siloam Jember; RS Umum Daerah Blambangan; RS Umum Daerah Genteng; RS Yasmin; RS Nahdlatul Ulama Banyuwangi; RS Al Huda; RS Graha Medika; RS Umum dr. H.Koesnadi Bondowoso; RS Bhayangkara Bondowoso; RS Umum Daerah dr. Abdoer Rahem Situbondo; RS Umum Daerah Besuki Kabupaten Situbondo; RS Umum Daerah Asembagus Kabupaten Situbondo; RS Umum Mitra Sehat Kabupaten Situbondo;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Bhayangkara TK.III Pusdik Sabhara Porong; RS Umum Delta Surya; RS Umum Anwar Medika; RS Umum Daerah Prof. Dr. Soekandar; RS Mutiara Hati Mojokerto; RS Islam Sakinah; RS Umum Daerah Kab. Jombang; RS Umum Islam Jombang; RS Umum Daerah Ploso; RS Umum Nadhlatul Ulama Jombang; RS Umum Daerah Nganjuk; RS Umum Bhayangkara Tk. III Nganjuk; RS Umum Daerah dr. Sayidiman Magetan; RS Angkatan Udara dr. Efram Harsana; RS Umum Daerah Dr. Soeroto Ngawi; RS Umum Daerah Dr. R. Sosodoro Djatikoesoemo; RS Umum Daerah Sumberrejo; RS umum Daerah Padangan; RS Bhayangkara Wahyu Tutuko Bojonegoro; RS Umum Daerah Dr. R. Koesma Tuban; RS Nahdlatul Ulama Tuban; RS Umum Daerah R. Ali Manshur; RS Umum Daerah Dr. Soegiri Lamongan; RS Umum Muhammadiyah Lamongan; RS Umum Daerah Ibnu Sina Kab. Gresik; RS Umum Wates Husada; RS Fathma Medika; RS Petrokimia Gresik Driyorejo; RS Surya Medika; RS Umum Randegansari Husada; RS Umum Daerah Syarifah Ambami Rato Ebu; RS Umum Daerah dr. Mohammad Zyn Kab. Sampang; RS Umum Daerah Dr. H. Slamet Martodirdjo Pamekasan; RS 3528038; RS Umum Daerah dr. H. Moh. Anwar; RS Umum Bhayangkara Kediri; RS Baptis Kediri; RS Umum Daha Husada; RS Umum Daerah Mardi Waluyo; RS Tk. II Dr. Soepraoen; RS Umum Panti Nirmala; RS Umum Panti Waluya Sawahan Malang; RS Umum Islam Aisyiyah Malang; RS Umum Hermina Tangkubanprahu; RS Universitas Brawijaya; RS Umum Daerah dr. Mohamad Saleh Kota Probolinggo; RS Umum Dharma Husada; RS Umum Daerah Dr. R. Soedarsono Kota Pasuruan; RS Asih Abyakta; RSUD dr. Wahidin Sudiro Husodo Kota Mojokerto; RS Gatoel; RS Emma; RS Umum Daerah Dr. Soedono Madiun; RS Umum Griya Husada Madiun; RSPAL dr. Ramelan; RS Primasatya Husada Citra (PHC) Surabaya; RS Umum Adi Husada Kapasari; RS Islam Surabaya; RS Mata Undaan; RS Umum Daerah Bhakti Dharma Husada; RS Umum Islam Surabaya Jemursari; RS Umum Siloam Hospitals Surabaya; RS Umum Daerah Haji Provinsi Jawa Timur; RS Umum Daerah dr. Mohamad Soewandhie; RS Gotong Royong; RS Bhayangkara TK II HS. Samsoeri Mertojoso; RS Wijaya Surabaya; RS Universitas Airlangga; RS Umum Royal Surabaya; RS Mata Masyarakat Jawa Timur; RS Ubaya; RS Bhayangkara Hasta Brata Batu; RS Umum Karsa Husada Kota Batu; RS Umum Bunda; RS Daerah Mangusada; RS Umum Siloam Bali; RS Universitas Udayana; RS Umum Garba Med; RS Umum Murni Teguh Tuban Bali; RS Umum Daerah Sanjiwani Gianyar; RS Umum Daerah Klungkung; RS Umum Grha Bhakti Medika; RS Umum Daerah Bangli; RS Umum Kertha Usadha; Rumah Sakit Mata Bali Mandara; RS Umum Prima Medika; RS BaliMed; RS Bhayangkara Denpasar; RS Umum Daerah Bali Mandara Provinsi Bali; RS Khusus Mata Ramata; RS Umum Daerah Wates; RS Umum Daerah Panembahan Senopati; RS Umum Rachma Husada; RS Umum Nur Rohmah; RS Umum Panti Rahayu; RS Umum Daerah Sleman; RS Umum Queen Latifa; RS Islam Yayasan PDHI; RS Umum Sakina Idaman; RS At-Turots Al-Islamy; RS Umum Bhayangkara POLDA DIY; RS Akademik Universitas Gadjah Mada; RS Umum Mitra Sehat; RS Universitas Ahmad Dahlan; RS Umum Hermina Yogya; RS Umum Panti Rapih; RS Bethesda Yogyakarta; RSPAU Dr.  Suhardi Harjolukito; RS Umum Daerah Kota Yogyakarta; RS Siloam Yogyakarta; RS AMC Muhammadiyah</x:v>
      </x:c>
      <x:c r="I13" s="8">
        <x:v>11</x:v>
      </x:c>
      <x:c r="J13" s="7" t="str">
        <x:v>RS MATA PADANG EYE CENTER KHATIB; RS Umum Daerah Dr. Achmad Mochtar; RS Umum  Awal Bros Pekanbaru; RS Umum Hermina Bekasi; RS Primaya Bekasi Barat; RS Umum Purbowangi; RS Umum Pusat Dr. Soeradji Tirtonegoro; RS Umum Kasih Ibu; RS Umum Sultan Agung Semarang; RS Umum Daerah Dr. Saiful Anwar; RS  Mata Dr. Yap</x:v>
      </x:c>
      <x:c r="K13" s="8">
        <x:v>6</x:v>
      </x:c>
      <x:c r="L13" s="7" t="str">
        <x:v>RS Umum Awal Bros Batam; RS Khusus Mata Cicendo; RS Umum Pusat Dr. Kariadi; RS Umum Daerah Dr. Soetomo; RSUP Prof. Dr. I.G.N.G. Ngoerah; RSUP Dr. Sardjito</x:v>
      </x:c>
      <x:c r="M13" s="8">
        <x:v>17</x:v>
      </x:c>
      <x:c r="N13" s="7" t="str">
        <x: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x:v>
      </x:c>
    </x:row>
    <x:row r="14">
      <x:c r="A14" s="7" t="str">
        <x:v>MUSCULOSKELETAL DAN JARINGAN LUNAK</x:v>
      </x:c>
      <x:c r="B14" s="7" t="str">
        <x:v>Muskuloskeletal &amp; Jaringan Lunak</x:v>
      </x:c>
      <x:c r="C14" s="8">
        <x:v>4</x:v>
      </x:c>
      <x:c r="D14" s="7" t="str">
        <x:v>Paripurna</x:v>
      </x:c>
      <x:c r="E14" s="8">
        <x:v>1168</x:v>
      </x:c>
      <x:c r="F14" s="7" t="str">
        <x:v>RS Umum Daerah Dr. Muhammad Zein Painan; RS Umum BKM; RS Umum Daerah Solok Selatan; RS Umum Daerah Ahmad Syafi'I Ma'arif;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Serambi Madinah Kota Solok; RS Umum Daerah Sawah Lunto; RS Umum Daerah Padang Panjang; RS Umum Ibnu Sina Padang Panjang; RS Otak DR. Drs. M. Hatta Bukittinggi; RS Umum Daerah Kota Bukittinggi; RS Umum Ibnu Sina Kota Payakumbuh; RS Umum Daerah Dr. Adnaan WD; RS Umum Tamar Medical Centre; RS Umum Daerah Teluk Kuantan;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Bhayangkara Tk. III Kota Pekanbaru; RS Umum  Syafira; RS Umum Daerah  Petala Bumi; RS Prof. Dr. Tabrani; RS Murni Teguh Eria; RS Umum  Pekanbaru Medical Center; RS Awal Bros A. Yani; RS Ibu dan Anak  Zainab; RS Umum  Universitas Riau; RS Ibu Anak  Budhi Mulia; Aulia Hospital;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Badan Pengusahaan Batam; RS Umum Charis Medika; RS Umum Graha Hermine; RS Umum Santa Elisabeth Batam Kota; RS Umum Camatha Sahidya; RS Umum Soedarsono Darmosoewito; RS Umum Awal Bros Batam; RS Umum Daerah Embung Fatimah Kota Batam; RS Umum Daerah Raja Ahmad Tabib; RS Umum Daerah Kota Tanjung Pinang; RS Bhayangkara Batam Polda Kepri; RS Santa Elisabeth Sei Lekop; RS Hj. Bunda Halimah Batam; RS Mutiara Aini; RS Paru Dr. M. Goenawan Partowidigdo; RS Umum Bhakti Yudha; RS Umum Daerah Ciawi;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Umum Daerah Waled; RS Pertamina Cirebon; RS Daerah Sidawangi; RS Umum Daerah Arjawinangun; RS Umum Mitra Plumbon; RS Umum Universitas Muhammadiyah Cirebon; RS Umum Khalishah; RS Umum Permata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 Umum Pamanukan Medical Center (PMC); RS Indosehat 2003; RS Umum Daerah Bayu Asih; RS Umum Siloam Purwakarta; RS Umum dr. Abdul Radjak Purwakarta; RS Umum Asri Purwakarta; RS Umum Rama Hadi; RS Umum Amira; RS Suliawati; RS Umum Holistic Purwakarta; RS Umum Bhakti Husada II Purwakarta; RS Umum Karina Medika; RS Umum Daerah Karawang; RS 3215037;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Daerah Kab.Bekasi;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Permata Keluarga Jababeka; RS EMC Cibitung; RS Cenka; RS Mitra Keluarga Pratama; RS Ananda Babelan; RS Hermina Metland Cibitung; RS Umum Daerah Lembang; RS Ibu dan Anak Kartini; RS Umum Cahya Kawaluyan; RS Umum Daerah Pandega Pangandaran; RS Umum PMI Bogor; RS Umum Salak; RSAU Dr. M. Hassan Toto; RS Jiwa dr. H. Marzoeki Mahdi; RS Umum Azra; Mayapada Hospital Bogor; RS Umum Trimitra; RS Umum Melania; RS Ibu dan Anak Pasutri; RS Umum Vania; RS Umum Mulia Pajajaran; RS Graha Medika Bogor; RS Umum Daerah R. Syamsudin, SH; RS Umum Bhayangkara Setukpa Lemdikpol; RS Umum Ridogalih; RS Umum Assyifa Sukabumi; RS Umum Kartika Kasih; RS Umum Daerah Al-Mulk; RSU Bhayangkara Tk. II Sartika Asih; RSAU dr. M. Salamun; RS 3273046; RS Umum Santo Yusup; RS Umum Pindad; RS Umum Muhammadiyah; RS Umum Bungsu; RS Umum Hermina Arcamanik; RS Umum Tk. IV 03.07.03 Sariningsih; RS Paru Dr. H. A. Rotinsulu; RS Umum Daerah Bandung Kiwari; RS Umum Al-Islam Bandung; RS Khusus Ginjal Ny. R. A. Habibie; RS AMC; RS Ibu dan Anak Harapan Bunda Bandung; RS Ibu dan Anak Al Islam; RS Edelweiss; RS Jantung dan Pembuluh Darah Paramarta; RS Pasundan; RS Daerah Gunung Jati; RS Umum Tk. III Ciremai; RS Umum Panti Abdi Dharma; RS Umum Pelabuhan Cirebon; RS Umum Putera Bahagia; RS Umum Sumber Kasih;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Pertamina Cilacap;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Daerah dr. R. Soetrasno Rembang; RS Umum Islam Arafah; RS Bhina Bhakti Husada;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Umum Ken Saras; RS 3322037; RS Umum Bina Kasih; RS Ibu dan Anak Plamongan Indah; RS Umum Kusuma Ungaran; At-Tin Hospital; RS Umum Daerah Kabupaten Temanggung; RS Umum Ngesti Waluyo; RS Umum Gunung Sawo Kab. Temanggung; RS PKU Muhammadiyah Temanggung; RS Umum Daerah  Dr. H. Soewondo Kendal; RS Umum Islam Kendal; RS Umum Muhammadiyah Darul Istiqomah Kendal; RS Umum Charlie Hospital; RS PKU Aisyiyah Kendal; RS PKU Muhammadiyah Boja;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3371039;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3374035; RS Umum Permata Medika; RS Umum Bhayangkara Semarang; RS Jiwa Daerah  Dr. Amino Gondohutomo; RS Umum Daerah dr. Adhyatma, MPH; RS Umum Hermina Pandanaran; RS Umum Bhayangkara Akpol Semarang; RS Panti Wilasa "Dr. Cipto" Semarang; RS Umum Banyumanik; RS Daerah KRMT Wongsonegoro; RS Umum Banyumanik 2; RS Keluarga Sehat III Semarang; RS Unimus; RS Cepoko; RS Samsoe Hidajat; RS Umum Daerah Mijen; RS Umum Budi Rahayu; RS Umum Siti Khodijah; RS Umum Anugerah Pekalongan; RS Umum H. A. Zaky Djunaid; RS Umum  ARO; RS Umum Hermina Pekalongan; RS Umum  Mitra Siaga; RS 3376037;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Daerah Srengat Kab. Blitar; RS Umum An-Nisaa; RS Umum Daerah Kabupaten Kediri; RS Toeloengredjo; RS Umum Muhammadiyah Surya Melati; RS Umum Arga Husada; RS Muhammadiyah Siti Khodijah; RS Umum  Aura Syifa; RS Umum  Wilujeng; RS Umum Daerah Simpang Lima Gumul Kediri;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Mawaddah Medika; RS Umum Daerah Kab. Jombang; RS Kristen Mojowarno; RS Airlangga Jombang; RS Ibu dan Anak Muslimat Jombang; RS Umum Islam Jombang; RS Umum Daerah Ploso; RS Umum dr. Moedjito Dwidjosiswojo; RS Muhammadiyah Jombang; RS Umum Nadhlatul Ulama Jombang; RS Umum Pelengkap Medical Center; RS Umum PKU Muhammadiyah Mojoagung; RS Hasyim Asy'ari; RS Umum Daerah Nganjuk;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RSI Muhammadiyah Sumberrejo; RS Umum Daerah Sumberrejo; RS umum Daerah Padangan; RS Bhayangkara Wahyu Tutuko Bojonegoro; RS Muhammadiyah Kalitidu; RS Ibu dan Anak Fatma; RS Umum Daerah Kepohbaru; RS Umum Daerah Dr. R. Koesma Tuban; RS Medika Mulia Tuban; RS Nahdlatul Ulama Tuban; RS Umum Daerah R. Ali Manshur; RS Graha Husada; RS Islam Nashrul Ummah; RS Umum Muhammadiyah Lamongan; RS Umum dr. Suyudi; RS Umum Intan Medika; RS Muhammadiyah Babat; RS Umum Muhammadiyah Babat; RS Umum Daerah Karangkembang; RS Muhammadiyah Kalikapas Lamongan;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Umum Daerah dr. Mohammad Zyn Kab. Sampang;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Katolik Budi Rahayu; RS Umum Syuhada Haji; RS Umum Aminah Blitar; RS Islam Aminah; RS Umum Panti Nirmala; RS Umum Islam Aisyiyah Malang; RS Islam Unisma Malang; RS Umum Permata Bunda; RS Ibu dan Anak Puri Bunda; RS Umum Daerah Kota Malang; RS Universitas Brawijaya; RS Umum BRI Medika Malang; RS Umum Daerah dr. Mohamad Saleh Kota Probolinggo; RS Umum Dharma Husada; RS Umum Amanah; RS Umum Daerah Ar Rozy; RS Umum Daerah Dr. R. Soedarsono Kota Pasuruan; RS Asih Abyakta; RS Gatoel;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Soemitro Lanud Moeljono Surabaya; RS Jiwa Menur; RS Umum Daerah Bhakti Dharma Husada; RS Umum Islam Surabaya Jemursari; RS Bunda; RS Muji Rahayu; RS Umum Daerah Husada Prima; RS Al Irsyad Surabaya; RS Husada Utama Surabaya; RS Ibu dan Anak Pura Raharja; RS Gotong Royong; RS Bhakti Rahayu; RS Islam Darus Syifa; RS Bhayangkara TK II HS. Samsoeri Mertojoso; RS Wiyung Sejahtera; RS Wijaya Surabaya; RS Ibu dan Anak Putri Surabaya; RS Manyar Medical Centre; RS Umum Royal Surabaya; RS Mitra Keluarga Kenjeran; RS PKU Muhammadiyah Surabaya; Mayapada Hospital Surabaya;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Umum Garba Med; RS Windu Husada; RS Umum Daerah Sanjiwani Gianyar; RS Umum Ganesha;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35280300023; RS 35730300108; RS 35730300126; RS 35780300103; RS 51070300015; RS 51080300002; RS 51080300021; RS K1210810; RS K1211037; RS K1211109; RS K1211359; RS K1211524; RS K1216468; RS K1216717; RS K1216828; RS K1217589; RS K1217678; RS K1218046; RS K1218417; RS K1230271; RS K1230417; RS K1230557; RS K1230932; RS K1231071; RS K1231529; RS K1231618; RS K1232020; RS K1232070; RS K1232425; RS K1232458; RS K1232846; RS K1234509; RS K1234757; RS K1234784; RS K1234821; RS K1234958; RS K1235035; RS K1235083; RS K1235252; RS K1235929; RS K1236049; RS K1236080; RS K1236408; RS K1236595; RS K1236718; RS K1236856; RS K1237215; RS K1237357; RS K1237398; RS K1237472; RS K1237986; RS K1238056; RS K1238132; RS K1238168; RS K1238199; RS K1238392; RS K1238395; RS K1238411; RS K1238492; RS K1238494; RS K1238824; RS K1239006; RS K1239091; RS K1239838; RS K1239933; RS K1250201; RS K1250398; RS K1305001; RS K1306009; RS K1471002; RS K1471003; RS K2171001; RS K2172001; RS K2172002; RS K3201004; RS K3204002; RS K3204005; RS K3204006; RS K3204128; RS K3208001; RS K3209001; RS K3209002; RS K3210024; RS K3212001; RS K3213001; RS K3214002; RS K3214003; RS K3216002; RS K3271002; RS K3273002; RS K3273005; RS K3273007; RS K3273008; RS K3274013; RS K3276002; RS K3276006; RS K3276120; RS K329012; RS K3302002; RS K3302003; RS K3304001; RS K3322001; RS K3322002; RS K3374001; RS K3507001; RS K3507002; RS K3507078; RS K3519001; RS K3519002; RS K3522001; RS K3573001; RS K3573002; RS K3578005;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 Umum Nur Hidayah;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PKU Muhammadiyah Yogyakarta; RS Khusus Ibu dan Anak  PKU Muhammadiyah Kotagede; RS Ludira Husada Tama; RS Bethesda Lempuyangwangi; RS Happy Land Medical Centre; RS Pratama Kota Yogyakarta; RS AMC Muhammadiyah; RS K1236516</x:v>
      </x:c>
      <x:c r="G14" s="8">
        <x:v>119</x:v>
      </x:c>
      <x:c r="H14" s="7" t="str">
        <x:v>RS Umum Yos Sudarso; RS Islam Siti Rahmah; RS. Universitas Andalas; RS Umum Daerah Dr. Achmad Mochtar; RS Islam Ibnu Sina Bukittinggi; RS Umum Daerah  Arifin Achmad; RS Santa Maria Pekanbaru; RS Umum  Eka Hospital Pekanbaru; RS Umum  Islam Ibnu Sina; RS Umum  Awal Bros Panam; RS Umum Daerah Dr. M. Yunus Bengkulu; RS Awal Bros Botania; RS Umum Daerah Cibinong; RS Umum Ummi; RS Eka Hospital; RS Umum Daerah Welas Asih Provinsi Jawa Barat; RS Primaya Karawang; Sentra Medika Hospital Cikarang; RS EMC Cikarang; RS EMC Pekayon; RS Eka Bekasi; RS Umum Daerah Kota Bogor; RS Umum Hermina Bogor; RS Umum Immanuel Bandung; RS Umum Santo Borromeus; RS Umum Advent Bandung; RS Umum Daerah Kota Bandung; RS Umum Hermina Pasteur; RS Umum Melinda 2; RS Umum Daerah dr. Chasbullah Abdulmadjid; RS Primaya; RS Umum Sentra Medika; RS Umum Bhayangkara Brimob; RS Umum Alia Hospital; RS Primaya Depok; RS Umum Tk. II Dustira; RS Umum Daerah Cilacap; RS Umum Islam Fatimah; RS Umum Daerah Prof Dr. Margono Soekarjo; RS Umum Siaga Medika Banyumas; RS Umum Daerah Pandan Arang Boyolali; RS Umum Pusat Dr. Soeradji Tirtonegoro; RS Umum Islam Klaten; RS Umum Dr. Oen Solo Baru; RS Umum Universitas Sebelas Maret; RS Umum Indriati; RS PKU Muhammadiyah Karanganyar; RS Umum Panti Rahayu; RS Umum Siaga Medika Pemalang; RS Umum Tk. II Dr. Soedjono; RS Umum Dr. Oen; RS Umum Brayat Minulya; RS 3372051; RS PKU Muhammadiyah Surakarta; RS Umum Kasih Ibu; RS Umum St. Elisabeth Semarang; RS Umum Telogorejo Semarang; RS Umum Tk.III Bhakti Wira Tamtama Smg; RS Umum Sultan Agung Semarang; RS Roemani Muhammadiyah Semarang; RS Umum Panti Wilasa Citarum; RS Umum Hermina Banyumanik Semarang; RS Khusus Bedah Columbia Asia Semarang; RS Umum Nasional Diponegoro; RS Primaya Kota Semarang; RS Umum Daerah Kardinah; RS Umum Daerah Kanjuruhan Kepanjen Kab. Malang; RS Umum Wava Husada; RS Umum Daerah Dr. Soebandi Jember; RS Perkebunan PTPN X (Persero) Jember; RS Bina Sehat Jember; RS Siloam Jember; RS Umum Daerah Bangil; RS Umum Daerah R. T. Notopuro Sidoarjo; RS Umum Delta Surya; RS Islam Siti Hajar Sidoarjo; RS Umum Daerah Prof. Dr. Soekandar; RS Al-Aziz; RS Umum Daerah Dr. R. Sosodoro Djatikoesoemo; Rumah Sakit Aisyiyah Bojonegoro; RS Umum Daerah Dr. Soegiri Lamongan; RS Umum Daerah Ibnu Sina Kab. Gresik; RS 3528038; RS Umum Daerah Mardi Waluyo; RS Umum Panti Waluya Sawahan Malang; RS Umum Lavalette Malang; RS Umum Hermina Tangkubanprahu; RSUD dr. Wahidin Sudiro Husodo Kota Mojokerto; RS Umum Daerah Dr. Soedono Madiun; RS Hermina Madiun; RS Primasatya Husada Citra (PHC) Surabaya; RS Islam Surabaya; RS Umum Siloam Hospitals Surabaya; RS Umum Daerah Haji Provinsi Jawa Timur; RS Umum Daerah dr. Mohamad Soewandhie; RS Universitas Airlangga; RS Ubaya; RS Daerah Mangusada; RS Bali Jimbaran; RS Universitas Udayana; RS Umum Murni Teguh Tuban Bali; RS Umum Ari Canti; RS Umum Grha Bhakti Medika; RS Umum Daerah Wangaya; RS Umum Surya Husadha; RS Umum Bali Royal; RS Umum Prima Medika; RS BaliMed; RS Umum Daerah Bali Mandara Provinsi Bali; RS Umum Daerah Panembahan Senopati; RSU PKU Muhammadiyah Bantul; RS Umum Rachma Husada; RS Islam Yayasan PDHI; RS Umum PKU Muhammadiyah Gamping; RS Akademik Universitas Gadjah Mada; RS Bethesda Yogyakarta; RSPAU Dr.  Suhardi Harjolukito; RS Umum Daerah Kota Yogyakarta; RS Siloam Yogyakarta</x:v>
      </x:c>
      <x:c r="I14" s="8">
        <x:v>16</x:v>
      </x:c>
      <x:c r="J14" s="7" t="str">
        <x:v>RSUP Dr. M. Djamil; RS Umum  Awal Bros Pekanbaru; RS Umum  Prima Pekanbaru; RS Umum Hermina Depok; RS Umum Sentra Medika Cibinong; RS Universitas Indonesia; RS Umum Santosa Hospital Bandung Central; RS Umum Santosa Hospital Bandung Kopo; RS Umum Hermina Bekasi; RS Primaya Bekasi Barat; RS Umum Daerah Dr. Saiful Anwar; RS Tk. II Dr. Soepraoen; RSPAL dr. Ramelan; RS Umum Siloam Bali; RS Bhayangkara Denpasar; RS Umum Panti Rapih</x:v>
      </x:c>
      <x:c r="K14" s="8">
        <x:v>6</x:v>
      </x:c>
      <x:c r="L14" s="7" t="str">
        <x:v>RS Umum Pusat Dr. Hasan Sadikin; RS Orthopedi Prof. Dr. R. Soeharso; RS Umum Pusat Dr. Kariadi; RS Umum Daerah Dr. Soetomo; RSUP Prof. Dr. I.G.N.G. Ngoerah; RSUP Dr. Sardjito</x:v>
      </x:c>
      <x:c r="M14" s="8">
        <x:v>6</x:v>
      </x:c>
      <x:c r="N14" s="7" t="str">
        <x:v>RS Umum Pusat Dr. Hasan Sadikin (Paripurna); RS Orthopedi Prof. Dr. R. Soeharso (Paripurna); RS Umum Pusat Dr. Kariadi (Paripurna); RS Umum Daerah Dr. Soetomo (Paripurna); RSUP Prof. Dr. I.G.N.G. Ngoerah (Paripurna); RSUP Dr. Sardjito (Paripurna)</x:v>
      </x:c>
    </x:row>
    <x:row r="15">
      <x:c r="A15" s="7" t="str">
        <x:v>NEONATUS</x:v>
      </x:c>
      <x:c r="B15" s="7" t="str">
        <x:v>Neonatus</x:v>
      </x:c>
      <x:c r="C15" s="8">
        <x:v>3</x:v>
      </x:c>
      <x:c r="D15" s="7" t="str">
        <x:v>Utama</x:v>
      </x:c>
      <x:c r="E15" s="8">
        <x:v>964</x:v>
      </x:c>
      <x:c r="F15" s="7" t="str">
        <x:v>RS Umum Daerah Dr. Muhammad Zein Painan; RS Umum BKM; RS Umum Daerah Solok Selatan; RS Umum Daerah Padang Pariaman; RS Ibu dan Anak Rezki Bunda; RS Umum Daerah Lubuk Basung; RS Umum Daerah Tuanku Imam Bonjol; RS Umum Islam Ibnu Sina; RS Umum Daerah Sungai Dareh; RS Umum Yos Sudarso; RS Umum Islam Ibnu Sina; RS Umum Aisyiyah Padang; RS Bhayangkara Padang; RS Umum Semen Padang Hospital; RS Umum Daerah dr. Rasidin Padang; RS Umum Bunda Padang; RS Ibu dan Anak Cicik; RS Umum Naili DBS; RS Umum Daerah Mohammad Natsir; RS Umum Daerah Serambi Madinah Kota Solok; RS Umum Daerah Sawah Lunto; RS Umum Daerah Padang Panjang; RS Otak DR. Drs. M. Hatta Bukittinggi; RS Islam Ibnu Sina Bukittinggi; RS Umum Daerah Kota Bukittinggi; RS Umum Ibnu Sina Kota Payakumbuh; RS Umum Daerah Dr. Adnaan WD; RS Ibu dan Anak Annisa Payakumbuh; RS Umum Daerah Teluk Kuantan;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Norfa Husada; RS Umum Pelita; RS Nurlima; RS Umum Daerah  Rokan Hulu; RS Umum  Surya Insani; RS Umum Daerah  Bengkalis; RS Umum Daerah  Kec.Mandau; RS Umum  Thursina; RS Umum  Permata Hati; RS Umum Daerah  Dr. RM. Pratomo Bagansiapiapi; RS Umum Daerah  Kabupaten Kepulauan Meranti; RS Bhayangkara Tk. III Kota Pekanbaru; RS Umum Daerah  Petala Bumi; RS Umum  Islam Ibnu Sina; RS Prof. Dr. Tabrani; RS Umum  Bina Kasih; RS Umum  Pekanbaru Medical Center; RS Ibu dan Anak Annisa; RS Ibu dan Anak  Zainab; RS Umum  Universitas Riau; RS Ibu Anak  Budhi Mulia; Aulia Hospital; RS Daerah Madani Kota Pekanbaru; RS Umum Daerah  Kota Dumai; RS Pertamina Dumai; RS Awal Bros Yasmine; Naray Hospital;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Siloam Jambi; RS Umum Daerah H. Abdul Manap; RS Islam Arafah; RS Ibu dan Anak Annisa; RS Umum Kambang; RS Umum Baiturahim Jambi; RS Mitra; RS Umum Daerah H. Abdurrahman Sayoeti; RS Rapha Theresia; RS Umum Daerah Hasanuddin Damrah Manna; RS As-syifa; RS Umum Daerah Kabupaten Rejang Lebong; RS Assalam; Charitas Hospital Arga Makmur; RS Umum Daerah Kaur;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Graha Hermine; RS Umum Santa Elisabeth Batam Kota; RS Griya Medika; RS Umum Camatha Sahidya; Rumkital dr. Midiyato Suratani;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Sentosa; RS Umum Medika Dramaga; RSU Assalam; RS Umum Juliana; RS Umum Ummi; RS Umum Kenari Graha Medika; RS Ibu dan Anak Sawojajar; RS Umum Permata Jonggol; RS Umum Karya Bhakti Pratiwi; RS Ibu dan Anak Bunda Suryatni; RS Asysyifaa; RS Helsa Citeureup; RS Harapan Sehati; Bogor Senior Hospital; RS Umum Nuraida; RS Pena 98; RS Islam Aysha; RS Paragon; RS Hermina Ciawi; RS Umum Daerah Sekarwangi; RS Umum Daerah Jampang Kulon; Rumah Sakit DKH Cibadak; RS Primaya Sukabumi;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Oetomo; RS Muhammadiyah Bandung Selatan; RS Umum Daerah Bedas Cimaung; RS Umum Daerah Bedas Kertasari; RS Umum Daerah Bedas Tegalluar; RS Umum Daerah dr. Slamet Garut; RS Umum Daerah Pameungpeuk Prov. Jabar; RS Umum Annisa Queen; RS Medina; RS Umum Daerah Malangbong; RS Umum Daerah KHZ Musthafa Kabupaten Tasikmalaya; RS Umum Islam Hj. Siti Muniroh; RS Umum Jasa Kartini; RS Umum Daerah Kab. Ciamis; RS Umum Daerah Banjar; RS Umum Permata Bunda; RS Umum Daerah Kawali; RS Umum Daerah 45 Kuningan; RS Umum Wijaya Kusumah; RS Umum Sekar Kamulyan; RS Umum Juanda; RS Umum El-Syifa; RS Jantung Hasna Medika Kuningan; RS Mitra Husada; RS Permata Kuningan; RS Pradipa Medika; RS Daerah Sidawangi; RS Umum Daerah Arjawinangun; RS Umum Universitas Muhammadiyah Cirebon; RS Umum Khalishah; RS Pasar Minggu Cirebon; RS Umum Daerah Majalengka; RS Mitra Plumbon Majalengka; RS Umum Livasya; Rumah Sakit Umum Djuansih Majalengka;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Ibu dan Anak Dr. Djoko Pramono; RS Umum Citra Sari Husada; RS Umum Izza; RS Umum Mandaya; RS Umum Daerah Jatisari Kabupaten Karawang; RS Umum Puri Asih; RS Umum Mitra Family; RS Umum Helsa; RS Umum Rosela; RS Umum Sentral Medika; RS Umum Amanda Mitra Keluarga; RS Hastien; RS EFARINA ETAHAM KARAWANG; RS Umum Bhakti Husada; RS Umum Karya Medika; RS Umum Annisa; Siloam Hospitals Lippo Cikarang; RS Umum Rawa Lumbu; RS Umum Hosana Medica; RS Umum Ananda; RS Umum Karya Medika II; RS dr. Abdul Radjak Jababeka; RS Amanda Cikarang Selatan; RS Umum Dokter Adam Talib; RS Emhaka;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DKH Sukatani; RS Dokter Adam Talib Cikunir; RS Umum Tarumajaya; RS Umum Pinna; RS Umum Daerah Cabangbungin; RS Umum Permata Keluarga Jababeka; RS EMC Cibitung; RS Cenka; RS Mitra Keluarga Pratama; RS Ananda Babelan; RS Hermina Metland Cibitung; RS Umum dr. Abdul Radjak Cibitung; RS Umum Daerah Cililin; RS Umum Daerah Lembang; RS Ibu dan Anak Kartini; RS Ibu dan Anak Buah Hati; RS Umum Daerah Pandega Pangandaran; RS Umum Salak; RSAU Dr. M. Hassan Toto; RS Jiwa dr. H. Marzoeki Mahdi; RS Umum Azra; RS Umum Daerah Kota Bogor;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AMC; RS Ibu dan Anak Harapan Bunda Bandung; RS Ibu dan Anak Al Islam; RS Pasundan; RS Umum Tk. III Ciremai; RS Umum Panti Abdi Dharma; RS Umum Pelabuhan Cirebon; RS Umum Sumber Kasih; RS Umum Medimas; RS Umum Sumber Hurip; RS Ibu dan Anak Cahaya Bunda; RS Karunia Kasih; RS Mekar Sari; RS Umum Masmitra; RS Umum Mitra Keluarga Bekasi Timur; RS Umum Juwita; RS Umum Taman Harapan Baru; RS Umum Karya Medika Bantar Gebang; RS Umum Satria Medika; RS Helsa; RS Siloam Bekasi Timur; RS Umum Daerah Jatisampurna; RS Umum Daerah Bantar Gebang; RS umum Daerah Teluk Pucung; RS Seto Hasbadi; RS Umum Bella; RS Umum Graha Juanda; RS Umum Citra Harapan; RS Umum Jati Sampurna; RS Ibu dan Anak Selasih Medika; RS Umum Grha Permata Ibu; RS Umum Simpangan Depok; RS Ibu dan Anak Asyifa Depok; RS Ibu dan Anak Setya Bhakti; RS Umum Citra Medika Depok; RS Umum Citra Arafiq; RS Umum Daerah Anugerah Sehat Afiat; RS Umum Mitra Anugrah Lestari; RS Umum Avisena; RS Umum Daerah Cibabat; RS Umum Kasih Bunda; RS Umum Baros; RS Umum Tasik Medika Citratama (TMC); RS Umum Syifa Medina; RS Ibu dan Anak Bunda Aisyah;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Ananda Purwokerto; RS Ibu dan Anak Bunda Arif Purwokerto; RS Umum Wiradadi Husada; RS Umum Siaga Medika Banyumas; RS Umum Nirmala; RS Umum Harapan Ibu; RS Umum Daerah Panti Nugroho; RS Ibu dan Anak Ummu Hani; RS Umum PKU Muhammadiyah Purbalingga; RS Islam At-Tin Husada Purbalingga; RS Umum Islam Banjarnegara; RS Umum PKU Muhammadiyah Banjarnegara;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Islam Cawas Klaten;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PKU Muhammadiyah Karanganyar; RS Umum Jati Husada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Daerah RAA Soewondo; RS Umum Islam Pati; RS Umum Mitra Bangsa Pati; RS Umum Daerah Kayen Pati; RS Umum  Budi Agung Pati; RS Umum Fastabiq Sehat PKU Muhammadiyah Pati; RS Umum Sebening Kasih; RS Umum As-Suyuthiyyah; RS Umum Daerah dr. Loekmono Hadi; RS Aisyiyah Kudus; RS Umum Kumala Siwimijen Kudus; RS Ibu dan Anak Harapan Bunda; RS Umum  Nurussyifa; RS Sarkies 'Aisyiyah Kudus;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Gondo Suwarno; RS 3322037; RS Umum Bina Kasih; RS Ibu dan Anak Plamongan Indah; RS Umum Kusuma Ungaran; RS Umum Gunung Sawo Kab. Temanggung;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Ibu dan Anak Nuzula; RS Umum Lestari Raharja; RS Umum Harapan; RS Umum Islam Magelang; RS Umum Tk III Slamet Riyadi Surakarta; RS Orthopedi Prof. Dr. R. Soeharso; RS Umum Panti Waluyo; RS Umum Islam Kustati; RS Umum Triharsi; RS Umum Daerah Ibu Fatmawati Soekarno; RS PKU Muhammadiyah Sampangan Surakarta; RS Bhayangkara Surakarta; RS Umum Tk. IV 04.07.03 dr. Asmir; RS Paru Dr. Ario Wirawan; RS Umum Puri Asih; RS Umum William Booth; RS Umum Permata Medika; RS Umum Tk.III Bhakti Wira Tamtama Smg; RS Umum Bhayangkara Semarang; RS Jiwa Daerah  Dr. Amino Gondohutomo; RS Umum Banyumanik; RS Unimus; RS Cepoko; RS Samsoe Hidajat; RS Umum Daerah Mijen; RS Umum Budi Rahayu; RS Umum Siti Khodijah; RS Umum Karomah Holistic; RS Umum Anugerah Pekalongan; RS Umum H. A. Zaky Djunaid; RS Umum  ARO; RS Umum Hermina Pekalongan; RS Umum Daerah Kardinah; RS Umum Tk. IV Tegal; RS Ibu dan Anak Kasih Ibu Tegal; RS Umum Darmayu Ponorogo; RS Umum Muslimat Ponorogo; RS Yasyfin Darussalam Gontor; RS Umum Daerah Bantarangin; RS Umum Daerah dr. Soedomo Trenggalek; RS Umum Budi Asih Trenggalek; RS Umum Islam Orpeha; RS Umum Era Medika; RS Umum Satiti Prima Husada; RS Umum Islam  Madinah; RS Putra Waspada Tulungagung; RS Umum Prima Medika; RS Umum Daerah Campurdarat; RS Umum Daerah Ngudi Waluyo Wlingi; RS Umum Aulia Blitar; RS Umum Ananda; RS Umum Medika Utama;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Madinah Kasembon; RS Enggal Dangan; RS Umum Cahaya Medika; RS Wijaya Kusuma Lumajang; RS Bhayangkara Lumajang; RS Umum Djatiroto; RS Islam Lumajang; RS Umum Daerah Pasirian Kabupaten Lumajang; RS Umum Muhammadiyah Lumajang; RS Nahdlatul Ulama Permata; RS Perkebunan PTPN X (Persero) Jember; RS Paru Jember; RS Utama Husada Jember; RS Daerah Kalisat Jember; RS Daerah Balung Jember; RS Bina Sehat Jember; RS Umum Citra Husada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Islam Siti Hajar Sidoarjo; RS Umum Jasem; RS Umum Al-Islam H. M. Mawardi; RS Umum Assakinah Medika; RS Umum Citra Medika; RS Ibu dan Anak Pondok Tjandra; RS Umum Aisyiyah Siti Fatimah; RS Arafah Anwar Medika Sukodono; RS Umum Bunda; RS Umum Aminah; RS Umum Mitra Sehat Mandiri Sidoarjo; RS Pusura Candi; RS Sido Waras; RS Dharma Husada; RS Mutiara Hati Mojokerto; RS Umum Kartini; RS Dian Husada; RS Umum Daerah Raden Achmad Basoeni; RS Kristen Mojowarno; RS Ibu dan Anak Muslimat Jombang; RS Umum Islam Jombang; RS Unipdu Medika Jombang;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Dolopo; RS Umum Bhakti Persada; RS Angkatan Udara dr. Efram Harsana; RS Umum Widodo; RS Umum At-Tin Husada; RSI Muhammadiyah Sumberrejo; RS Umum Daerah Sumberrejo; RS umum Daerah Padangan; RS Bhayangkara Wahyu Tutuko Bojonegoro; RS Muhammadiyah Kalitidu; RS Ibu dan Anak Fatma; RS Umum Daerah Kepohbaru; RS Muhammadiyah Tuban; RS Nahdlatul Ulama Tuban; RS Umum Daerah R. Ali Manshur; RS Graha Husada; RS Islam Nashrul Ummah; RS Umum dr. Suyudi; RS Umum Intan Medika; RS Muhammadiyah Babat; RS Umum Citra Medika Lamongan; RS Umum Muhammadiyah Babat; RS Umum Daerah Karangkembang; RS Muhammadiyah Kalikapas Lamongan; RS Permata Hati Lamongan; RS Nahdlatul Ulama Babat; RS Umum Nyai Ageng Pinatih Gresik; RS Denisa; RS Umum Mabarrot MWC NU; RS Umum Wates Husada; RS Umum Wali Songo I; RS Grha Husada Gresik; RS Fathma Medika; RS PKU Muhammadiyah Sekapuk; RS Petrokimia Gresik Driyorejo; RS Surya Medika; RS Umum Daerah Umar Mas'ud Bawean; RS Umum Randegansari Husada; RS Umum Daerah Gresik Sehati; RS Umum Anna Medika Madura; RS Nindhita; RS Umum Daerah Ketapang; RS Sukma Wijaya; RS Qona'ah; RS Umum Daerah Dr. H. Slamet Martodirdjo Pamekasan; RS Umum Larasati Pamekasan; RS Umum Kusuma Hospital; RS Ibu dan Anak Puri Bunda Madura; RS Umum Daerah dr. H. Moh. Anwar; RS Islam Garam Kalianget; Rumah Sakit Baghraf Health Care; RS TK. IV 05.07.02 Kediri; RS Umum Bhayangkara Kediri; RS Baptis Kediri; RS Umum Daha Husada; RS Muhammadiyah Ahmad Dahlan; RS Umum Lirboyo; RS Umum Ratih; RS Umum Daerah Kilisuci; RS Katolik Budi Rahayu; RS Umum Syuhada Haji; RS Umum Aminah Blitar; RS Islam Aminah; RS Umum Islam Aisyiyah Malang; RS Islam Unisma Malang; RS Umum Permata Bunda; RS Ibu dan Anak Puri Bunda; RS Ibu dan Anak Galeri Candra Malang; RS Umum Daerah Kota Malang; RS Bhirawa Bhakti;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Umum Adi Husada Kapasari; RS Umum Tk. III Brawijaya; RS Marinir Ewa Pangalila Gunungsari; RS Soemitro Lanud Moeljono Surabaya; RS Jiwa Menur; RS Bunda; RS Muji Rahayu; RS Al Irsyad Surabaya; RS Ibu dan Anak Pura Raharja; RS Gotong Royong; RS Bhakti Rahayu; RS Bhayangkara TK II HS. Samsoeri Mertojoso; RS Wiyung Sejahtera; RS Wijaya Surabaya; RS Ibu dan Anak Putri Surabaya; RS Manyar Medical Centre; RS Ibu dan Anak Bantuan 05.08.05 Surabaya; RS Mitra Keluarga Kenjeran; RS Umum Daerah Eka Candrarini; RS Umum dr. Etty Asharto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Siloam Bali; RS Umum Surya Husadha Nusa Dua; RS Bali Jimbaran; RS Umum Garba Med; RS Windu Husada; RS Umum Premagana; RS Umum Ari Canti; RS Umum Famili Husada; RS Umum Kasih Ibu Saba; RS Umum Payangan; RS Kenak Medika;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Umum Bali Royal; RS Umum Dharma Yadnya; RS Umum Puri Raharja; RS Umum Bhakti Rahayu; RS Umum Prima Medika; RS Ibu dan Anak Puri Bunda; RS Bhayangkara Denpasar; RS Umum Surya Husadha; RS 1407013S; RS 17030300003; RS 32170300071; RS 32180300024; RS 33240300048; RS 51070300015; RS 51080300002; RS 51080300021; RS K1210810; RS K1211037; RS K1216468; RS K1216828; RS K1217589; RS K1218046; RS K1218417; RS K1230271; RS K1230383; RS K1230557; RS K1231071; RS K1232070; RS K1232425; RS K1232458; RS K1232846; RS K1233490; RS K1234534; RS K1234757; RS K1235035; RS K1235083; RS K1235929; RS K1236049; RS K1238056; RS K1238199; RS K1238494; RS K1238862; RS K1239274; RS K1250027; RS K1250201; RS K1471002; RS K2171001; RS K3201003; RS K3201004; RS K3204002; RS K3204006; RS K3204128; RS K3208001; RS K3208002; RS K3213001; RS K3214003; RS K3273005; RS K3273007; RS K3274001; RS K3274013; RS K3276006; RS K3324079; RS K3507001; RS K3507078; RS K3518002; RS K3522001; RS K3526001; RS K3526004; RS K3573002; RS K3578005; RSU Santo Yusup Boro; RS Umum Rizki Amalia Medika; RS Umum Daerah Nyi Ageng Serang; RS Umum Pura Raharja Medika; RS Umum Queen Latifa; RS Umum Santa Elisabeth; RS Umum Nur Hidayah; RS Umum Rachma Husada; RS 3402077; RS Rajawali Citra; RS Umum Daerah Saras Adyatma; RS Umum Nur Rohmah; RS Umum Panti Rahayu; RS Umum PKU Muhammadiyah Wonosari; RS Bethesda Wonosari; RS Umum Daerah Saptosari; RS Islam Gunungkidul; Charitas Hospital Klepu; RS Umum Queen Latifa; RS Umum Condong Catur; RS Umum Panti Rini; RS Umum Panti Nugroho; RS Umum Sakina Idaman; RS Umum Daerah Prambanan; RS Umum Mitra Paramedika; RS Umum Gramedika 10; RS Umum Bhayangkara POLDA DIY; RS Sadewa; RS Umum Mitra Sehat; RS Universitas Ahmad Dahlan; RS PKU Muhammadiyah Sleman; RS Islam Hidayatullah Yogyakarta; RS Tk. III 04.06.03 Dr. Soetarto; RS Khusus Ibu dan Anak  PKU Muhammadiyah Kotagede; RS Bethesda Lempuyangwangi; RS Happy Land Medical Centre; RS Pratama Kota Yogyakarta; RS Siloam Yogyakarta; RS AMC Muhammadiyah; RS K1239182</x:v>
      </x:c>
      <x:c r="G15" s="8">
        <x:v>280</x:v>
      </x:c>
      <x:c r="H15" s="7" t="str">
        <x:v>RS Umum Daerah Ahmad Syafi'I Ma'arif; RS Umum Daerah Prof H Muhammad Yamin, SH; RSUP Dr. M. Djamil; RS Islam Siti Rahmah; RS. Universitas Andalas; RS Umum Hermina Padang; RS Umum Daerah Dr. Achmad Mochtar; RS Umum  Efarina; RS Umum  Awal Bros Ujung Batu; RS Umum Awal Bros Bagan Batu; RS Santa Maria Pekanbaru; RS Umum  Eka Hospital Pekanbaru; RS Umum  Syafira; RS Murni Teguh Eria; RS Awal Bros A. Yani; RS Umum  Awal Bros Panam; RS Umum  Prima Pekanbaru; RS Hermina Pekanbaru; RS Awal Bros Dumai; RS Umum Daerah Raden Mattaher Jambi; RS Tk. III 02.06.01  dr. Bratanata; RS Umum Daerah Dr. M. Yunus Bengkulu; RS Badan Pengusahaan Batam; RS Umum Daerah Embung Fatimah Kota Batam; RS Umum Daerah Raja Ahmad Tabib; RS Awal Bros Botania; RS Umum Daerah Cibinong; RS Umum Daerah Ciawi; RS Umum Daerah RH. Satibi; RS Umum Rumah Sehat Terpadu Dompet Dhuafa; RS Umum Hermina Mekarsari; RS EMC Sentul; RS Universitas Indonesia; RS Eka Hospital; RS Umum Hermina Sukabumi; RS Umum Betha Medika; RS Umum Bhakti Medicare; RS Umum Daerah Sayang; RS Umum Daerah Cimacan; RS Hermina Soreang; Rumah Sakit TK.IV 03.07.04 Guntur; RS Umum Daerah dr. Soekardjo; RS Umum Dadi Keluarga Ciamis; RS Umum Daerah Waled; RS Pertamina Cirebon; RS Umum Mitra Plumbon; RS Umum Permata Cirebon; RS Umum Sumber Waras; Sentra Medika Hospital Gempol; RS Umum Daerah Cideres; RS Umum Daerah Umar Wirahadikusumah; RS Umum Daerah Kab. Indramayu; RS Mitra Plumbon Indramayu; RS Mitra Plumbon Patrol; RS Umum Siloam Purwakarta; RS Umum Daerah Karawang; RS Umum Lira Medika; RS Umum Fikri Medika; RS Hermina Karawang; RS Primaya Karawang; RS Permata Keluarga Karawang; Sentra Medika Hospital Cikarang; RS Umum Daerah Kab.Bekasi; RS Umum St. Elisabeth; RS Umum Hermina Grand Wisata; RS Mitra Plumbon Cibitung; RS Umum Hermina Galaxy; RS EMC Cikarang; RS EMC Pekayon; RS Eka Bekasi; RS Umum Cahya Kawaluyan; RS Umum PMI Bogor; RS Umum Hermina Bogor; RS Umum Daerah R. Syamsudin, SH; RSAU dr. M. Salamun; RS Umum Immanuel Bandung; RS Umum Santo Yusup; RS Umum Santo Borromeus; RS Umum Advent Bandung; RS Umum Hermina Arcamanik; RS Umum Daerah Bandung Kiwari; RS Umum Daerah Kota Bandung; RS Umum Al-Islam Bandung; RS Umum Hermina Pasteur; RS Umum Santosa Hospital Bandung Kopo; RS Umum Melinda 2; RS Edelweiss; RS Daerah Gunung Jati; RS Umum Putera Bahagia; RS Umum Daerah dr. Chasbullah Abdulmadjid; RS Siloam Sentosa; RS Primaya; RS Primaya Bekasi Utara; RS Umum Hermina Bekasi; RS Umum Bhakti Kartini; RS Umum Permata Bekasi; RS Umum Anna; RS Siloam Bekasi Sepanjang Jaya; RS Umum Sentra Medika; RS Umum Mitra Keluarga Depok; RS Umum Bhayangkara Brimob; RS Umum Daerah Khidmat Sehat Afiat Kota Depok; RS Umum Hasanah Graha Afiah; RS Umum Permata Depok; RS Umum Alia Hospital; RS Primaya Depok; RS Umum Tk. II Dustira; RS Umum Daerah Cilacap; RS umum Daerah Banyumas; RS Umum Daerah Prof Dr. Margono Soekarjo; RS Umum Tk. III Wijayakusuma; RS Umum Daerah Ajibarang; RS Umum Dadi Keluarga; RS Hermina Purwokerto; RS Umum Daerah dr. R. Goeteng Taroenadibrata; RS Umum Siaga Medika Purbalingga; RS Umum Daerah Hj. Anna Lasmanah Banjarnegara; RS Umum Emmanuel; RS Umum Daerah dr. Soedirman Kabupaten Kebumen; RS Umum Daerah Dr. Tjitrowardojo Purworejo; RS Umum Setjonegoro Wonosobo; RS Umum Daerah Pandan Arang Boyolali; RS Umum Daerah Waras Wiris; RS Indriati Boyolali; RS Umum Pusat Dr. Soeradji Tirtonegoro; RS Umum Islam Klaten; RS Umum Cakra Husada; RS Umum Nirmala Suri; RS Umum Dr. Oen Solo Baru; RS Umum Universitas Sebelas Maret; RS Umum Indriati; RS Hermina Wonogiri; RS Umum Daerah Dr. R.Soedjati Soemodiardjo; RS Umum Panti Rahayu; RS Umum Daerah dr. R. Soetrasno Rembang; RS Umum Keluarga Sehat; RS Keluarga Sehat Tayu; RS Umum Mardi Rahayu; RS Umum  Islam Sunan Kudus; RS Umum Daerah R. A. Kartini; RS Umum Daerah Sunan Kalijaga; RS Umum Daerah dr. Gunawan Mangunkusumo; RS Umum Ken Saras; RS Umum Daerah Kabupaten Temanggung; RS Umum Ngesti Waluyo; RS PKU Muhammadiyah Temanggung; RS Umum Daerah  Dr. H. Soewondo Kendal; RS Umum Islam Kendal; RS Umum Qim; RS Umum Daerah dr. Soeselo Slawi Kabupaten Tegal; RSI PKU Muhammadiyah Tegal; RS Umum Daerah Brebes; RS Umum Daerah Tidar; RS Umum Tk. II Dr. Soedjono; RS Jiwa Prof. Dr. Soerojo; RS Umum Dr. Oen; RS Umum Brayat Minulya; RS 3372051; RS PKU Muhammadiyah Surakarta; RS Umum Kasih Ibu; RS Umum Hermina Solo; RS Umum Daerah Bung Karno Kota Surakarta; RS Umum Daerah Kota Salatiga; RS Umum Pusat Dr. Kariadi;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Keluarga Sehat III Semarang; RS Umum  Mitra Siaga; RS Umum Islam Harapan Anda; RS Umum Daerah  dr. Darsono; RS Umum Daerah Dr. Harjono S. Kabupaten Ponorogo; RS Umum Aisyiyah Ponorogo; RS Umum Muhammadiyah Ponorogo; RS Umum Daerah Dr. Iskak; RS Umum Bhayangkara Tulungagung; RS Umum Daerah Kanjuruhan Kepanjen Kab. Malang; RS Umum Wava Husada; RS Umum Daerah Dr. Haryoto Kabupaten Lumajang; RS Umum Daerah Dr. Soebandi Jember; RS Tk. III Baladhika Husada Jember; RS Kaliwates Jember; RS Siloam Jember; RS Umum dr. H.Koesnadi Bondowoso; RS Rizani; RS Umum Daerah Bangil; RS Prima Husada; RS Umum Daerah R. T. Notopuro Sidoarjo; RS Umum Siti Khodijah Muhammadiyah Cabang Sepanjan; RS Bhayangkara TK.III Pusdik Sabhara Porong; RS Umum Delta Surya; RS Umum Anwar Medika; RS Umum Daerah Sidoarjo Barat; RS Umum Daerah Sumberglagah; RS Umum Daerah Prof. Dr. Soekandar; RS Islam Sakinah; RS Mawaddah Medika; RS Umum Daerah Kab. Jombang; RS Umum Daerah Ploso; RS Umum Daerah Nganjuk; RS Umum Daerah Caruban; RS Umum Daerah dr. Sayidiman Magetan; RS Umum Daerah Dr. Soeroto Ngawi; RS Umum Daerah Dr. R. Sosodoro Djatikoesoemo; Rumah Sakit Aisyiyah Bojonegoro; RS Umum Daerah Dr. R. Koesma Tuban; RS Medika Mulia Tuban; RS Umum Daerah Dr. Soegiri Lamongan; RS Umum Muhammadiyah Lamongan; RS Umum Daerah Ibnu Sina Kab. Gresik; RS Semen Gresik; RS Petrokimia Gresik; RS Muhammadiyah Gresik; RS Eka Husada; RS Umum Daerah Syarifah Ambami Rato Ebu; RS Umum Daerah dr. Mohammad Zyn Kab. Sampang; RS 3528038; RS Umum Daerah Gambiran; RS Umum Daerah Mardi Waluyo; RS Umum Daerah Dr. Saiful Anwar; RS Umum Panti Nirmala; RS Umum Panti Waluya Sawahan Malang; RS Umum Lavalette Malang; RS Umum Hermina Tangkubanprahu; RS Universitas Brawijaya; RS Umum Daerah dr. Mohamad Saleh Kota Probolinggo; RSUD dr. Wahidin Sudiro Husodo Kota Mojokerto; RS Gatoel; RS Umum Daerah Dr. Soedono Madiun; RS Hermina Madiun; RS William Booth Surabaya; RS Islam Surabaya; RS Umum Daerah Bhakti Dharma Husada; RS Umum Islam Surabaya Jemursari; RS Umum Daerah Husada Prima; RS Umum Siloam Hospitals Surabaya; RS Umum Daerah Haji Provinsi Jawa Timur; RS Husada Utama Surabaya; RS Umum Daerah dr. Mohamad Soewandhie; RS Universitas Airlangga; RS Umum Royal Surabaya; Mayapada Hospital Surabaya; RS Ubaya; RS Bhayangkara Hasta Brata Batu; RS Umum Daerah Tabanan; RS Daerah Mangusada; RS Universitas Udayana; RS Umum Murni Teguh Tuban Bali; RS Umum Daerah Sanjiwani Gianyar; RS Umum Ganesha; RS Umum Daerah Klungkung; RS Umum Grha Bhakti Medika; RS TK. II Udayana; RS Umum Surya Husadha; RS BaliMed; RS Umum Daerah Bali Mandara Provinsi Bali; RS Umum Daerah Wates; RS Umum Daerah Panembahan Senopati; RSU PKU Muhammadiyah Bantul; RS Universitas Islam Indonesia; RS Umum Daerah Wonosari; RS Umum Daerah Sleman; RS Islam Yayasan PDHI; RS Umum PKU Muhammadiyah Gamping; RS Akademik Universitas Gadjah Mada; RS Umum Hermina Yogya; RS PKU Muhammadiyah Yogyakarta; RS Umum Panti Rapih; RS Bethesda Yogyakarta; RSPAU Dr.  Suhardi Harjolukito; RS Umum Daerah Kota Yogyakarta</x:v>
      </x:c>
      <x:c r="I15" s="8">
        <x:v>13</x:v>
      </x:c>
      <x:c r="J15" s="7" t="str">
        <x:v>RS Umum Daerah  Arifin Achmad; RS Umum  Awal Bros Pekanbaru; RS Umum Awal Bros Batam; RS Umum Hermina Depok; RS Umum Sentra Medika Cibinong; RS Umum Daerah Welas Asih Provinsi Jawa Barat; RS Umum Santosa Hospital Bandung Central; RS Primaya Bekasi Barat; RS Umum Telogorejo Semarang; RS Tk. II Dr. Soepraoen; RSPAL dr. Ramelan; RS Primasatya Husada Citra (PHC) Surabaya; RSUP Dr. Sardjito</x:v>
      </x:c>
      <x:c r="K15" s="8">
        <x:v>3</x:v>
      </x:c>
      <x:c r="L15" s="7" t="str">
        <x:v>RS Umum Pusat Dr. Hasan Sadikin; RS Umum Daerah Dr. Soetomo; RSUP Prof. Dr. I.G.N.G. Ngoerah</x:v>
      </x:c>
      <x:c r="M15" s="8">
        <x:v>16</x:v>
      </x:c>
      <x:c r="N15" s="7" t="str">
        <x: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x:v>
      </x:c>
    </x:row>
    <x:row r="16">
      <x:c r="A16" s="7" t="str">
        <x:v>NEOPLASMA</x:v>
      </x:c>
      <x:c r="B16" s="7" t="str">
        <x:v>Neoplasma</x:v>
      </x:c>
      <x:c r="C16" s="8">
        <x:v>3</x:v>
      </x:c>
      <x:c r="D16" s="7" t="str">
        <x:v>Utama</x:v>
      </x:c>
      <x:c r="E16" s="8">
        <x:v>1136</x:v>
      </x:c>
      <x:c r="F16" s="7" t="str">
        <x: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Mohammad Natsir;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Umum Daerah  Selasih Riau; RS Umum  Efarina; RS Umum  Medicare Sorek; RS Umum  Amalia Medika; RS Umum Daerah Tengku Rafi'an Siak Sri Indrapura; RS Umum Daerah Tualang; RS Umum Daerah  Bangkinang; RS Umum  Tandun; RS Umum  Mesra; RS Ibu Anak  Husada Bunda;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 Syafira; RS Umum Daerah  Petala Bumi; RS Umum  Islam Ibnu Sina; RS Prof. Dr. Tabrani; RS Umum  Bina Kasih; RS Murni Teguh Eria; RS Umum  Pekanbaru Medical Center; RS Awal Bros A. Yani; RS Ibu dan Anak Annisa; RS Ibu dan Anak  Zainab; RS Umum  Universitas Riau; Aulia Hospital; RS Umum  Prima Pekanbaru;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Umum Melati; RS As-syifa; RS Umum Daerah Kabupaten Rejang Lebong; RS Assalam; RS Umum Daerah Arga Makmur; Charitas Hospital Arga Makmur; RS Umum Daerah Mukomuko; RS Umum Daerah Harapan dan Doa; RS Umum Ummi Bengkulu; RS Gading Medika; RS Umum Daerah Dr. M. Yunus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Daerah Embung Fatimah Kota Batam; RS Umum Daerah Raja Ahmad Tabib; RS Umum Daerah Kota Tanjung Pinang; RS Santa Elisabeth Sei Lekop; RS Hj. Bunda Halimah Batam; RS Awal Bros Botania;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Umum Ummi; RS Umum Kenari Graha Medika; RS Umum Permata Jonggol; RS Umum Karya Bhakti Pratiwi; RS Asysyifaa; RS Helsa Citeureup; RS Harapan Sehati; Bogor Senior Hospital; RS Umum Nuraida; RS Eka Hospital;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Umum Daerah Waled;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RSAU dr. Hoediyono Lanud Suryadarma; RS Umum Pamanukan Medical Center (PMC); RS Indosehat 2003; RS Umum Daerah Bayu Asih; RS Umum Siloam Purwakarta; RS Umum dr. Abdul Radjak Purwakarta; RS Umum Asri Purwakarta; RS Umum Rama Hadi; RS Umum Amira; RS Umum Holistic Purwakarta; RS Umum Bhakti Husada II Purwakarta; RS Umum Karina Medika; RS Umum Daerah Karawang; RS Umum Dewi Sri; RS Umum Karya Husada; RS Umum Proklamasi; RS Umum Islam Karawang; RS Umum Saraswati; RS Umum Citra Sari Husada; RS Umum Izza; RS Umum Mandaya; RS Umum Daerah Jatisari Kabupaten Karawang; RS Umum Lira Medika; RS Umum Fikri Medika; RS Umum Puri Asih; RS Umum Helsa; RS Umum Rosela; RS Umum Sentral Medika; RS Umum Amanda Mitra Keluarga; RS Hermina Karawang; RS Primaya Karawang; RS Permata Keluarga Karawang; RS Hastien; RS EFARINA ETAHAM KARAWANG; RS Umum Bhakti Husada; RS Umum Karya Medika; RS Umum Annisa; Siloam Hospitals Lippo Cikarang; Sentra Medika Hospital Cikarang; RS Umum Hosana Medica; RS Umum Ananda; RS Umum Daerah Kab.Bekasi; RS Umum St. Elisabeth; RS Umum Medirossa Cikarang; RS Umum Karya Medika II; RS dr. Abdul Radjak Jababeka; RS Amanda Cikarang Selatan; RS Mitra Plumbon Cibitung; RS Umum Hermina Galaxy; RS Emhaka; RS Uni Medika Setu Bekasi; RS Umum Anna Medika; RS Umum Metro Hospitals; RS Umum Harapan Mulia; RS Umum Kartika Husada Setu; RS Umum Amanda; RS Umum Ridhoka Salma; RS Umum Permata Keluarga Lippo Cikarang; RS Umum Tiara; RS Umum Medirossa 2; RS Umum Kartika Husada; RS DKH Sukatani; RS EMC Cikarang; RS Umum Daerah Cabangbungin; RS Umum Permata Keluarga Jababeka; RS EMC Cibitung; RS Cenka; RS EMC Pekayon; RS Mitra Keluarga Pratama; RS Ananda Babelan; RS Eka Bekasi; RS Hermina Metland Cibitung; RS Umum dr. Abdul Radjak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Umum Bhayangkara Tk. IV Bogor; RS Graha Medika Bogor; RS Umum Ridogalih; RS Umum Assyifa Sukabumi; RS Umum Kartika Kasih; RS Umum Daerah Al-Mulk; RSU Bhayangkara Tk. II Sartika Asih; RSAU dr. M. Salamun; RS 3273046; RS Umum Immanuel Bandung; RS Umum Santo Yusup; RS Umum Advent Bandung; RS Umum Pindad; RS Umum Muhammadiyah; RS Umum Bungsu; RS Umum Hermina Arcamanik; RS Umum Tk. IV 03.07.03 Sariningsih; RS Paru Dr. H. A. Rotinsulu; RS Umum Daerah Bandung Kiwari; RS Umum Daerah Kota Bandung; RS Khusus Ginjal Ny. R. A. Habibie; RS AMC; RS Umum Melinda 2; RS Ibu dan Anak Al Islam; RS Edelweiss; RS Pasundan; RS Daerah Gunung Jati; RS Umum Tk. III Ciremai; RS Umum Panti Abdi Dharma; RS Umum Pelabuhan Cirebon; RS Umum Putera Bahagia; RS Umum Sumber Kasih; RS Umum Budi Asta; RS Umum Muhammadiyah; RS Umum Medimas; RS Umum Sumber Hurip; RS Umum Daerah dr. Chasbullah Abdulmadjid; RS Karunia Kasih; RS Mekar Sari; RS Siloam Sentosa; RS Umum Masmitra; RS Umum Mitra Keluarga Bekasi Timur; RS Umum Juwita; RS Umum Taman Harapan Baru; RS DKH Kedungwaringin; RS Umum Karya Medika Bantar Gebang; RS Helsa; RS Siloam Bekasi Timur; RS Primaya;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Citra Harapan;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Ananda Purwokerto; RS Umum Sinar Kasih; RS Umum Daerah Ajibarang; RS Umum Wiradadi Husada; RS Umum Siaga Medika Banyumas; RS Umum Medika Lestari Banyumas;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PKU Muhammadiyah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Islam Purworejo; RS Umum Budi Sehat Purworejo; RS Amanah Umat Purworejo; RS Umum Daerah R.A.A Tjokronegoro; RS Umum Setjonegoro Wonosobo; RS Umum Islam Wonosobo; RS Umum  PKU Muhammadiyah Wonosobo; RS Umum Aisyiyah Muntilan; RS Umum Syubbanul Wathon; RS Umum Daerah Merah Putih; RS Umum Umi Barokah; RS Umum  Karanggede Sisma Medika; RS Umum Daerah Waras Wiris; RS Umum Daerah Simo; RS Umum Asy-Syifa Sambi; RS Umum Hidayah Boyolali; RS Umum Islam Banyubening Boyolali; RS Umum Natalia; RS Indriati Boyolali; RS Umum Islam Boyolali; RS Umum Pusat Dr. Soeradji Tirtonegoro; RS Jiwa Daerah Dr. RM. Soedjarwadi; RS 3310040;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Umum Jati Husada Karanganyar; RS Umum Jafar Medika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Daerah Ki Ageng Getas Pendowo Gubug; RS Umum Trimedika Ketapang; RS Umum Daerah Dr. R. Soetijono Blora; RS Umum Permata Blora; RS Umum PKU Muhammadiyah Cepu; RS Umum PKU Muhammadiyah Blora; RS Ibu dan Anak NU Cakra Medika; RS Umum Daerah dr. R. Soetrasno Rembang; RS Umum Islam Arafah;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Islam Sunan Kudus; RS Sarkies 'Aisyiyah Kudus; RS Umum Daerah R. A. Kartini;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Gunawan Mangunkusumo; RS Umum Daerah dr. Gondo Suwarno; RS 3322037; RS Umum Kusuma Ungaran; RS Umum Daerah Kabupaten Temanggung; RS Umum Ngesti Waluyo; RS PKU Muhammadiyah Temanggung; RS Umum Islam Kendal; RS Umum Daerah Batang;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Tk. II Dr. Soedjono; RS 3371039; RS Jiwa Prof. Dr. Soerojo; RS Umum Lestari Raharja; RS Umum Harapan; RS Umum Islam Magelang; RS Umum Daerah Budi Rahayu; RS Umum Tk III Slamet Riyadi Surakarta; RS Umum Brayat Minulya;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Umum Puri Asih; RS Umum William Booth;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Umum Bhayangkara Akpol Semarang; RS Umum Banyumanik; RS Umum Hermina Banyumanik Semarang; RS Umum Nasional Diponegoro; RS Umum Banyumanik 2; RS Primaya Kota Semarang; RS Keluarga Sehat III Semarang; RS Unimus; RS Cepoko; RS Samsoe Hidajat; RS Umum Budi Rahayu; RS Umum Siti Khodijah; RS Umum Karomah Holistic; RS Umum Anugerah Pekalongan; RS Umum H. A. Zaky Djunaid; RS Umum  ARO; RS Umum Hermina Pekalongan; RS Umum Daerah Kardinah; RS Umum  Mitra Siaga; RS Umum Islam Harapan Anda; RS Umum Daerah  dr. Darsono; RS Umum Medical Mandiri Pacitan;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Wava Husada Kesamben; RS Umum Daerah Srengat Kab. Blitar; RS Umum An-Nisaa; RS Umum Daerah Kabupaten Kediri; RS Toeloengredjo; RS Umum Amelia; RS Umum Arga Husada; RS Umum  Aura Syifa; RS Umum  Wilujeng; RS Umum Daerah Simpang Lima Gumul Kediri; RS Bala Keselamatan Bokor; RS Umum Daerah Kanjuruhan Kepanjen Kab. Malang; RS Marsudi Waluyo; RS Umum Daerah Lawang; RS Umum Wava Husada; RS Mitra Delima; RS Prasetya Husada; RS Angkatan Udara dr. Munir Lanud Abdulrachman Saleh; RS Prima Husada; RS Lawang Medika; RS Ben Mari; RS Umum Universitas Muhammadiyah Malang; RS Umum Pindad; RS Umum Wajak Husada; RS Sumber Sentosa; RS Umum Islam Madinah Kasembon; RS Bedah Hasta Husada;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Rahayu Medika; RS Umum dr. H.Koesnadi Bondowoso;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Aminah; RS Umum Mitra Sehat Mandiri Sidoarjo; RS Pusura Candi; RS Umum Daerah Sidoarjo Barat; RS Umum Daerah Sumberglagah; RS Umum Daerah Prof. Dr. Soekandar; RS Sido Waras; RS Islam Arofah; RS Umum Kartini; RS Islam Sakinah; RS Umum Daerah Raden Achmad Basoeni; RS Mawaddah Medika; RS Umum Daerah Kab. Jombang; RS Kristen Mojowarno; RS Airlangga Jombang; RS Umum Islam Jombang; RS Unipdu Medika Jombang; RS Umum Daerah Ploso; RS Umum dr. Moedjito Dwidjosiswojo; RS Muhammadiyah Jombang; RS Umum Nadhlatul Ulama Jombang; RS Umum Pelengkap Medical Center; RS Umum PKU Muhammadiyah Mojoagung; RS Hasyim Asy'ari; RS Umum Daerah Nganjuk;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 Umum Daerah Geneng; RS Umum Daerah Dr. R. Sosodoro Djatikoesoemo; Rumah Sakit Aisyiyah Bojonegoro; RSI Muhammadiyah Sumberrejo; RS Umum Daerah Sumberrejo; RS umum Daerah Padangan; RS Bhayangkara Wahyu Tutuko Bojonegoro; RS Muhammadiyah Kalitidu; RS Umum Daerah Kepohbaru; RS Umum Daerah Dr. R. Koesma Tuban; RS Medika Mulia Tuban; RS Muhammadiyah Tuban; RS Nahdlatul Ulama Tuban; RS Umum Daerah R. Ali Manshur; RS Graha Husada; RS Umum Daerah Dr. Soegiri Lamongan;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Daerah Syarifah Ambami Rato Ebu; RS Umum Anna Medika Madura; RS Umum Daerah dr. Mohammad Zyn Kab. Sampang; RS Umum Daerah Ketapang; RS Sukma Wijaya; RS Qona'ah; RS Umum Daerah Dr. H. Slamet Martodirdjo Pamekasan; RS Umum Larasati Pamekasan; RS Umum Daerah Waru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Daerah Dr. Saiful Anwar; RS Umum Panti Nirmala; RS Umum Panti Waluya Sawahan Malang; RS Umum Islam Aisyiyah Malang; RS Islam Unisma Malang; RS Umum Hermina Tangkubanprahu; RS Umum Permata Bunda; RS Ibu dan Anak Puri Bunda; RS Ibu dan Anak Galeri Candra Malang; RS Umum Daerah Kota Malang; RS Bhirawa Bhakti; RS Universitas Brawijaya;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Daerah Dr. Soedono Madiun; RS Umum Santa Clara; RS Umum TNI AD Tk. IV 05.04.01 Kota Madiun; RS Umum Islam Siti Aisyah; RS Umum Daerah Kota Madiun; RS Umum Griya Husada Madiun; RS Umum Darmayu Madiun; RS Hermina Madiun; RS William Booth Surabaya; RS Primasatya Husada Citra (PHC) Surabaya; RS Umum Adi Husada Kapasari; RS Islam Surabaya; RS Marinir Ewa Pangalila Gunungsari; RS Jiwa Menur; RS Umum Daerah Bhakti Dharma Husada; RS Umum Islam Surabaya Jemursari; RS Bunda; RS Umum Daerah Husada Prima; RS Umum Siloam Hospitals Surabaya; RS Al Irsyad Surabaya; RS Umum Daerah Haji Provinsi Jawa Timur; RS Husada Utama Surabaya; RS Ibu dan Anak Pura Raharja; RS Gotong Royong; RS Bhakti Rahayu; RS Islam Darus Syifa; RS Bhayangkara TK II HS. Samsoeri Mertojoso; RS Wiyung Sejahtera; RS Wijaya Surabaya; RS Manyar Medical Centre; RS Universitas Airlangga; RS Umum Royal Surabaya; RS Surabaya Medical Service; RS Mitra Keluarga Kenjeran; Mayapada Hospital Surabaya; RS Ubaya;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Siloam Bali;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Balimed Buleleng; RS Ibu dan Anak Puri Bunda Singaraja; RS Umum Daerah Wangaya; RS TK. II Udayana; RS Umum Surya Husadha; RS Umum Bali Royal; RS Umum Dharma Yadnya; RS Umum Puri Raharja; RS Umum Bhakti Rahayu; RS Umum Prima Medika; RS BaliMed; RS Ibu dan Anak Puri Bunda; RS Bhayangkara Denpasar; RS Umum Surya Husadha; RS Umum Daerah Bali Mandara Provinsi Bali; RS 1407013S; RS 32170300071; RS 32180300024; RS 32790300017; RS 35280300023; RS 35730300108; RS 35730300126; RS 51080300002; RS K1211037; RS K1211109; RS K1218046; RS K1230417; RS K1231529; RS K1232425; RS K1232846; RS K1234757; RS K1235929; RS K1238056; RS K1238492; RS K1238494; RS K1239006; RS K1239091; RS K1305001; RS K1306009; RS K3204002; RS K3208001; RS K3209002; RS K3209004; RS K3213001; RS K3271002; RS K3273005; RS K3273007; RS K3273008; RS K3276079; RS K3302002; RS K3304001; RS K3322001; RS K3507001; RS K3507002; RS K3519001; RS K3522001; RS K5171006; RS Umum Daerah Wates;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Umum Condong Catur; RS Umum Puri Husada Yogyakarta; RS Umum Panti Rini; RS Umum Panti Nugroho; RS Islam Yayasan PDHI; RS Umum Sakina Idaman; RS Umum Daerah Prambanan; RS Umum Mitra Paramedika; RS At-Turots Al-Islamy;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Umum Panti Rapih; RSPAU Dr.  Suhardi Harjolukito; RS Ludira Husada Tama; RS Bethesda Lempuyangwangi; RS Happy Land Medical Centre; RS Pratama Kota Yogyakarta; RS Siloam Yogyakarta; RS AMC Muhammadiyah</x:v>
      </x:c>
      <x:c r="G16" s="8">
        <x:v>47</x:v>
      </x:c>
      <x:c r="H16" s="7" t="str">
        <x:v>RSUP Dr. M. Djamil; RS Umum Daerah Dr. Achmad Mochtar; RS Umum Daerah  Arifin Achmad; RS Santa Maria Pekanbaru; RS Umum  Awal Bros Pekanbaru; RS Umum  Awal Bros Panam; RS Awal Bros Dumai; RS Badan Pengusahaan Batam; RS Umum Awal Bros Batam; RS Umum Hermina Depok; RS Umum Sentra Medika Cibinong; RS Universitas Indonesia; RS Umum Daerah Welas Asih Provinsi Jawa Barat; RS Umum Hermina Grand Wisata; RS Umum Daerah R. Syamsudin, SH; RS Umum Santo Borromeus; RS Umum Al-Islam Bandung; RS Umum Santosa Hospital Bandung Central; RS Umum Hermina Pasteur; RS Umum Santosa Hospital Bandung Kopo; RS Umum Hermina Bekasi; RS Umum Sentra Medika; RS Umum Dadi Keluarga; RS Umum Daerah Pandan Arang Boyolali; RS Umum Indriati; RS Umum Ken Saras; RS Umum Daerah Tidar; RS Umum Dr. Oen; RS 3372051; RS PKU Muhammadiyah Surakarta; RS Umum Kasih Ibu; RS Paru Dr. Ario Wirawan; RS Umum St. Elisabeth Semarang; RS Panti Wilasa "Dr. Cipto" Semarang; RS Daerah KRMT Wongsonegoro; RS Khusus Bedah Columbia Asia Semarang; RS Umum Daerah Dr. Soebandi Jember; RS Umum Daerah Bangil; RS Umum Daerah R. T. Notopuro Sidoarjo; RS 3528038; RS Tk. II Dr. Soepraoen; RS Umum Lavalette Malang; RSPAL dr. Ramelan; RS Umum Daerah dr. Mohamad Soewandhie; RS Umum Daerah Sleman; RS Bethesda Yogyakarta; RS Umum Daerah Kota Yogyakarta</x:v>
      </x:c>
      <x:c r="I16" s="8">
        <x:v>5</x:v>
      </x:c>
      <x:c r="J16" s="7" t="str">
        <x:v>RS Primaya Bekasi Barat; RS Umum Daerah Prof Dr. Margono Soekarjo; RS Umum Pusat Dr. Kariadi; RS Umum Daerah Dr. Soetomo; RSUP Prof. Dr. I.G.N.G. Ngoerah</x:v>
      </x:c>
      <x:c r="K16" s="8">
        <x:v>2</x:v>
      </x:c>
      <x:c r="L16" s="7" t="str">
        <x:v>RS Umum Pusat Dr. Hasan Sadikin; RSUP Dr. Sardjito</x:v>
      </x:c>
      <x:c r="M16" s="8">
        <x:v>7</x:v>
      </x:c>
      <x:c r="N16" s="7" t="str">
        <x:v>RS Umum Pusat Dr. Hasan Sadikin (Paripurna); RS Primaya Bekasi Barat (Utama); RS Umum Daerah Prof Dr. Margono Soekarjo (Utama); RS Umum Pusat Dr. Kariadi (Utama); RS Umum Daerah Dr. Soetomo (Utama); RSUP Prof. Dr. I.G.N.G. Ngoerah (Utama); RSUP Dr. Sardjito (Paripurna)</x:v>
      </x:c>
    </x:row>
    <x:row r="17">
      <x:c r="A17" s="7" t="str">
        <x:v>PARU DAN PERNAFASAN</x:v>
      </x:c>
      <x:c r="B17" s="7" t="str">
        <x:v>Paru &amp; Pernafasan</x:v>
      </x:c>
      <x:c r="C17" s="8">
        <x:v>3</x:v>
      </x:c>
      <x:c r="D17" s="7" t="str">
        <x:v>Utama</x:v>
      </x:c>
      <x:c r="E17" s="8">
        <x:v>920</x:v>
      </x:c>
      <x:c r="F17" s="7" t="str">
        <x:v>RS Umum Daerah Dr. Muhammad Zein Painan; RS Umum BKM; RS Umum Daerah Solok Selatan; RS Umum Daerah Prof H Muhammad Yamin, SH; RS Umum Daerah Padang Pariaman;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Ibu dan Anak Cicik; RS Islam Siti Rahmah; RS Umum Naili DBS; RS Umum Daerah Sawah Lunto; RS Umum Daerah Padang Panjang; RS Islam Ibnu Sina Bukittinggi; RS Umum Ibnu Sina Kota Payakumbuh; RS Umum Daerah Dr. Adnaan WD; RS Umum Daerah Teluk Kuantan; RS Umum Daerah  Indrasari Rengat; RS Umum  Kasih Ibu Rengat; RS Muizzah; RS Umum Daerah  Puri Husada Tembilahan; RS Umum Daerah  Selasih Riau; RS Umum  Medicare Sorek; RS Umum  Amalia Medika; RS Umum Daerah Tengku Rafi'an Siak Sri Indrapura; RS Umum Daerah Tualang; RS Umum Daerah  Bangkinang; RS Umum  Mesra; RS Norfa Husada; RS Umum Pelita; RS Nurlima; RS Umum Daerah  Rokan Hulu; RS Umum  Surya Insani; RS Umum Daerah  Bengkalis; RS Umum  Thursina; RS Umum  Permata Hati; RS Umum Daerah  Dr. RM. Pratomo Bagansiapiapi; RS Umum Daerah  Kabupaten Kepulauan Meranti; RS Tk. IV Pekanbaru; RS Bhayangkara Tk. III Kota Pekanbaru; RS Umum  Syafira;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Jiwa Daerah Provinsi Jambi; RS Siloam Jambi; RS Umum Daerah H. Abdul Manap; RS Islam Arafah; RS Umum Kambang; RS Umum Baiturahim Jambi; RS Mitra; RS Rapha Theresia; RS Umum Melati; RS As-syifa; RS Umum Daerah Kabupaten Rejang Lebong; Charitas Hospital Arga Makmur; RS Umum Daerah Mukomuko; RS Umum Daerah Kepahiang;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Charis Medika; RS Umum Graha Hermine; RS Umum Santa Elisabeth Batam Kota; RS Umum Camatha Sahidya; RS Umum Soedarsono Darmosoewito; RS Bhayangkara Batam Polda Kepri; RS Santa Elisabeth Sei Lekop; RS Mutiara Aini; RS Umum Bhakti Yudha; RS Umum Tugu Ibu; RS Umum Annisa; RS Mitra Keluarga Bina Husada; RS Umum Family Medical Center; RS Umum Mary Cileungsi Hijau; RS Umum Meilia; RS Umum Bunda Margonda; RS dr. Abdul Radjak Cileungsi; RS Umum Islam Bogor; RS Umum Citama; RS Sentosa; RS Umum Medika Dramaga; RSU Assalam; RS Umum Ummi; RS Ibu dan Anak Sawojajar; RS Umum Permata Jonggol; RS Umum Karya Bhakti Pratiwi; RS Ibu dan Anak Bunda Suryatni; RS Asysyifaa; RS Helsa Citeureup; RS Harapan Sehati; Bogor Senior Hospital; RS Pena 98; RS Paragon; RS Hermina Ciawi; RS Umum Daerah Sekarwangi; RS Umum Daerah Jampang Kulon; RS Umum Hermina Sukabumi; RS Umum Betha Medika; Rumah Sakit DKH Cibadak; RS Umum Daerah Sayang; RS Umum Daerah Cimacan; RS Umum Daerah Pagelaran; RS 3203062; RS Umum Kebonjati; RS Umum Mitra Kasih; RS Umum Daerah Cicalengka; RS Umum Humana Prima; RS Maranatha; RS Umum Daerah Kesehatan Kerja; RS Umum Karya Pangalengan Bhakti Sehat; RS Kartini; RS Umum TNI AU Lanud Sulaiman; RS Oetomo; RS Muhammadiyah Bandung Selatan; RS Umum Daerah Bedas Cimaung; RS Umum Daerah Bedas Kertasari; RS Umum Daerah Pameungpeuk Prov. Jabar; RS Medina; RS 3205035; RS Umum Daerah KHZ Musthafa Kabupaten Tasikmalaya; RS Umum Jasa Kartini; RS Umum Daerah Kab. Ciamis; RS Umum Daerah Banjar; RS Umum Permata Bunda; RS Umum Al-Arif; RS Umum Dadi Keluarga Ciamis; RS Umum Wijaya Kusumah; RS Umum Sekar Kamulyan; RS Umum Juanda; RS Umum El-Syifa; RS Umum Daerah Linggajati Kuningan; RS Jantung Hasna Medika Kuningan; RS Mitra Husada; RS Permata Kuningan; RS Pertamina Cirebon; RS Daerah Sidawangi; RS Umum Universitas Muhammadiyah Cirebon; RS Umum Permata Cirebon; RS Pasar Minggu Cirebon; RS Umum Sumber Waras; RS Umum Daerah Majalengka; RS Umum Livasya; Rumah Sakit Umum Djuansih Majalengka; RS Umum Daerah Umar Wirahadikusumah; RS Umum Pakuwon; RS Umum Harapan Keluarga; RS Universitas Padjadjaran; RS Cimalaka; RS Umum Daerah M. A. Sentot Patrol; RS Umum MM Indramayu; RS Umum Pertamina Balongan Indramayu; RS Sentra Medika Langut; RS Islam Zam-Zam Muhammadiyah Jatibarang; RS Umum Daerah Subang; RS Umum PTPN VIII; RSAU dr. Hoediyono Lanud Suryadarma; RS Umum Pamanukan Medical Center (PMC); RS Umum dr. Abdul Radjak Purwakarta; RS Umum Asri Purwakarta; RS Umum Rama Hadi; RS Umum Amira; RS Suliawati; RS Umum Bhakti Husada II Purwakarta; RS Umum Karina Medika; RS Umum Dewi Sri; RS Umum Karya Husada; RS Umum Proklamasi; RS Umum Islam Karawang; RS Umum Saraswati; RS Umum Delima Asih Sisma Medika; RS Umum Izza;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Ananda; RS Umum St. Elisabeth; RS Umum Medirossa Cikarang; RS Umum Karya Medika II; RS Ananda Tambun Selatan; RS dr. Abdul Radjak Jababeka; RS Amanda Cikarang Selatan; RS Umum Hermina Galaxy; RS Uni Medika Setu Bekasi; RS Umum Anna Medika; RS Umum Metro Hospitals; RS Umum Harapan Mulia; RS Umum Cikarang Medika; RS Umum Amanda; RS Umum Permata Keluarga Lippo Cikarang; RS Umum Kartika Husada; RS Dokter Adam Talib Cikunir; RS Umum Tarumajaya; RS Umum Pinna; RS Umum Daerah Cabangbungin; RS Umum Permata Keluarga Jababeka; RS Cenka; RS Mitra Keluarga Pratama; RS Ananda Babelan; RS Hermina Metland Cibitung; RS Umum dr. Abdul Radjak Cibitung; RS Umum Daerah Lembang; RS Ibu dan Anak Kartini; RS Umum Cahya Kawaluyan; RS Umum Daerah Pandega Pangandaran; RS Umum Salak; RS Jiwa dr. H. Marzoeki Mahdi;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Santo Yusup; RS Umum Pindad; RS Umum Muhammadiyah; RS Umum Tk. IV 03.07.03 Sariningsih; RS Khusus Ginjal Ny. R. A. Habibie; RS AMC; RS Umum Melinda 2; RS Ibu dan Anak Al Islam; RS Jantung dan Pembuluh Darah Paramarta; RS Pasundan; RS Umum Tk. III Ciremai; RS Umum Panti Abdi Dharma; RS 3274041; RS Umum Pelabuhan Cirebon; RS Umum Putera Bahagia; RS Umum Sumber Kasih; RS Umum Medimas; RS Umum Sumber Hurip; RS Ibu dan Anak Cahaya Bunda; RS Karunia Kasih; RS Mekar Sari; RS Umum Masmitra; RS Umum Mitra Keluarga Bekasi Timur; RS Umum Juwita; RS Umum Taman Harapan Baru; RS Umum Karya Medika Bantar Gebang; RS Helsa; RS Siloam Bekasi Timur; RS Primaya Bekasi Utara; RS Umum Daerah Jatisampurna; RS umum Daerah Teluk Pucung; RS Seto Hasbadi; RS Umum Bhakti Kartini; RS Umum Bella; RS Umum Anna; RS Umum Citra Harapan; RS Umum Jati Sampurna; RS Umum Islam dr. Subki Abdulkadir; RS Siloam Bekasi Sepanjang Jaya; RS Ibu dan Anak Selasih Medika; RS Umum Mitra Keluarga Depok; RS Umum Grha Permata Ibu; RS Umum Simpangan Depok; RS Ibu dan Anak Setya Bhakti; RS Siloam Heart Hospital; RS Umum Citra Medika Depok; RS Umum Citra Arafiq Sawangan; RS Umum Daerah Anugerah Sehat Afiat; RS Umum Mitra Anugrah Lestari; RS Umum Avisena; RS Umum Daerah Cibabat; RS Umum Kasih Bunda; RS Umum Baros; RS Umum Tasik Medika Citratama (TMC); RS Umum Prasetya Bunda; RS Umum Permata Bunda; RS Umum Mitra Idaman; RS Umum Banjar Patroman; RS Umum Islam Fatimah; RS Umum Daerah Majenang; RS Umum Duta Mulya; RS Umum Santa Maria Cilacap; RS Umum PKU Muhammdiyah Aghisna Kroya; RS Umum Afdila Cilacap; RS Umum Raffa Majenang; RS Umum Aghisna Medika Sidareja; RS Priscilla Medical Center; RS 3302040; RS Umum Santa Elisabeth Purwokerto; RS Umum An Ni'mah; RS Umum PKU Muhammadiyah Amanah Sumpiuh; RS Umum Islam Purwokerto; RS Umum Hidayah Purwokerto; RS Umum Bunda; RS Umum Ananda Purwokerto; RS Umum Sinar Kasih; RS Umum Daerah Ajibarang; RS Umum Siaga Medika Banyumas; RS Umum Medika Lestari Banyumas; RS Umum Dadi Keluarga; RS Hermina Purwokerto; RS Umum Nirmala; RS Umum Harapan Ibu; RS Umum Daerah Panti Nugroho; RS Ibu dan Anak Ummu Hani; RS Umum PKU Muhammadiyah Purbalingga; RS Islam At-Tin Husada Purbalingga; RS Umum Islam Banjarnegara; RS Umum Permata Medika Kebumen; RS Umum Palang Biru Gombong; RS Umum Wijayakusuma; RS Umum Purbowangi; RS Umum PKU Muhammadiyah Sruweng; RS Umum PKU Muhammadiyah Petanahan Kebumen; RS Umum Daerah Prembun; RS Umum  Aisyiyah; RS Umum Panti Waluyo Yakkum Purworejo; RS Umum Palang Biru Kutoarjo; RS Umum Budi Sehat Purworejo; RS Amanah Umat Purworejo; RS Umum Daerah R.A.A Tjokronegoro; RS Umum Islam Wonosobo; RS Umum  PKU Muhammadiyah Wonosobo; RS Umum Aisyiyah Muntilan; RS Umum Syubbanul Wathon; RS Umum Daerah Merah Putih; RS Umum PKU Aisyiyah Boyolali; RS Umum  Karanggede Sisma Medika; RS Umum Daerah Simo; RS Umum Asy-Syifa Sambi; RS Umum Islam Banyubening Boyolali; RS Umum Natalia; RS Umum Islam Boyolali; RS Jiwa Daerah Dr. RM. Soedjarwadi; RS 3310040; RS Umum 'Aisyiyah Klaten; RS Umum Cakra Husada; RS Umum Diponegoro Dua Satu Klaten; RS Umum PKU Muhammadiyah Delanggu; RS Umum Islam Cawas Klaten; RS Umum PKU Muhammadiyah Jatinom; RS Umum Mitra Pedan; RS PKU Muhammadiyah Prambanan; RS Umum Daerah Ir. Soekarno Kabupaten Sukoharjo; RS Khusus Orthopedi Karima Utama; RS Umum PKU Muhammadiyah Sukoharjo; RS Islam Surakarta YARSIS; RS Umum Maguan Husada; RS Umum Muhammadiyah Selogiri; RS Hermina Wonogiri; RS Umum  Amal Sehat; RS Umum Mulia Hati Wonogiri; RS Umum Astrini; RS PKU Muhammadiyah Wonogiri;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PKU Muhammadiyah Sragen; RS Umum Islam Yakssi Gemolong; RS Umum Rizky Amalia; RS Umum Saras Ibnu Sina Sukowati; RS Umum Panti Rahayu; RS Permata Bunda; RS Umum PKU Muhammadiyah Gubug; RS Umum Habibullah; RS Umum Islam Purwodadi; RS Umum Trimedika Ketapang; RS Umum Daerah Dr. R. Soetijono Blora; RS Umum Daerah Dr. R. Soeprapto Cepu; RS Umum Permata Blora; RS Ibu dan Anak NU Cakra Medika; RS Bhayangkara Blora; RS Umum Islam Arafah; RS Bhina Bhakti Husada; RS 3318041; RS Umum Islam Pati; RS Umum Mitra Bangsa Pati; RS Umum Daerah Kayen Pati; RS Umum  Budi Agung Pati; RS Umum Sebening Kasih; RS Umum As-Suyuthiyyah; RS Keluarga Sehat Tayu; RS Umum Kumala Siwimijen Kudus; RS Umum  Nurussyifa; RS Sarkies 'Aisyiyah Kudus; RS Umum Daerah dr. Rehatta Provinsi Jawa Tengah; RS Umum Sultan Hadlirin Jepara; RS Graha Husada Jepara; RS PKU Aisyiyah Jepara; RS Umum PKU Muhammadiyah Mayong; RS Umum Islam NU Demak; RS Umum Pelita Anugerah; Charlie Hospital Demak; RS 3322037; RS Umum Kusuma Ungaran; RS Umum Gunung Sawo Kab. Temanggung; RS Umum Muhammadiyah Darul Istiqomah Kendal; RS Umum Charlie Hospital; RS PKU Aisyiyah Kendal;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Prima Medika; RS Umum Muhammadiyah Mardhatillah; RS Harapan Sehat Pemalang; RS Umum Daerah Suradadi; RSI PKU Muhammadiyah Tegal; RS Umum Adella; RS Harapan Sehat Slawi; RS Hawari Essa; RS Mitra Siaga Tarub; RS Umum Siti Asiyah; RS Umum Bhakti Asih Brebes; RS Umum Dera As-Syifa; RS Umum Daerah Bumiayu; RS Umum Allam Medica Bumiayu; RS Umum Amanah Mahmudah; RS Harapan Sehat Jatibarang; RS Ibu dan Anak Nuzula; RS Umum Daerah Tidar; RS 3371039; RS Umum Lestari Raharja; RS Umum Harapan; RS Umum Islam Magelang; RS Umum Brayat Minulya; RS Orthopedi Prof. Dr. R. Soeharso; RS Umum Panti Waluyo; RS Umum Islam Kustati; RS Umum Triharsi; RS Umum Daerah Ibu Fatmawati Soekarno; RS Umum Hermina Solo; RS PKU Muhammadiyah Sampangan Surakarta; RS Umum Daerah Bung Karno Kota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Banyumanik; RS Umum Hermina Banyumanik Semarang; RS Umum Banyumanik 2; RS Unimus; RS Cepoko; RS Samsoe Hidajat; RS Umum Budi Rahayu; RS Umum Siti Khodijah; RS Umum Anugerah Pekalongan; RS Umum H. A. Zaky Djunaid; RS Umum Hermina Pekalongan; RS Umum  Mitra Siaga; RS Umum Tk. IV Tegal; RS 3376037; RS Umum Medical Mandiri Pacitan; RS Umum Aisyiyah Ponorogo; RS Umum Darmayu Ponorogo; RS Umum Muhammadiyah Ponorogo; RS Umum Muslimat Ponorogo; RS Umum Budi Asih Trenggalek; RS Umum Islam Orpeha; RS Umum Era Medika; RS Umum Bhayangkara Tulungagung; RS Umum Satiti Prima Husada; RS Umum Islam  Madinah; RS Umum Muhammadiyah Bandung; RS Putra Waspada Tulungagung; RS Umum Prima Medika; RS Umum Daerah Campurdarat; RS Umum Ananda; RS Umum Al-Ittihad; RS Umum Medika Utama; RS Umum Daerah Srengat Kab. Blitar; RS Umum An-Nisaa; RS Toeloengredjo; RS Umum Amelia; RS Umum Arga Husada; RS Muhammadiyah Siti Khodijah; RS Umum  Aura Syifa; RS Umum  Wilujeng; RS Umum Daerah Simpang Lima Gumul Kediri; RS Jiwa Dr. Radjiman Wediodiningrat Lawang; RS Marsudi Waluyo; RS Mitra Delima; RS Prasetya Husada; RS Siti Miriam; RS Angkatan Udara dr. Munir Lanud Abdulrachman Saleh; RS Prima Husada; RS Umum Universitas Muhammadiyah Malang; RS Umum Pindad; RS Umum Wajak Husada; RS Umum Islam Madinah Kasembon; RS Enggal Dangan; RS Umum Cahaya Medika; RS AU dr. Mohammad Moenir;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Umum Universitas Muhammadiyah Jember; RS Umum Bhakti Husada; RS Islam Fatimah; RS Yasmin; RS Nahdlatul Ulama Banyuwangi; RS Graha Medika; RS Al-Rohmah Banyuwangi; RS Mitra Medika Bondowoso; RS Umum Daerah dr. Abdoer Rahem Situbondo; RS Elizabeth; RS Umum Fatimah Lamongan; RS Umum Daerah Besuki Kabupaten Situbondo; RS Umum Daerah Asembagus Kabupaten Situbondo; RS Umum Mitra Sehat Kabupaten Situbondo; RS Graha Sehat; RS Umum  Wonolangan; RS Umum Daerah Tongas; RS Islam Masyithoh Bangil; RS Umum Bhayangkara Pusdik Brimob; RS Mitra Sehat Medika; RS Sahabat; RS Graha Sehat Medika; RS Umum Daerah Grati; RS Prima Husada; RS Bhayangkara TK.III Pusdik Sabhara Porong; RS Umum Delta Surya; RS Umum Jasem; RS Umum Anwar Medika;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Dolopo; RS Paru Manguharjo Madiun; RS Umum Bhakti Persada; RS Angkatan Udara dr. Efram Harsana; RS Umum Daerah Dr. Soeroto Ngawi; RS Umum Widodo; RS Umum At-Tin Husada; Rumah Sakit Aisyiyah Bojonegoro; RSI Muhammadiyah Sumberrejo; RS Muhammadiyah Kalitidu; RS Ibu dan Anak Fatma; RS Medika Mulia Tuban; RS Nahdlatul Ulama Tuban; RS Umum Daerah R. Ali Manshur; RS Graha Husada; RS Islam Nashrul Ummah; RS Umum Daerah Ngimbang; RS Umum dr. Suyudi; RS Umum Intan Medika; RS Muhammadiyah Babat; RS Umum Muhammadiyah Babat; RS Nahdlatul Ulama Babat; RS Umum Daerah Ibnu Sina Kab.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Nindhita; RS Qona'ah; RS Umum Larasati Pamekasan; RS Umum Daerah Waru Pamekasan; RS Islam Garam Kalianget; Rumah Sakit Baghraf Health Care; RS TK. IV 05.07.02 Kediri; RS Umum Bhayangkara Kediri; RS Baptis Kediri; RS Umum Daha Husada; RS Muhammadiyah Ahmad Dahlan; RS Umum Lirboyo; RS Katolik Budi Rahayu; RS Umum Syuhada Haji; RS Umum Aminah Blitar; RS Islam Aminah; RS Islam Unisma Malang; RS Umum Permata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Islam Siti Aisyah; RS Umum Daerah Kota Madiun; RS Umum Griya Husada Madiun; RS Umum Darmayu Madiun; RS Hermina Madiun; RS William Booth Surabaya; RS Umum Adi Husada Kapasari; RS Umum Tk. III Brawijaya; RS Marinir Ewa Pangalila Gunungsari; RS Bunda; RS Umum Daerah Husada Prima; RS Al Irsyad Surabaya; RS Ibu dan Anak Pura Raharja; RS Gotong Royong; RS Bhakti Rahayu; RS Islam Darus Syifa; RS Bhayangkara TK II HS. Samsoeri Mertojoso; RS Wiyung Sejahtera; RS Wijaya Surabaya; RS Mitra Keluarga Kenjeran; Mayapada Hospital Surabaya; RS Umum Pusat Surabaya; RS Umum Daerah Eka Candrarini; RS Umum dr. Etty Asharto Batu; RS Baptis Batu; RS Umum Negara; RS Umum Bunda; RS Umum Balimed Negara; RS Umum Dharma Kerti; RS Umum Kasih Ibu Tabanan; RS Umum Semara Ratih; RS Umum Kasih Ibu Kedonganan; RS Umum Surya Husadha Nusa Dua; RS Umum Garba Med; RS Windu Husada; RS Umum Ari Canti; RS Umum Famili Husada; RS Umum Kasih Ibu Saba; RS Umum Payangan; RS Kenak Medika; RS Umum Permata Hati; RS Umum Bintang; RS Umum Daerah Gema Santi Nusa Penida; RS Umum Daerah Bangli; RS Umum Bangli Medika Canti; RS Umum Balimed Karangasem; RS Umum Kertha Usadha; RS umum Karya Dharma Husada; RS Umum Parama Sidhi; RS Umum Shanti Graha; RS Balimed Buleleng; RS Umum Surya Husadha; RS Umum Dharma Yadnya; RS Umum Puri Raharja; RS Umum Bhakti Rahayu; RS Bhayangkara Denpasar; RS Umum Surya Husadha; RS 14010300059; RS 1407013S; RS 17030300003; RS 32110300095; RS 32170300071; RS 32180300024; RS 32790300017; RS 33160300030; RS 33240300048; RS 33250300027; RS 35220300013; RS 35280300023; RS 35730300126; RS 35780300103; RS 51070300015; RS 51080300002; RS 51080300021; RS 51710300093; RS K1210810; RS K1211037; RS K1211109; RS K1211359; RS K1211524; RS K1216468; RS K1216717; RS K1216828; RS K1217589; RS K1217678; RS K1218046; RS K1218227; RS K1230271; RS K1230383; RS K1230417; RS K1230557; RS K1230932; RS K1231071; RS K1231367; RS K1231529; RS K1231618; RS K1232020; RS K1232070; RS K1232425; RS K1232458; RS K1232846; RS K1233490; RS K1234757; RS K1234958; RS K1234976; RS K1235035; RS K1235083; RS K1235252; RS K1235929; RS K1236049; RS K1236487; RS K1236718; RS K1236856; RS K1237215; RS K1237357; RS K1237398; RS K1237472; RS K1238056; RS K1238199; RS K1238392; RS K1238411; RS K1238492; RS K1238494; RS K1238824; RS K1238862; RS K1239006; RS K1239091; RS K1239274; RS K1239353; RS K1239838; RS K1239933; RS K1250027; RS K1250201; RS K1250398; RS K1305001; RS K1306009; RS K1471002; RS K1471003; RS K2171001;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K3518002; RS K3519001; RS K3519002; RS K3522001; RS K3525001; RS K3573002; RS K3578799; RS K5171004; RS K5171006; RSU Santo Yusup Boro; RS Umum Rizki Amalia Medika; RS Umum PKU Muhammadiyah Nanggulan; RS Umum Rizki Amalia; RS Umum Daerah Nyi Ageng Serang; RS Umum Pura Raharja Medika; RS Umum Queen Latifa; RS Umum Santa Elisabeth; RS Umum Nur Hidayah; RS Umum Rachma Husada; RS 3402077;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Mitra Paramedika; RS Umum Gramedika 10; RS Umum PKU Muhammadiyah Gamping; RS Umum Bhayangkara POLDA DIY; RS Sadewa; RS Umum Mitra Sehat; RS Universitas Ahmad Dahlan; RS Umum Hermina Yogya; RS PKU Muhammadiyah Sleman; RS Islam Hidayatullah Yogyakarta; RS Tk. III 04.06.03 Dr. Soetarto; RS Paru Respira; RS Ludira Husada Tama; RS Bethesda Lempuyangwangi; RS Happy Land Medical Centre; RS Pratama Kota Yogyakarta; RS Siloam Yogyakarta; RS AMC Muhammadiyah; RS K1236516</x:v>
      </x:c>
      <x:c r="G17" s="8">
        <x:v>272</x:v>
      </x:c>
      <x:c r="H17" s="7" t="str">
        <x:v>RS Umum Daerah Ahmad Syafi'I Ma'arif; RS Umum Yos Sudarso; RS Umum Daerah dr. Rasidin Padang; RS Umum Hermina Padang; RS Umum Daerah Mohammad Natsir; RS Umum Daerah Dr. Achmad Mochtar; RS Otak DR. Drs. M. Hatta Bukittinggi; RS Umum  Efarina; RS Umum  Awal Bros Ujung Batu; RS Umum Daerah  Kec.Mandau; RS Umum Awal Bros Bagan Batu; RS Santa Maria Pekanbaru; RS Umum  Eka Hospital Pekanbaru; RS Umum  Islam Ibnu Sina;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Umum Daerah Raja Ahmad Tabib; RS Awal Bros Botania; RS Umum Daerah Cibinong; RS Umum Daerah Ciawi; RS Umum Daerah R. Moh. Noh Nur; RS Umum Hermina Depok; RS Umum Sentra Medika Cibinong; RS Umum Daerah RH. Satibi; RS Umum Rumah Sehat Terpadu Dompet Dhuafa; RS Umum Hermina Mekarsari; RS EMC Sentul; RS Eka Hospital; RS Islam Aysha; RS Umum Bhakti Medicare; RS Primaya Sukabumi; RS Umum Dr. Hafiz; RS Umum Daerah Majalaya; RS Umum Daerah Welas Asih Provinsi Jawa Barat; RS Umum Daerah Oto Iskandar Di Nata; RS Hermina Soreang; RS Umum Daerah dr. Slamet Garut; Rumah Sakit TK.IV 03.07.04 Guntur; RS Umum Daerah dr. Soekardjo; RS Umum Daerah 45 Kuningan; RS Umum Daerah Waled; RS Umum Daerah Arjawinangun; RS Umum Mitra Plumbon; Sentra Medika Hospital Gempol; RS Umum Daerah Cideres; RS Mitra Plumbon Majalengka; RS Umum Daerah Kab. Indramayu; RS Mitra Plumbon Indramayu; RS Mitra Plumbon Patrol; RS Umum Daerah Bayu Asih; RS Umum Siloam Purwakarta; RS Umum Daerah Karawang; RS Umum Citra Sari Husada; RS Umum Mandaya; RS Umum Daerah Jatisari Kabupaten Karawang; RS Umum Lira Medika; RS Primaya Karawang; Sentra Medika Hospital Cikarang; RS Umum Daerah Kab.Bekasi; RS Umum Hermina Grand Wisata; RS Mitra Plumbon Cibitung; RS Umum Kartika Husada Setu; RS Umum Ridhoka Salma; RS Umum Tiara; RS EMC Cikarang; RS EMC Cibitung; RS EMC Pekayon; RS Eka Bekasi; RS Umum PMI Bogor; RSAU Dr. M. Hassan Toto; RS Umum Azra; RS Umum Daerah Kota Bogor; RS Umum Hermina Bogor; RS Umum Daerah R. Syamsudin, SH; RSAU dr. M. Salamun; RS Umum Immanuel Bandung; RS Umum Santo Borromeus; RS Umum Hermina Arcamanik; RS Umum Daerah Bandung Kiwari; RS Umum Daerah Kota Bandung; RS Umum Hermina Pasteur; RS Edelweiss; RS Daerah Gunung Jati; RS Umum Daerah dr. Chasbullah Abdulmadjid; RS Siloam Sentosa; RS Umum Satria Medika; RS Primaya; RS Umum Permata Bekasi; RS Primaya Bekasi Barat; RS Umum Sentra Medika; RS Umum Bhayangkara Brimob; RS Umum Daerah Khidmat Sehat Afiat Kota Depok; RS Umum Hasanah Graha Afiah; RS Umum Permata Depok; RS Umum Citra Arafiq; RS Umum Alia Hospital; RS Primaya Depok; RS Umum Tk. II Dustira; RS Hermina Tasikmalaya; RS Jantung dan Pembuluh Darah Tasikmalaya; RS Umum Daerah Cilacap; RS Umum Pertamina Cilacap; RS umum Daerah Banyumas; RS Umum Tk. III Wijayakusuma; RS Umum Wiradadi Husada; RS Umum Daerah dr. R. Goeteng Taroenadibrata; RS Umum Siaga Medika Purbalingga; RS Umum Daerah Hj. Anna Lasmanah Banjarnegara; RS Umum Emmanuel; RS Umum Daerah dr. Soedirman Kabupaten Kebumen; RS Umum PKU Muhamadiyah Gombong; RS Umum Daerah Dr. Tjitrowardojo Purworejo; RS Umum Setjonegoro Wonosobo; RS Umum Daerah Pandan Arang Boyolali; RS Umum Daerah Waras Wiris; RS Umum Hidayah Boyolali; RS Indriati Boyolali; RS Umum Islam Klaten; RS Umum Daerah Bagas Waras; RS Umum Nirmala Suri; RS Umum Dr. Oen Solo Baru; RS Umum Universitas Sebelas Maret; RS Umum Indriati; RS Umum Daerah Dr. Soediran Mangun Sumarso Wonogi; RS Umum Daerah Kartini Karanganyar; RS Umum Daerah dr. Soeratno Gemolong; RS Umum Daerah Dr. R.Soedjati Soemodiardjo; RS Umum Daerah dr. R. Soetrasno Rembang; RS Umum Daerah RAA Soewondo; RS Umum Keluarga Sehat; RS Umum Fastabiq Sehat PKU Muhammadiyah Pati; RS Umum Daerah dr. Loekmono Hadi; RS Umum Mardi Rahayu; RS Umum  Islam Sunan Kudus; RS Umum Daerah R. A. Kartini; RS Umum Daerah Sunan Kalijaga; RS Umum Daerah Sultan Fatah Karangawen Demak; RS Umum Daerah dr. Gunawan Mangunkusumo; RS Umum Daerah dr. Gondo Suwarno; RS Umum Ken Saras; RS Umum Daerah Kabupaten Temanggung; RS Umum Ngesti Waluyo; RS PKU Muhammadiyah Temanggung; RS Umum Daerah  Dr. H. Soewondo Kendal; RS Umum Islam Kendal; RS Umum Daerah Kraton Kab. Pekalongan; RS Umum Siaga Medika Pemalang; RS Umum Daerah dr. Soeselo Slawi Kabupaten Tegal; RS Umum Daerah Brebes; RS Umum Muhammadiyah Siti Aminah; RS Umum Tk. II Dr. Soedjono; RS Jiwa Prof. Dr. Soerojo; RS Umum Tk III Slamet Riyadi Surakarta; RS 3372051; RS PKU Muhammadiyah Surakarta; RS Umum Daerah Kota Salatiga; RS Roemani Muhammadiyah Semarang; RS Umum Panti Wilasa Citarum; RS Umum Daerah dr. Adhyatma, MPH; RS Panti Wilasa "Dr. Cipto" Semarang; RS Daerah KRMT Wongsonegoro; RS Khusus Bedah Columbia Asia Semarang; RS Umum Nasional Diponegoro; RS Primaya Kota Semarang; RS Keluarga Sehat III Semarang; RS Umum Daerah Kardinah; RS Umum Islam Harapan Anda; RS Umum Daerah  dr. Darsono; RS Umum Daerah Dr. Harjono S. Kabupaten Ponorogo; RS Umum Daerah dr. Soedomo Trenggalek; RS Umum Daerah Ngudi Waluyo Wlingi; RS Umum Daerah Kabupaten Kediri; RS Umum Daerah Kanjuruhan Kepanjen Kab. Malang; RS Umum Daerah Lawang; RS Umum Wava Husada; RS Umum Daerah Dr. Haryoto Kabupaten Lumajang; RS Umum Daerah Dr. Soebandi Jember; RS Tk. III Baladhika Husada Jember; RS Siloam Jember; RS Umum Daerah Blambangan; RS Umum Daerah Genteng; RS Al Huda; RS Umum dr. H.Koesnadi Bondowoso; RS Bhayangkara Bondowoso; RS Umum Daerah Waluyo Jati Kraksaan; RS Rizani; RS Umum Daerah Bangil; RS Umum Daerah R. T. Notopuro Sidoarjo; RS Umum Siti Khodijah Muhammadiyah Cabang Sepanjan; RS Islam Siti Hajar Sidoarjo; RS Umum Daerah Prof. Dr. Soekandar; RS Mawaddah Medika; RS Umum Daerah Kab. Jombang; RS Umum Daerah Ploso; RS Umum Daerah Nganjuk; RS Umum Daerah Caruban; RS Umum Daerah dr. Sayidiman Magetan; RS Umum Daerah Dr. R. Sosodoro Djatikoesoemo; RS Umum Daerah Sumberrejo; RS umum Daerah Padangan; RS Bhayangkara Wahyu Tutuko Bojonegoro; RS Umum Daerah Dr. R. Koesma Tuban; RS Umum Daerah Dr. Soegiri Lamongan; RS Umum Muhammadiyah Lamongan; RS Semen Gresik; RS Umum Daerah Syarifah Ambami Rato Ebu; RS Umum Daerah dr. Mohammad Zyn Kab. Sampang; RS Umum Daerah Dr. H. Slamet Martodirdjo Pamekasan; RS 3528038; RS Umum Daerah dr. H. Moh. Anwar; RS Umum Daerah Gambiran; RS Umum Daerah Mardi Waluyo; RS Umum Panti Nirmala; RS Umum Panti Waluya Sawahan Malang; RS Umum Lavalette Malang; RS Umum Islam Aisyiyah Malang; RS Umum Hermina Tangkubanprahu;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Islam Surabaya Jemursari; RS Umum Daerah Haji Provinsi Jawa Timur; RS Husada Utama Surabaya; RS Umum Daerah dr. Mohamad Soewandhie; RS Umum Royal Surabaya; RS Ubaya; RS Bhayangkara Hasta Brata Batu; RS Umum Karsa Husada Kota Batu; RS Umum Daerah Tabanan; RS Umum Bhakti Rahayu Tabanan; RS Daerah Mangusada; RS Umum Siloam Bali; RS Bali Jimbaran; RS Universitas Udayana; RS Umum Murni Teguh Tuban Bali; RS Umum Daerah Sanjiwani Gianyar; RS Umum Ganesha; RS Umum Daerah Klungkung; RS Umum Grha Bhakti Medika; RS Umum Daerah Kab. Buleleng; RS Umum Daerah Wangaya; RS TK. II Udayana; RS Umum Bali Royal; RS Umum Prima Medika; RS BaliMed; RS Umum Daerah Wates; RS Umum Daerah Panembahan Senopati; RSU PKU Muhammadiyah Bantul; RS Universitas Islam Indonesia; RS Umum Daerah Sleman; RS Islam Yayasan PDHI; RS Umum Daerah Prambanan; RS Akademik Universitas Gadjah Mada; RS PKU Muhammadiyah Yogyakarta; RS Umum Panti Rapih; RS Bethesda Yogyakarta; RSPAU Dr.  Suhardi Harjolukito; RS Umum Daerah Kota Yogyakarta</x:v>
      </x:c>
      <x:c r="I17" s="8">
        <x:v>27</x:v>
      </x:c>
      <x:c r="J17" s="7" t="str">
        <x:v>RS. Universitas Andalas; RS Umum Daerah  Arifin Achmad; RS Umum  Awal Bros Pekanbaru; RS Paru Dr. M. Goenawan Partowidigdo; RS Universitas Indonesia; RS Umum Advent Bandung; RS Paru Dr. H. A. Rotinsulu; RS Umum Al-Islam Bandung; RS Umum Santosa Hospital Bandung Central; RS Umum Santosa Hospital Bandung Kopo; RS Umum Hermina Bekasi; RS Umum Daerah Prof Dr. Margono Soekarjo; RS Umum Pusat Dr. Soeradji Tirtonegoro; RS Umum Dr. Oen; RS Umum Kasih Ibu; RS Paru Dr. Ario Wirawan; RS Umum Pusat Dr. Kariadi; RS Umum St. Elisabeth Semarang; RS Umum Telogorejo Semarang; RS Umum Sultan Agung Semarang; RS Umum Daerah Dr. Iskak; RS Umum Daerah Dr. Saiful Anwar; RS Tk. II Dr. Soepraoen; RS Umum Daerah Dr. Soetomo; RS Umum Siloam Hospitals Surabaya; RS Universitas Airlangga; RS Umum Daerah Bali Mandara Provinsi Bali</x:v>
      </x:c>
      <x:c r="K17" s="8">
        <x:v>4</x:v>
      </x:c>
      <x:c r="L17" s="7" t="str">
        <x:v>RSUP Dr. M. Djamil; RS Umum Pusat Dr. Hasan Sadikin; RSUP Prof. Dr. I.G.N.G. Ngoerah; RSUP Dr. Sardjito</x:v>
      </x:c>
      <x:c r="M17" s="8">
        <x:v>31</x:v>
      </x:c>
      <x:c r="N17" s="7" t="str">
        <x: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x:v>
      </x:c>
    </x:row>
    <x:row r="18">
      <x:c r="A18" s="7" t="str">
        <x:v>PENCERNAAN DAN HEPATOBILIER</x:v>
      </x:c>
      <x:c r="B18" s="7" t="str">
        <x:v>Pencernaan &amp; Hepatobilier</x:v>
      </x:c>
      <x:c r="C18" s="8">
        <x:v>4</x:v>
      </x:c>
      <x:c r="D18" s="7" t="str">
        <x:v>Paripurna</x:v>
      </x:c>
      <x:c r="E18" s="8">
        <x:v>1148</x:v>
      </x:c>
      <x:c r="F18" s="7" t="str">
        <x:v>RS Umum Daerah Dr. Muhammad Zein Painan; RS Umum BKM; RS Umum Daerah Solok Selatan;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Ibu Anak  Husada Bunda; RS Ibu Anak  Bunda Anisyah;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Daerah  Petala Bumi; RS Umum  Islam Ibnu Sina;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Bedas Tegalluar; RS Umum Daerah Pameungpeuk Prov. Jabar; RS Medina; RS 3205035; RS Umum Daerah Malangbong;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Umum KMC Luragung; RS Mitra Husada; RS Permata Kuningan; RS Pradipa Medika; RS Umum Daerah Waled; RS Pertamina Cirebon; RS Daerah Sidawangi; RS Umum Universitas Muhammadiyah Cirebon; RS Umum Khalishah; RS Umum Permata Cirebon; RS Pasar Minggu Cirebon; RS Umum Daerah Majalengka; RS Umum Daerah Cideres;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Daerah Kab.Bekasi; RS Umum St. Elisabeth; RS Umum Medirossa Cikarang; RS dr. Abdul Radjak Jababeka; RS Amanda Cikarang Selatan; RS Umum Dokter Adam Talib; RS Umum Hermina Galaxy;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Santo Yusup; RS Umum Santo Borromeus; RS Umum Pindad; RS Umum Muhammadiyah; RS Umum Bungsu; RS Umum Tk. IV 03.07.03 Sariningsih; RS Paru Dr. H. A. Rotinsulu; RS Khusus Ginjal Ny. R. A. Habibie; RS AMC; RS Ibu dan Anak Harapan Bunda Bandung; RS Ibu dan Anak Al Islam; RS Edelweiss; RS Jantung dan Pembuluh Darah Paramarta; RS Pasundan; RS Umum Tk. III Ciremai; RS Umum Panti Abdi Dharma; RS 3274041; RS Umum Pelabuhan Cirebon; RS Umum Sumber Kasih; RS Umum Budi Asta;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Maguan Husada; RS Umum Muhammadiyah Selogiri; RS Hermina Wonogiri; RS Umum  Amal Sehat; RS Fitri Candra; RS Umum Mulia Hati Wonogiri; RS Umum Astrini; RS PKU Muhammadiyah Wonogiri; RS Umum Daerah Kartini Karanganyar; RSAU dr. Siswanto Lanud Adi Soemarmo; RS PKU Muhammadiyah Karanganyar;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Ibu dan Anak Plamongan Indah; RS Umum Kusuma Ungaran; At-Tin Hospital; RS Umum Daerah Kabupaten Temanggung;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Umum Muhammadiyah Mardhatillah; RS Harapan Sehat Pemalang; RS Umum Daerah Suradadi; RSI PKU Muhammadiyah Tegal; RS Umum Adella;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Umum Tk. II Dr. Soedjono;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Hermina Solo; RS PKU Muhammadiyah Sampangan Surakarta; RS Bhayangkara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Umum Banyumanik 2; RS Primaya Kota Semarang; RS Unimus; RS Cepoko; RS Samsoe Hidajat; RS Umum Daerah Mijen; RS Umum Budi Rahayu; RS Umum Siti Khodijah; RS Umum Anugerah Pekalongan; RS Umum H. A. Zaky Djunaid; RS Umum  ARO; RS Umum Hermina Pekalongan; RS Umum  Mitra Siaga; RS Umum Daerah  dr. Darsono;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Ananda; RS Umum Al-Ittihad; RS Umum Medika Utama; RS Umum Wava Husada Kesamben; RS Umum Daerah Srengat Kab. Blitar; RS Umum An-Nisaa; RS Toeloengredjo;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Utama Husada Jember; RS Daerah Kalisat Jember; RS Daerah Balung Jember; RS Bina Sehat Jember; RS Umum Citra Husada Jember; RS Kaliwates Jember; RS Siloam Jember; RS Umum Universitas Muhammadiyah Jember; RS Umum Bhakti Husada; RS Islam Fatimah; RS Yasmin; RS Nahdlatul Ulama Banyuwangi; RS Al Huda; RS Umum PKU Muhammadiyah Rogojampi; RS Umum Bakti Mulia Banyuwangi; RS Graha Medika; RS Umum Abdhi Famili; RS Al-Rohmah Banyuwangi; RS Umum Rahayu Medika;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Sumberglagah; RS Umum Daerah Prof. Dr. Soekandar; RS Sido Waras; RS Umum Kartini; RS Islam Sakinah; RS Umum Daerah Raden Achmad Basoeni; RS Mawaddah Medika;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Daerah Geneng; Rumah Sakit Aisyiyah Bojonegoro; RSI Muhammadiyah Sumberrejo; RS Umum Daerah Sumberrejo; RS umum Daerah Padangan; RS Bhayangkara Wahyu Tutuko Bojonegoro; RS Muhammadiyah Kalitidu; RS Ibu dan Anak Fatma;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Permata Hati Lamongan; RS Nahdlatul Ulama Babat; RS Umum Daerah Ki Ageng Brondong;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Gresik Sehati; RS Umum Daerah Syarifah Ambami Rato Ebu; RS Umum Anna Medika Madura; RS Umum Daerah dr. Mohammad Zyn Kab. Sampang; RS Nindhita; RS Umum Daerah Ketapang;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Ratih; RS Umum Daerah Kilisuci; RS Umum Daerah Mardi Waluyo; RS Katolik Budi Rahayu; RS Umum Syuhada Haji; RS Umum Aminah Blitar; RS Islam Aminah; RS Umum Panti Nirmala;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Jiwa Menur; RS Umum Islam Surabaya Jemursari; RS Bunda; RS Muji Rahayu; RS Umum Daerah Husada Prima; RS Al Irsyad Surabaya; RS Ibu dan Anak Pura Raharja; RS Gotong Royong; RS Bhakti Rahayu; RS Islam Darus Syifa;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Bhayangkara Hasta Brata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Umum Shanti Graha; RS Umum Daerah Tangguwisia; RS Umum Daerah Giri Emas; RS Balimed Buleleng; RS Ibu dan Anak Puri Bunda Singaraja; RS TK. II Udayana; RS Umum Surya Husadha; RS Umum Dharma Yadnya; RS Umum Puri Raharja; RS Umum Bhakti Rahayu; RS Umum Prima Medika; RS Bhayangkara Denpasar; RS Umum Surya Husadha; RS 14010300059; RS 1407013S; RS 17030300003;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K1216852; RS K1217589; RS K1217678; RS K1218046; RS K1218417; RS K1230271; RS K1230383; RS K1230557; RS K1230932; RS K1231071; RS K1231367; RS K1231529; RS K1231618; RS K1232020; RS K1232070; RS K1232425; RS K1232458; RS K1232846; RS K1233023; RS K1233490; RS K1234509; RS K1234784; RS K1234958; RS K1234976; RS K1235035; RS K1235252; RS K1235929; RS K1236049; RS K1236080; RS K1236487; RS K1236595; RS K1236718; RS K1236856; RS K1237215; RS K1237357; RS K1237398; RS K1237472; RS K1238056; RS K1238132; RS K1238199; RS K1238392; RS K1238395; RS K1238411; RS K1238492; RS K1238494; RS K1238787; RS K1238824; RS K1238862; RS K1239005; RS K1239006; RS K1239091; RS K1239274; RS K1239353; RS K1239838; RS K1239933; RS K1250027; RS K1250030; RS K1250201; RS K1250398; RS K1305001; RS K1306009; RS K1471002; RS K1471003; RS K2171001; RS K2171002; RS K2172002;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K3507002; RS K3519001; RS K3519002; RS K3521014; RS K3522001; RS K3573002; RS K3578003; RS K3578799;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Khusus Bedah An-Nur;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</x:v>
      </x:c>
      <x:c r="G18" s="8">
        <x:v>185</x:v>
      </x:c>
      <x:c r="H18" s="7" t="str">
        <x:v>RS Umum Yos Sudarso; RS Islam Siti Rahmah; RS. Universitas Andalas; RS Umum Daerah Dr. Achmad Mochtar; RS Santa Maria Pekanbaru; RS Umum  Syafira; RS Awal Bros A. Yani; RS Umum  Prima Pekanbaru; RS Awal Bros Dumai; RS Tk. III 02.06.01  dr. Bratanata; RS Umum Daerah Dr. M. Yunus Bengkulu; RS Badan Pengusahaan Batam; RS Umum Daerah Embung Fatimah Kota Batam; RS Awal Bros Botania; RS Umum Daerah Cibinong; RS Umum Daerah Ciawi; RS Umum Hermina Depok; RS Umum Meilia; RS Umum Daerah RH. Satibi; RS Umum Rumah Sehat Terpadu Dompet Dhuafa; RS Universitas Indonesia; RS Eka Hospital; RS Primaya Sukabumi; RS Umum Daerah Welas Asih Provinsi Jawa Barat; RS Umum Daerah dr. Slamet Garut; Rumah Sakit TK.IV 03.07.04 Guntur; RS Umum Daerah dr. Soekardjo; RS Umum Daerah KHZ Musthafa Kabupaten Tasikmalaya; RS Umum Daerah Arjawinangun; RS Umum Mitra Plumbon; RS Umum Sumber Waras; Sentra Medika Hospital Gempol; RS Mitra Plumbon Majalengka; RS Umum Daerah Kab. Indramayu; RS Mitra Plumbon Indramayu; RS Mitra Plumbon Patrol; RS Umum Siloam Purwakarta; RS Umum Daerah Karawang; RS Umum Citra Sari Husada; RS Umum Lira Medika; Sentra Medika Hospital Cikarang; RS Umum Hermina Grand Wisata; RS Umum Karya Medika II; RS Mitra Plumbon Cibitung; RS EMC Cikarang; RS EMC Pekayon; RS Umum Cahya Kawaluyan; RS Umum PMI Bogor; RS Umum Daerah Kota Bogor; RS Umum Hermina Bogor; RS Umum Daerah R. Syamsudin, SH; RSAU dr. M. Salamun; RS Umum Immanuel Bandung; RS Umum Advent Bandung; RS Umum Hermina Arcamanik; RS Umum Daerah Bandung Kiwari; RS Umum Daerah Kota Bandung; RS Umum Al-Islam Bandung; RS Umum Hermina Pasteur; RS Umum Melinda 2; RS Daerah Gunung Jati; RS Umum Putera Bahagia; RS Umum Daerah dr. Chasbullah Abdulmadjid; RS Primaya; RS Umum Sentra Medika; RS Umum Bhayangkara Brimob; RS Umum Daerah Khidmat Sehat Afiat Kota Depok; RS Umum Alia Hospital; RS Primaya Depok; RS umum Daerah Banyumas; RS Umum PKU Muhamadiyah Gombong; RS Umum Daerah Dr. Tjitrowardojo Purworejo; RS Umum Setjonegoro Wonosobo; RS Umum Daerah Pandan Arang Boyolali; RS Umum Pusat Dr. Soeradji Tirtonegoro; RS Umum Islam Klaten; RS Umum Dr. Oen Solo Baru; RS Umum Universitas Sebelas Maret; RS Umum Daerah Dr. Soediran Mangun Sumarso Wonogi; RS Umum Daerah dr. R. Soetrasno Rembang; RS Umum Daerah RAA Soewondo; RS Umum Keluarga Sehat; RS Umum Daerah dr. Loekmono Hadi; RS Umum Mardi Rahayu; RS Umum Ken Saras; RS PKU Muhammadiyah Temanggung; RS Umum Daerah Bendan Kota Pekalongan; RS Umum Daerah dr. Soeselo Slawi Kabupaten Tegal; RS Umum Daerah Brebes; RS Jiwa Prof. Dr. Soerojo; RS 3372051; RS Umum Kasih Ibu; RS Umum Triharsi; RS Umum Daerah Ibu Fatmawati Soekarno; RS Umum Daerah Bung Karno Kota Surakarta; RS Umum Daerah Kota Salatiga; RS Paru Dr. Ario Wirawan;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Keluarga Sehat III Semarang; RS Umum Daerah Kardinah; RS Umum Islam Harapan Anda; RS Umum Daerah Dr. Harjono S. Kabupaten Ponorogo; RS Umum Daerah Dr. Iskak; RS Umum Daerah Kabupaten Kediri; RS Umum Daerah Kanjuruhan Kepanjen Kab. Malang; RS Umum Wava Husada; RS Umum Daerah Dr. Soebandi Jember; RS Perkebunan PTPN X (Persero) Jember; RS Tk. III Baladhika Husada Jember; RS Paru Jember; RS Umum Daerah Blambangan; RS Umum Daerah Genteng; RS Umum dr. H.Koesnadi Bondowoso; RS Bhayangkara Bondowoso; RS Rizani; RS Umum Daerah Bangil; RS Umum Daerah R. T. Notopuro Sidoarjo; RS Umum Siti Khodijah Muhammadiyah Cabang Sepanjan; RS Umum Delta Surya; RS Umum Daerah Sidoarjo Barat; RS Umum Daerah Kab. Jombang; RS Umum Daerah Nganjuk; RS Umum At-Tin Husada; RS Umum Daerah Dr. R. Sosodoro Djatikoesoemo; RS Umum Daerah Dr. R. Koesma Tuban; RS Umum Daerah Dr. Soegiri Lamongan; RS Umum Muhammadiyah Lamongan; RS Umum Daerah Ibnu Sina Kab. Gresik; RS Petrokimia Gresik; RS Umum Daerah Dr. H. Slamet Martodirdjo Pamekasan; RS 3528038; RS Umum Daerah Gambiran; RS Umum Daerah Dr. Saiful Anwar; RS Tk. II Dr. Soepraoen; RS Umum Panti Waluya Sawahan Malang; RS Umum Lavalette Malang; RS Umum Islam Aisyiyah Malang; RS Umum Hermina Tangkubanprahu; RS Umum Daerah dr. Mohamad Saleh Kota Probolinggo; RSUD dr. Wahidin Sudiro Husodo Kota Mojokerto; RS Gatoel; RS Umum Daerah Dr. Soedono Madiun; RS Primasatya Husada Citra (PHC) Surabaya; RS Islam Surabaya; RS Umum Daerah Bhakti Dharma Husada; RS Umum Siloam Hospitals Surabaya; RS Umum Daerah Haji Provinsi Jawa Timur; RS Husada Utama Surabaya; RS Umum Daerah dr. Mohamad Soewandhie; RS Bhayangkara TK II HS. Samsoeri Mertojoso; RS Universitas Airlangga; RS Umum Royal Surabaya; RS Ubaya; RS Umum Pusat Surabaya; RS Umum Daerah Tabanan; RS Daerah Mangusada; RS Umum Siloam Bali; RS Universitas Udayana; RS Umum Murni Teguh Tuban Bali; RS Umum Daerah Sanjiwani Gianyar; RS Umum Grha Bhakti Medika; RS Umum Daerah Kab. Buleleng; RS Umum Daerah Wangaya; RS Umum Bali Royal; RS BaliMed; RS Umum Daerah Bali Mandara Provinsi Bali; RS Umum Daerah Panembahan Senopati; RS Umum Daerah Sleman; RS Islam Yayasan PDHI; RS Akademik Universitas Gadjah Mada; RS PKU Muhammadiyah Yogyakarta; RS Umum Panti Rapih; RS Bethesda Yogyakarta; RSPAU Dr.  Suhardi Harjolukito; RS Umum Daerah Kota Yogyakarta; RS Siloam Yogyakarta</x:v>
      </x:c>
      <x:c r="I18" s="8">
        <x:v>15</x:v>
      </x:c>
      <x:c r="J18" s="7" t="str">
        <x:v>RSUP Dr. M. Djamil; RS Umum Daerah  Arifin Achmad; RS Umum  Awal Bros Pekanbaru; RS Umum  Awal Bros Panam; RS Umum Awal Bros Batam; RS Umum Sentra Medika Cibinong; RS Umum Santosa Hospital Bandung Central; RS Umum Santosa Hospital Bandung Kopo; RS Umum Hermina Bekasi; RS Primaya Bekasi Barat; RS Umum Daerah Prof Dr. Margono Soekarjo; RS Umum Indriati; RS Umum Dr. Oen; RS PKU Muhammadiyah Surakarta; RSPAL dr. Ramelan</x:v>
      </x:c>
      <x:c r="K18" s="8">
        <x:v>5</x:v>
      </x:c>
      <x:c r="L18" s="7" t="str">
        <x:v>RS Umum Pusat Dr. Hasan Sadikin; RS Umum Pusat Dr. Kariadi; RS Umum Daerah Dr. Soetomo; RSUP Prof. Dr. I.G.N.G. Ngoerah; RSUP Dr. Sardjito</x:v>
      </x:c>
      <x:c r="M18" s="8">
        <x:v>5</x:v>
      </x:c>
      <x:c r="N18" s="7" t="str">
        <x:v>RS Umum Pusat Dr. Hasan Sadikin (Paripurna); RS Umum Pusat Dr. Kariadi (Paripurna); RS Umum Daerah Dr. Soetomo (Paripurna); RSUP Prof. Dr. I.G.N.G. Ngoerah (Paripurna); RSUP Dr. Sardjito (Paripurna)</x:v>
      </x:c>
    </x:row>
    <x:row r="19">
      <x:c r="A19" s="7" t="str">
        <x:v>REHABILITASI</x:v>
      </x:c>
      <x:c r="B19" s="7" t="str">
        <x:v>Rehabilitasi</x:v>
      </x:c>
      <x:c r="C19" s="8">
        <x:v>4</x:v>
      </x:c>
      <x:c r="D19" s="7" t="str">
        <x:v>Paripurna</x:v>
      </x:c>
      <x:c r="E19" s="8">
        <x:v>802</x:v>
      </x:c>
      <x:c r="F19" s="7" t="str">
        <x:v>RS Umum Daerah Dr. Muhammad Zein Painan; RS Umum BKM; RS Umum Daerah Solok Selatan; RS Umum Daerah Lubuk Basung; RS Umum Daerah Tuanku Imam Bonjol; RS Umum Daerah Sungai Dareh; RS Tk. III Reksodiwiryo Padang; RS Umum Islam Ibnu Sina; RS Umum Aisyiyah Padang; RS Jiwa Prof. Dr. Hasan Basri Saanin Datuk Tan Par; RS Islam Siti Rahmah; RS Umum Naili DBS; RS Islam Ibnu Sina Bukittinggi; RS Umum Daerah Teluk Kuantan; RS Umum Daerah Tengku Rafi'an Siak Sri Indrapura; RS Umum Daerah  Bangkinang; RS Umum  Surya Insani; RS Umum Daerah  Bengkalis; RS Umum Daerah  Kec.Mandau; RS Umum  Permata Hati; RS Umum Awal Bros Bagan Batu; RS Umum Daerah  Arifin Achmad; RS Umum  Eka Hospital Pekanbaru; RS Prof. Dr. Tabrani; RS Murni Teguh Eria; RS Ibu dan Anak  Zainab; RS Umum  Universitas Riau; RS Ibu Anak  Budhi Mulia; RS Daerah Madani Kota Pekanbaru; RS Hermina Pekanbaru; RS Umum Daerah  Kota Dumai; RS Pertamina Dumai; Naray Hospital; RS Merangin Medical Centre; RS Umum Daerah Haji Abdoel Madjid Batoe; RS Royal Prima; RS Umum Daerah Nurdin Hamzah; RS Umum Permata Hati; RS Bhayangkara Jambi; RS Umum Santa Theresia; RS Jiwa Daerah Provinsi Jambi; RS Umum Daerah H. Abdul Manap; RS Islam Arafah; RS Umum Kambang; RS Mitra; RS Umum Daerah H. Abdurrahman Sayoeti; RS Rapha Theresia; RS As-syifa; RS Umum Daerah Kabupaten Rejang Lebong; RS Umum Daerah Mukomuko; RS Umum Daerah Kepahiang; RS Umum Ummi Bengkulu; RS Gading Medika; RS Bhayangkara Jitra Kota Bengkulu; RS Tiara Sella; RS Umum Daerah Muhammad Sani Kabupaten Karimun; RS Umum Bhakti Timah; RS Umum Budi Kemuliaan Batam; RS Umum Santa Elisabeth Batam; RS Badan Pengusahaan Batam; RS Umum Graha Hermine; RS Umum Camatha Sahidya; RS Umum Daerah Raja Ahmad Tabib; RS Bhayangkara Batam Polda Kepri; RS Mutiara Aini; RS Umum Bhakti Yudha; RS Umum Daerah Cibinong; RS Umum Daerah Ciawi; RS Umum Tugu Ibu; RS Umum Annisa; RS Mitra Keluarga Bina Husada; RS Umum Family Medical Center; RS Umum Mary Cileungsi Hijau; RS dr. Abdul Radjak Cileungsi; RS Umum Islam Bogor; RS Umum Citama; RS Sentosa; RS Umum Medika Dramaga; RS Umum Hermina Mekarsari; RSU Assalam; RS Umum Karya Bhakti Pratiwi; Bogor Senior Hospital; RS Universitas Indonesia; RS Pena 98; RS Islam Aysha; RS Paragon; RS Umum Daerah Sekarwangi;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Umum Daerah Kesehatan Kerja; RS Umum Karya Pangalengan Bhakti Sehat; RS Kartini; RS Oetomo; RS Umum Daerah Pameungpeuk Prov. Jabar; RS 3205035;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Jantung Hasna Medika Kuningan; RS Permata Kuningan; RS Pertamina Cirebon; RS Daerah Sidawangi; RS Umum Universitas Muhammadiyah Cirebon; RS Umum Daerah Majalengka; RS Umum Daerah Cideres; RS Umum Daerah Umar Wirahadikusumah; RS Umum Pakuwon; RS Umum Harapan Keluarga; RS Universitas Padjadjaran; RS Umum Daerah M. A. Sentot Patrol; RS Umum MM Indramayu; RS Umum Pertamina Balongan Indramayu; RS Umum Daerah Subang; RS Umum PTPN VIII; RS Umum Pamanukan Medical Center (PMC); RS Umum Asri Purwakarta; RS Umum Rama Hadi; RS Umum Amira; RS Umum Bhakti Husada II Purwakarta; RS Umum Karina Medika; RS 3215037; RS Umum Dewi Sri; RS Umum Karya Husada; RS Umum Islam Karawang; RS Umum Saraswati; RS Umum Delima Asih Sisma Medika; RS Umum Citra Sari Husada; RS Umum Mandaya; RS Umum Daerah Jatisari Kabupaten Karawang; RS Umum Fikri Medika; RS Umum Puri Asih; RS Umum Mitra Family; RS Umum Helsa; RS Umum Rosela; RS Umum Amanda Mitra Keluarga; RS Permata Keluarga Karawang; RS EFARINA ETAHAM KARAWANG; RS Umum Annisa; Siloam Hospitals Lippo Cikarang; RS Umum Rawa Lumbu; RS Umum Ananda; RS Umum Daerah Kab.Bekasi; RS Umum St. Elisabeth; RS Umum Medirossa Cikarang; RS dr. Abdul Radjak Jababeka; RS Amanda Cikarang Selatan; RS Uni Medika Setu Bekasi; RS Umum Harapan Mulia; RS Umum Cikarang Medika; RS Umum Ridhoka Salma; RS Umum Permata Keluarga Lippo Cikarang; RS Umum Kartika Husada; RS Umum Tarumajaya; RS EMC Cikarang; RS Umum Permata Keluarga Jababeka; RS EMC Cibitung; RS EMC Pekayon; RS Ananda Babelan; RS Eka Bekasi; RS Umum Daerah Lembang; RS Ibu dan Anak Kartini; RS Jiwa Provinsi Jawa Barat; RSAU Dr. M. Hassan Toto; RS Jiwa dr. H. Marzoeki Mahdi; RS Umum Azra; RS Umum Daerah Kota Bogor; RS Umum Trimitra; RS Ibu dan Anak Pasutri; RS Umum Vania; RS Umum Bhayangkara Setukpa Lemdikpol; RS Umum Kartika Kasih; RS Umum Daerah Al-Mulk; RS 3273046; RS Umum Bungsu; RS Umum Tk. IV 03.07.03 Sariningsih; RS Khusus Mata Cicendo; RS Paru Dr. H. A. Rotinsulu; RS Umum Daerah Bandung Kiwari; RS Khusus Ginjal Ny. R. A. Habibie; RS AMC; RS Ibu dan Anak Harapan Bunda Bandung; RS Edelweiss; RS Jantung dan Pembuluh Darah Paramarta; RS Pasundan; RS Umum Tk. III Ciremai; RS Umum Panti Abdi Dharma; RS Umum Pelabuhan Cirebon; RS Umum Putera Bahagia; RS Umum Sumber Kasih; RS Umum Medimas; RS Umum Sumber Hurip; RS Umum Daerah dr. Chasbullah Abdulmadjid; RS Umum Juwita; RS Umum Taman Harapan Baru; RS Umum Satria Medika; RS Helsa; RS Primaya Bekasi Utara; RS Seto Hasbadi; RS Umum Graha Juanda; RS Umum Jati Sampurna; RS Siloam Bekasi Sepanjang Jaya; RS Ibu dan Anak Selasih Medika; RS Umum Grha Permata Ibu; RS Umum Daerah Khidmat Sehat Afiat Kota Depok; RS Umum Simpangan Depok; RS Umum Citra Medika Depok; RS Umum Citra Arafiq; RS Umum Alia Hospital; RS Umum Mitra Anugrah Lestari; RS Umum Avisena; RS Umum Daerah Cibabat; RS Umum Kasih Bunda; RS Umum Baros; RS Umum Tk. II Dustira; RS Umum Tasik Medika Citratama (TMC); RS Umum Syifa Medina; RS Umum Prasetya Bunda; RS Jantung dan Pembuluh Darah Tasikmalaya; RS Umum Mitra Idaman; RS Umum Daerah Cilacap; RS Umum Islam Fatimah; RS Umum Daerah Majenang; RS Umum Duta Mulya; RS Umum PKU Muhammdiyah Aghisna Kroya; RS Umum Afdila Cilacap; RS Umum Raffa Majenang; RS Priscilla Medical Center; RS umum Daerah Banyumas; RS Umum Tk. III Wijayakusuma; RS 3302040; RS Umum Santa Elisabeth Purwokerto; RS Umum An Ni'mah; RS Umum Islam Purwokerto; RS Umum Ananda Purwokerto; RS Umum Sinar Kasih; RS Umum Wiradadi Husada; RS Umum Siaga Medika Banyumas; RS Hermina Purwokerto; RS Islam At-Tin Husada Purbalingga; RS Umum Emmanuel; RS Umum Islam Banjarnegara; RS Umum Permata Medika Kebumen; RS Umum Palang Biru Gombong; RS Umum Wijayakusuma; RS Umum Purbowangi; RS Umum PKU Muhammadiyah Sruweng; RS Umum PKU Muhammadiyah Petanahan Kebumen; RS Umum PKU Muhammadiyah Kutowinangun; RS Umum Panti Waluyo Yakkum Purworejo; RS Umum Budi Sehat Purworejo; RS Umum Daerah R.A.A Tjokronegoro; RS Umum Setjonegoro Wonosobo; RS Umum Islam Wonosobo; RS Umum Daerah Muntilan Kab. Magelang; RS Umum Aisyiyah Muntilan; RS Umum Syubbanul Wathon; RS Umum Daerah Merah Putih; RS Umum PKU Aisyiyah Boyolali; RS Umum  Karanggede Sisma Medika; RS Umum Daerah Simo; RS Umum Asy-Syifa Sambi; RS Umum Hidayah Boyolali; RS Umum Islam Banyubening Boyolali; RS Jiwa Daerah Dr. RM. Soedjarwadi; RS 3310040; RS Umum Islam Klaten; RS Umum Diponegoro Dua Satu Klaten; RS Umum PKU Muhammadiyah Jatinom; RS Umum Daerah Bagas Waras; RS PKU Muhammadiyah Prambanan; RS Umum Daerah Ir. Soekarno Kabupaten Sukoharjo; RS Khusus Orthopedi Karima Utama; RS Islam Surakarta YARSIS; RS Umum Daerah Dr. Soediran Mangun Sumarso Wonogi; RS Umum Maguan Husada; RS Umum Muhammadiyah Selogiri; RS Umum  Amal Sehat; RS Umum Mulia Hati Wonogiri; RS PKU Muhammadiyah Wonogiri; RSAU dr. Siswanto Lanud Adi Soemarmo; RS Umum Jati Husada Karanganyar; RS Mangesti Rahayu; RS Umum Daerah dr. Soehadi Prijonegoro; RS Umum Sarila Husada;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3318041; RS Umum Islam Pati; RS Umum Mitra Bangsa Pati; RS Umum Daerah Kayen Pati; RS Umum Fastabiq Sehat PKU Muhammadiyah Pati; RS Umum Sebening Kasih; RS Umum Daerah dr. Loekmono Hadi; RS Umum Kumala Siwimijen Kudus; RS Umum  Nurussyifa; RS Umum  Islam Sunan Kudus; RS Sarkies 'Aisyiyah Kudus; RS Umum Daerah dr. Rehatta Provinsi Jawa Tengah; RS Umum Sultan Hadlirin Jepara; RS PKU Aisyiyah Jepara; RS Umum Islam NU Demak; RS Umum Pelita Anugerah; RS Hj. Fatimah Sulhan PKU Muhammadiyah Demak; Charlie Hospital Demak; RS Umum Daerah dr. Gondo Suwarno; RS 3322037; RS Umum Bina Kasih; RS Umum Kusuma Ungaran; RS Umum Daerah Kabupaten Temanggung; RS Umum Ngesti Waluyo; RS Umum Daerah  Dr. H. Soewondo Kendal; RS Umum Islam Kendal; RS Umum Muhammadiyah Darul Istiqomah Kendal; RS Umum Charlie Hospital; RS PKU Aisyiyah Kendal; RS Umum Daerah Kraton Kab. Pekalongan; RS Islam PKU Muhammadiyah Pekajangan; RS Umum Daerah Kajen Kab. Pekalongan; RS Umum Daerah Bendan Kota Pekalongan; RS Umum Daerah Dr. M. Ashari Pemalang; RS Umum Santa Maria Pemalang; RS Muhammadiyah Rodliyah Achid; RS Umum Siaga Medika Pemalang; RS Umum Prima Medika; RS Harapan Sehat Pemalang; RS Umum Daerah dr. Soeselo Slawi Kabupaten Tegal; RS Umum Daerah Suradadi; RS Harapan Sehat Slawi; RS Umum Daerah Brebes; RS Umum Muhammadiyah Siti Aminah; RS Umum Dedy Jaya; RS Umum Bhakti Asih Brebes; RS Umum Dera As-Syifa; RS Umum Daerah Bumiayu; RS Ibu dan Anak Permata Insani; RS Umum Allam Medica Bumiayu; RS Harapan Sehat Jatibarang; RS 3371039; RS Umum Lestari Raharja; RS Umum Harapan; RS Umum Tk III Slamet Riyadi Surakarta; RS Umum Panti Waluyo; RS Umum Islam Kustati; RS Umum Daerah Ibu Fatmawati Soekarno; RS PKU Muhammadiyah Sampangan Surakarta; RS Bhayangkara Surakarta; RS Umum Tk. IV 04.07.03 dr. Asmir; RS Umum William Booth; RS 3374035; RS Umum Permata Medika; RS Umum Tk.III Bhakti Wira Tamtama Smg; RS Jiwa Daerah  Dr. Amino Gondohutomo; RS Umum Hermina Pandanaran; RS Umum Bhayangkara Akpol Semarang; RS Umum Hermina Banyumanik Semarang; RS Keluarga Sehat III Semarang; RS Unimus; RS Umum Budi Rahayu; RS Umum Anugerah Pekalongan; RS Umum H. A. Zaky Djunaid; RS Umum Hermina Pekalongan; RS 3376037; RS Umum Daerah  dr. Darsono; RS Umum Daerah Dr. Harjono S. Kabupaten Ponorogo; RS Umum Aisyiyah Ponorogo; RS Umum Darmayu Ponorogo; RS Umum Muhammadiyah Ponorogo; RS Umum Muslimat Ponorogo; RS Umum Islam Orpeha; RS Umum Era Medika; RS Umum Islam  Madinah; RS Putra Waspada Tulungagung; RS Umum Prima Medika; RS Umum Daerah Ngudi Waluyo Wlingi; RS Umum Ananda; RS Umum Medika Utama; RS Umum An-Nisaa; RS Umum Arga Husada; RS Muhammadiyah Siti Khodijah; RS Umum  Aura Syifa; RS Umum Daerah Simpang Lima Gumul Kediri; RS Jiwa Dr. Radjiman Wediodiningrat Lawang; RS Umum Daerah Kanjuruhan Kepanjen Kab. Malang; RS Marsudi Waluyo; RS Umum Daerah Lawang; RS Mitra Delima; RS Prasetya Husada; RS Prima Husada; RS Lawang Medika; RS Umum Pindad; RS Umum Wajak Husada; RS Umum Islam Madinah Kasembon; RS AU dr. Mohammad Moenir; RS Wijaya Kusuma Lumajang; RS Bhayangkara Lumajang; RS Islam Lumajang; RS Umum Daerah Pasirian Kabupaten Lumajang; RS Tk. III Baladhika Husada Jember; RS Paru Jember; RS Daerah Balung Jember; RS Umum Daerah Blambangan; RS Umum Bhakti Husada; RS Umum Daerah Genteng; RS Al Huda; RS Graha Medika; RS Umum dr. H.Koesnadi Bondowoso; RS Bhayangkara Bondowoso; RS Umum Daerah dr. Abdoer Rahem Situbondo; RS Elizabeth; RS Umum Daerah Waluyo Jati Kraksaan; RS Graha Sehat; RS Umum Daerah Tongas; RS Islam Masyithoh Bangil; RS Umum Bhayangkara Pusdik Brimob; RS Mitra Sehat Medika; RS Umum Daerah Grati; RS Prima Husada; RS Islam Siti Hajar Sidoarjo; RS Umum Anwar Medika; RS Umum Al-Islam H. M. Mawardi; RS Umum Assakinah Medika; RS Umum Citra Medika; RS Arafah Anwar Medika Sukodono; RS Umum Aminah; RS Pusura Candi; RS Umum Daerah Sumberglagah; RS Sido Waras; RS Mutiara Hati Mojokerto; RS Umum Kartini; RS Islam Sakinah; RS Umum Daerah Raden Achmad Basoeni; RS Kristen Mojowarno; RS Airlangga Jombang; RS Umum Daerah Ploso; RS Umum dr. Moedjito Dwidjosiswojo; RS Umum Nadhlatul Ulama Jombang; RS Umum PKU Muhammadiyah Mojoagung; RS Umum Bhayangkara Tk. III Nganjuk; RS Islam Aisyiyah Nganjuk; RS Umum Daerah Caruban; RS Umum Daerah Dolopo; RS Umum Daerah dr. Sayidiman Magetan; RS Angkatan Udara dr. Efram Harsana; RS Umum Widodo; RS Umum At-Tin Husada; Rumah Sakit Aisyiyah Bojonegoro; RSI Muhammadiyah Sumberrejo; RS umum Daerah Padangan; RS Bhayangkara Wahyu Tutuko Bojonegoro; RS Muhammadiyah Kalitidu; RS Medika Mulia Tuban; RS Islam Nashrul Ummah; RS Umum Daerah Ngimbang; RS Umum dr. Suyudi; RS Umum Intan Medika; RS Muhammadiyah Babat; RS Umum Muhammadiyah Babat; RS Nahdlatul Ulama Babat; RS Umum Daerah Ibnu Sina Kab. Gresik; RS Umum Nyai Ageng Pinatih Gresik; RS Petrokimia Gresik; RS Muhammadiyah Gresik; RS Umum Mabarrot MWC NU; RS Umum Wali Songo I; RS Grha Husada Gresik; RS Fathma Medika; RS PKU Muhammadiyah Sekapuk; RS Petrokimia Gresik Driyorejo; RS Surya Medika; RS Umum Randegansari Husada; RS Qona'ah; RS Islam Garam Kalianget; Rumah Sakit Baghraf Health Care; RS Umum Daerah Gambiran; RS TK. IV 05.07.02 Kediri; RS Baptis Kediri; RS Muhammadiyah Ahmad Dahlan; RS Umum Lirboyo; RS Katolik Budi Rahayu; RS Umum Syuhada Haji; RS Umum Aminah Blitar; RS Islam Aminah; RS Umum Panti Nirmala; RS Umum Islam Aisyiyah Malang; RS Umum Daerah Kota Malang; RS Universitas Brawijaya; RS Umum Dharma Husada; RS Umum Daerah Ar Rozy; RS Asih Abyakta; RS Reksa Waluya; RS Islam Hasanah Muhammadiyah; RS Kamar Medika; RS Emma; RS Umum Santa Clara; RS Umum Islam Siti Aisyah; RS Umum Daerah Kota Madiun; RS Umum Griya Husada Madiun; RS Hermina Madiun; RS William Booth Surabaya; RS Umum Tk. III Brawijaya; RS Umum Daerah Bhakti Dharma Husada; RS Umum Islam Surabaya Jemursari; RS Muji Rahayu; RS Umum Daerah Husada Prima; RS Umum Siloam Hospitals Surabaya; RS Al Irsyad Surabaya; RS Umum Daerah Haji Provinsi Jawa Timur; RS Husada Utama Surabaya; RS Ibu dan Anak Pura Raharja; RS Bhakti Rahayu; RS Bhayangkara TK II HS. Samsoeri Mertojoso; RS Wiyung Sejahtera; RS Wijaya Surabaya; RS Manyar Medical Centre; RS Mitra Keluarga Kenjeran; RS Ubaya; RS Umum dr. Etty Asharto Batu; RS Umum Karsa Husada Kota Batu; RS Baptis Batu; RS Umum Negara; RS Umum Bunda; RS Umum Daerah Tabanan; RS Umum Dharma Kerti; RS Umum Wisma Prashanti; RS Umum Kasih Ibu Tabanan; RS Umum Semara Ratih; RS Daerah Mangusada; RS Umum Kasih Ibu Kedonganan; RS Umum Surya Husadha Nusa Dua; RS Bali Jimbaran; RS Universitas Udayana; RS Umum Garba Med; RS Windu Husada; RS Umum Ganesha; RS Umum Kasih Ibu Saba; RS Kenak Medika; RS Umum Daerah Klungkung; RS Umum Permata Hati; RS Umum Bintang; RS Umum Daerah Bangli; RS Umum Bangli Medika Canti; RS Umum Balimed Karangasem; RS Umum Daerah Kab. Buleleng; RS Umum Kertha Usadha; RS Balimed Buleleng; RS TK. II Udayana; RS Umum Surya Husadha; RS Umum Bali Royal; RS Umum Dharma Yadnya; RS Umum Puri Raharja; RS Umum Bhakti Rahayu; RS Bhayangkara Denpasar; RS Umum Surya Husadha; RS Umum Daerah Bali Mandara Provinsi Bali; RS 13710300106; RS 1407013S; RS 17030300003; RS 32010300258; RS 32010300278; RS 32110300095; RS 32150300197; RS 32170300071; RS 32180300024; RS 32750300305; RS 32790300017; RS 33090300041; RS 33160300030; RS 33240300048; RS 33250300027; RS 35280300023; RS 35730300108; RS 35730300126; RS 51070300015; RS 51080300002; RS 51080300021; RS 51710300130; RS K1210810; RS K1211037; RS K1211109; RS K1211359; RS K1211524; RS K1216468; RS K1216717; RS K1216828; RS K1217589; RS K1217961; RS K1218046; RS K1218227; RS K1230271; RS K1230383; RS K1230417; RS K1230557; RS K1230932; RS K1231071; RS K1231367; RS K1231529; RS K1231618; RS K1232020; RS K1232070; RS K1232425; RS K1232458; RS K1232702; RS K1232846; RS K1233023; RS K1233490; RS K1233520; RS K1233911; RS K1234236; RS K1234509; RS K1234523; RS K1234534; RS K1234757; RS K1234769; RS K1234784; RS K1234821; RS K1234875; RS K1234958; RS K1235035; RS K1235083; RS K1235252; RS K1235929; RS K1236049; RS K1236408; RS K1236487; RS K1236718; RS K1236856; RS K1236952; RS K1237215; RS K1237357; RS K1237398; RS K1237472; RS K1237500; RS K1237935; RS K1237986; RS K1238056; RS K1238132; RS K1238168; RS K1238199; RS K1238395; RS K1238411; RS K1238492; RS K1238494; RS K1238787; RS K1238824; RS K1238862; RS K1239005; RS K1239006; RS K1239091; RS K1239241; RS K1239274; RS K1239353; RS K1239409; RS K1239505; RS K1239838; RS K1239933; RS K1250027; RS K1250398; RS K1305001; RS K1306009; RS K1471002; RS K1471003; RS K1509001; RS K2171001; RS K2172001; RS K2172002; RS K3201003; RS K3201004; RS K3204002; RS K3204003; RS K3204006; RS K3204128; RS K3208001; RS K3209002; RS K3209004; RS K3210024; RS K3211002; RS K3212001; RS K3213001; RS K3214002; RS K3216002; RS K3216003; RS K3216005; RS K3271002; RS K3273001; RS K3273002; RS K3273005; RS K3273007; RS K3273008; RS K3273126; RS K3274001; RS K3274013; RS K3276001; RS K3276006; RS K3276079; RS K3276120; RS K3302001; RS K3302002; RS K3302003; RS K3304001; RS K3305003; RS K3309002; RS K3322001; RS K3322002; RS K3324079; RS K3374001; RS K3374002; RS K3507001; RS K3507078; RS K3508001; RS K3514001; RS K3517001; RS K3518001; RS K3518002; RS K3519001; RS K3521014; RS K3522001; RS K3524001; RS K3525001; RS K3526001; RS K3526004; RS K354007; RS K3573001; RS K3573002; RS K3576001; RS K3578003; RS K3578004; RS K3578005; RS K3578797; RS K3578799; RS K5171006; RS Umum Rizki Amalia Medika; RS Umum PKU Muhammadiyah Nanggulan; RS Umum Rizki Amalia; RS Umum Daerah Nyi Ageng Serang; RS Umum Queen Latifa; RS Umum Nur Hidayah; RS 3402077; RS Rajawali Citra; RS Umum Daerah Saras Adyatma; RS Umum Daerah Wonosari; RS Umum Nur Rohmah; RS Umum PKU Muhammadiyah Wonosari; RS Umum Daerah Saptosari; RS Islam Gunungkidul; RS Jiwa Grhasia; Charitas Hospital Klepu; RS Umum Condong Catur; RS Umum Puri Husada Yogyakarta; RS Umum Panti Nugroho; RS Umum Daerah Prambanan; RS Umum Mitra Paramedika; RS Umum PKU Muhammadiyah Gamping; RS Umum Bhayangkara POLDA DIY; RS Sadewa; RS Umum Mitra Sehat; RS PKU Muhammadiyah Sleman; RS Islam Hidayatullah Yogyakarta; RS Tk. III 04.06.03 Dr. Soetarto; RS Paru Respira; RS Ludira Husada Tama; RS Bethesda Lempuyangwangi; RS Happy Land Medical Centre; RS Pratama Kota Yogyakarta; RS Siloam Yogyakarta; RS K1236516; RS K1239182</x:v>
      </x:c>
      <x:c r="G19" s="8">
        <x:v>268</x:v>
      </x:c>
      <x:c r="H19" s="7" t="str">
        <x:v>RS Umum Daerah Ahmad Syafi'I Ma'arif; RS Umum Daerah Prof H Muhammad Yamin, SH; RS Umum Yos Sudarso; RS Umum Semen Padang Hospital; RS. Universitas Andalas; RS Umum Hermina Padang; RS Umum Daerah Mohammad Natsir; RS Umum Daerah Dr. Achmad Mochtar; RS Otak DR. Drs. M. Hatta Bukittinggi; RS Umum  Mesra; RS Umum Daerah  Rokan Hulu; RS Umum  Awal Bros Ujung Batu; RS Santa Maria Pekanbaru; RS Umum  Syafira; RS Umum  Islam Ibnu Sina; RS Awal Bros A. Yani; RS Umum  Awal Bros Panam; Aulia Hospital; RS Umum  Prima Pekanbaru; RS Awal Bros Dumai; RS Umum Daerah Raden Mattaher Jambi; RS Tk. III 02.06.01  dr. Bratanata; RS Umum Baiturahim Jambi; RS Umum Daerah Dr. M. Yunus Bengkulu; RS Umum Santa Elisabeth Batam Kota; RS Umum Awal Bros Batam; RS Umum Daerah Embung Fatimah Kota Batam; RS Awal Bros Botania; RS Paru Dr. M. Goenawan Partowidigdo; RS Umum Daerah R. Moh. Noh Nur; RS Umum Hermina Depok; RS Umum Meilia; RS Umum Sentra Medika Cibinong; RS Umum Daerah RH. Satibi; RS Umum Rumah Sehat Terpadu Dompet Dhuafa; RS Umum Ummi; RS Eka Hospital; RS Hermina Ciawi; RS Umum Hermina Sukabumi; RS Umum Betha Medika; RS Primaya Sukabumi; RS Umum Daerah Sayang; RS Umum Dr. Hafiz; RS Maranatha; RS Hermina Soreang; Rumah Sakit TK.IV 03.07.04 Guntur; RS Umum Daerah Waled; RS Umum Daerah Arjawinangun; RS Umum Mitra Plumbon; RS Umum Permata Cirebon; RS Umum Sumber Waras; Sentra Medika Hospital Gempol; RS Mitra Plumbon Majalengka; RS Cimalaka; RS Umum Daerah Kab. Indramayu; RS Mitra Plumbon Indramayu; RS Mitra Plumbon Patrol; RS Umum Siloam Purwakarta; RS Umum dr. Abdul Radjak Purwakarta; RS Umum Daerah Karawang; RS Umum Izza; RS Umum Lira Medika; RS Hermina Karawang; RS Primaya Karawang; RS Umum Karya Medika; Sentra Medika Hospital Cikarang; RS Umum Hermina Grand Wisata; RS Umum Karya Medika II; RS Mitra Plumbon Cibitung; RS Umum Hermina Galaxy; RS Umum Anna Medika; RS Hermina Metland Cibitung; RS Umum Cahya Kawaluyan; RS Umum PMI Bogor; RS Umum Hermina Bogor; RS Umum Melania; RS Umum Mulia Pajajaran; RS Umum Daerah R. Syamsudin, SH; RS Umum Assyifa Sukabumi; RSU Bhayangkara Tk. II Sartika Asih; RSAU dr. M. Salamun; RS Umum Immanuel Bandung; RS Umum Santo Yusup; RS Umum Santo Borromeus; RS Umum Advent Bandung; RS Umum Pindad; RS Umum Muhammadiyah; RS Umum Hermina Arcamanik; RS Umum Daerah Kota Bandung; RS Umum Al-Islam Bandung; RS Umum Hermina Pasteur; RS Umum Melinda 2; RS Ibu dan Anak Al Islam; RS Daerah Gunung Jati; RS Mekar Sari; RS Siloam Sentosa; RS Umum Masmitra; RS Primaya; RS Umum Hermina Bekasi; RS Umum Bhakti Kartini; RS Umum Permata Bekasi; RS Umum Bella; RS Umum Anna; RS Umum Islam dr. Subki Abdulkadir; RS Primaya Bekasi Barat; RS Umum Sentra Medika; RS Umum Bhayangkara Brimob; RS Umum Hasanah Graha Afiah; RS Umum Permata Depok; RS Primaya Depok; RS Umum Daerah Anugerah Sehat Afiat; RS Hermina Tasikmalaya; RS Umum Pertamina Cilacap; RS Umum Daerah Prof Dr. Margono Soekarjo; RS Umum Daerah Ajibarang; RS Umum Dadi Keluarga; RS Umum Daerah dr. R. Goeteng Taroenadibrata; RS Umum Harapan Ibu; RS Umum Siaga Medika Purbalingga; RS Umum Daerah Hj. Anna Lasmanah Banjarnegara; RS Umum Daerah dr. Soedirman Kabupaten Kebumen; RS Umum PKU Muhamadiyah Gombong; RS Umum Daerah Prembun; RS Umum Daerah Dr. Tjitrowardojo Purworejo; RS Amanah Umat Purworejo; RS Umum  PKU Muhammadiyah Wonosobo; RS Umum Daerah Pandan Arang Boyolali; RS Umum Daerah Waras Wiris; RS Indriati Boyolali; RS Umum Islam Boyolali; RS Umum 'Aisyiyah Klaten; RS Umum Cakra Husada; RS Umum Islam Cawas Klaten; RS Umum Mitra Pedan; RS Umum Nirmala Suri; RS Umum Dr. Oen Solo Baru; RS Umum PKU Muhammadiyah Sukoharjo; RS Umum Universitas Sebelas Maret; RS Umum Indriati; RS Hermina Wonogiri; RS Umum Astrini; RS Umum Daerah Kartini Karanganyar; RS PKU Muhammadiyah Karanganyar; RS Umum Islam Amal Sehat Sragen; RS Umum Daerah Dr. R.Soedjati Soemodiardjo; RS Umum Panti Rahayu; RS Umum Daerah RAA Soewondo; RS Umum Keluarga Sehat; RS Keluarga Sehat Tayu; RS Umum Mardi Rahayu; RS Umum Daerah R. A. Kartini; RS Graha Husada Jepara; RS Umum PKU Muhammadiyah Mayong; RS Umum Daerah Sunan Kalijaga; RS Umum Daerah Sultan Fatah Karangawen Demak; RS Umum Daerah dr. Gunawan Mangunkusumo; RS Umum Ken Saras; RS PKU Muhammadiyah Temanggung; RS Umum Qim; RSI PKU Muhammadiyah Tegal; RS Mitra Siaga Tarub; RS Umum Tk. II Dr. Soedjono; RS Jiwa Prof. Dr. Soerojo; RS Umum Brayat Minulya; RS 3372051; RS Jiwa Daerah Dr. Arif Zainudin Provinsi Jawa Tengah; RS PKU Muhammadiyah Surakarta; RS Umum Kasih Ibu; RS Umum Triharsi; RS Umum Hermina Solo; RS Umum Daerah Bung Karno Kota Surakarta; RS Umum Daerah Kota Salatiga; RS Paru Dr. Ario Wirawan; RS Umum Puri Asih; RS Umum St. Elisabeth Semarang; RS Umum Telogorejo Semarang; RS Umum Sultan Agung Semarang; RS Roemani Muhammadiyah Semarang; RS Umum Panti Wilasa Citarum; RS Umum Daerah dr. Adhyatma, MPH; RS Panti Wilasa "Dr. Cipto" Semarang; RS Umum Banyumanik; RS Daerah KRMT Wongsonegoro; RS Umum Banyumanik 2; RS Primaya Kota Semarang; RS Samsoe Hidajat; RS Umum Daerah Kardinah; RS Umum  Mitra Siaga; RS Umum Islam Harapan Anda; RS Umum Daerah Dr. Iskak; RS Umum Bhayangkara Tulungagung; RS Toeloengredjo; RS Umum Daerah Dr. Haryoto Kabupaten Lumajang; RS Umum Djatiroto; RS Umum Daerah Dr. Soebandi Jember; RS Perkebunan PTPN X (Persero) Jember; RS Bina Sehat Jember; RS Kaliwates Jember; RS Siloam Jember; RS Yasmin; RS Umum Daerah Asembagus Kabupaten Situbondo; RS Umum  Wonolangan; RS Rizani; RS Umum Siti Khodijah Muhammadiyah Cabang Sepanjan; RS Bhayangkara TK.III Pusdik Sabhara Porong; RS Umum Delta Surya; RS Umum Daerah Prof. Dr. Soekandar; RS Mawaddah Medika; RS Umum Daerah Kab. Jombang; RS Umum Daerah Nganjuk; RS Umum Daerah Dr. Soeroto Ngawi; RS Umum Daerah Dr. R. Sosodoro Djatikoesoemo; RS Umum Daerah Dr. R. Koesma Tuban; RS Nahdlatul Ulama Tuban; RS Umum Daerah Dr. Soegiri Lamongan; RS Semen Gresik; RS Umum Wates Husada; RS Eka Husada; RS Umum Daerah dr. Mohammad Zyn Kab. Sampang; RS Umum Daerah Dr. H. Slamet Martodirdjo Pamekasan; RS 3528038; RS Umum Bhayangkara Kediri; RS Umum Daha Husada; RS Umum Daerah Mardi Waluyo; RS Tk. II Dr. Soepraoen; RS Umum Panti Waluya Sawahan Malang; RS Umum BRI Medika Malang; RS Umum Daerah dr. Mohamad Saleh Kota Probolinggo; RSUD dr. Wahidin Sudiro Husodo Kota Mojokerto; RS Gatoel; RS Umum Daerah Dr. Soedono Madiun; RS Umum Darmayu Madiun; RSPAL dr. Ramelan; RS Islam Surabaya; RS Umum Daerah dr. Mohamad Soewandhie; RS Gotong Royong; RS Umum Royal Surabaya; RS Bhayangkara Hasta Brata Batu; RS Umum Bhakti Rahayu Tabanan; RS Umum Siloam Bali; RS Umum Murni Teguh Tuban Bali; RS Umum Daerah Sanjiwani Gianyar; RS Umum Ari Canti; RS Umum Famili Husada; RS Umum Grha Bhakti Medika; RS Umum Prima Medika; RS BaliMed; RS Umum Daerah Wates; RS Umum Daerah Panembahan Senopati; RS Umum Santa Elisabeth; RSU PKU Muhammadiyah Bantul; RS Umum Rachma Husada; RS Universitas Islam Indonesia; RS Umum Panti Rahayu; RS Umum Daerah Sleman; RS Umum Queen Latifa; RS Umum Panti Rini; RS Islam Yayasan PDHI; RS Umum Sakina Idaman; RS Akademik Universitas Gadjah Mada; RS Universitas Ahmad Dahlan; RS Umum Hermina Yogya; RS PKU Muhammadiyah Yogyakarta; RS Umum Panti Rapih; RS Bethesda Yogyakarta; RSPAU Dr.  Suhardi Harjolukito; RS Umum Daerah Kota Yogyakarta; RS AMC Muhammadiyah</x:v>
      </x:c>
      <x:c r="I19" s="8">
        <x:v>25</x:v>
      </x:c>
      <x:c r="J19" s="7" t="str">
        <x:v>RSUP Dr. M. Djamil; RS Umum  Efarina; RS Umum  Awal Bros Pekanbaru; RS Umum Santosa Hospital Bandung Central; RS Umum Santosa Hospital Bandung Kopo; RS Umum Pusat Dr. Soeradji Tirtonegoro; RS Umum Dr. Oen; RS Orthopedi Prof. Dr. R. Soeharso; RS Umum Pusat Dr. Kariadi; RS Umum Bhayangkara Semarang; RS Khusus Bedah Columbia Asia Semarang; RS Umum Nasional Diponegoro; RS Umum Wava Husada; RS Umum Daerah Bangil; RS Umum Daerah R. T. Notopuro Sidoarjo; RS Umum Muhammadiyah Lamongan; RS Umum Daerah Dr. Saiful Anwar; RS Umum Lavalette Malang; RS Umum Hermina Tangkubanprahu; RS Umum Daerah Dr. Soetomo; RS Primasatya Husada Citra (PHC) Surabaya; RS Jiwa Menur; RS Universitas Airlangga; RSUP Prof. Dr. I.G.N.G. Ngoerah; RSUP Dr. Sardjito</x:v>
      </x:c>
      <x:c r="K19" s="8">
        <x:v>1</x:v>
      </x:c>
      <x:c r="L19" s="7" t="str">
        <x:v>RS Umum Pusat Dr. Hasan Sadikin</x:v>
      </x:c>
      <x:c r="M19" s="8">
        <x:v>1</x:v>
      </x:c>
      <x:c r="N19" s="7" t="str">
        <x:v>RS Umum Pusat Dr. Hasan Sadikin (Paripurna)</x:v>
      </x:c>
    </x:row>
    <x:row r="20">
      <x:c r="A20" s="7" t="str">
        <x:v>REKONSTRUKSI DAN ESTETIKA</x:v>
      </x:c>
      <x:c r="B20" s="7" t="str">
        <x:v>Rekonstruksi &amp; Estetika</x:v>
      </x:c>
      <x:c r="C20" s="8">
        <x:v>4</x:v>
      </x:c>
      <x:c r="D20" s="7" t="str">
        <x:v>Paripurna</x:v>
      </x:c>
      <x:c r="E20" s="8">
        <x:v>1009</x:v>
      </x:c>
      <x:c r="F20" s="7" t="str">
        <x:v>RS Umum Daerah Dr. Muhammad Zein Painan; RS Umum BKM; RS Umum Daerah Solok Selatan; RS Umum Daerah Padang Pariaman;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3M Plus; RS Umum Daerah  Selasih Riau;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Arifin Achmad; RS Bhayangkara Tk. III Kota Pekanbaru; RS Umum  Eka Hospital Pekanbaru;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Umum Charis Medika;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Ibu dan Anak Sawojajar; RS Umum Permata Jonggol; RS Umum Karya Bhakti Pratiwi; RS Ibu dan Anak Bunda Suryatni; RS EMC Sentul; RS Asysyifaa; RS Helsa Citeureup; RS Harapan Sehati; Bogor Senior Hospital; RS Universitas Indonesia;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Umum Khalishah; RS Pasar Minggu Cirebon; RS Umum Sumber Waras; Sentra Medika Hospital Gempol; RS Umum Daerah Majalengka; RS Umum Daerah Cideres; RS Umum Livasya; Rumah Sakit Umum Djuansih Majalengka; RS Umum Daerah Umar Wirahadikusumah; RS Umum Pakuwon; RS Umum Harapan Keluarga;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St. Elisabeth; RS Umum Medirossa Cikarang; RS dr. Abdul Radjak Jababeka; RS Amanda Cikarang Selatan; RS Umum Dokter Adam Talib; RS Umum Hermina Galaxy; RS DKH Cikarang Barat; RS Uni Medika Setu Bekasi; RS Umum Anna Medika; RS Umum Harapan Mulia; RS Umum Cikarang Medika; RS Umum Kartika Husada Setu; RS Umum Amanda; RS Umum Ridhoka Salma; RS Umum Permata Keluarga Lippo Cikarang; RS Umum Medirossa 2; RS Umum Kartika Husada; RS Dokter Adam Talib Cikunir; RS Umum Tarumajaya; RS Umum Pinna; RS Umum Permata Keluarga Jababeka; RS EMC Cibitung; RS Cenka; RS EMC Pekayon; RS Mitra Keluarga Pratama; RS Ananda Babelan; RS Eka Bekasi; RS Hermina Metland Cibitung; RS Umum Daerah Lembang; RS Ibu dan Anak Kartini; RS Umum Daerah Pandega Pangandaran; RS Umum Salak; RSAU Dr. M. Hassan Toto; RS Jiwa dr. H. Marzoeki Mahdi; RS Umum Azra; RS Umum Daerah Kota Bogor; Mayapada Hospital Bogor; RS Umum Trimitra; RS Umum Melania; RS Ibu dan Anak Pasutri;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Paru Dr. H. A. Rotinsulu; RS Umum Daerah Bandung Kiwari; RS AMC; RS Ibu dan Anak Harapan Bunda Bandung; RS Ibu dan Anak Al Islam; RS Jantung dan Pembuluh Darah Paramarta; RS Pasundan; RS Daerah Gunung Jati; RS Umum Panti Abdi Dharma; RS Umum Pelabuhan Cirebon; RS Umum Putera Bahagia; RS Umum Sumber Kasih;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Ibu dan Anak Asyifa Depok; RS Ibu dan Anak Setya Bhakti; RS Siloam Heart Hospital; RS Umum Citra Medika Depok; RS Umum Citra Arafiq; RS Umum Citra Arafiq Sawangan; RS Primaya Depok;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Hj. Fatimah Sulhan PKU Muhammadiyah Demak; RS Umum Daerah dr. Gunawan Mangunkusumo; RS Umum Daerah dr. Gondo Suwarno; RS Umum Bina Kasih; RS Ibu dan Anak Plamongan Indah; RS Umum Kusuma Ungaran; At-Tin Hospital;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Umum Permata Medika; RS Umum Tk.III Bhakti Wira Tamtama Smg; RS Roemani Muhammadiyah Semarang;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Anugerah Pekalongan; RS Umum H. A. Zaky Djunaid; RS Umum  ARO;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Al-Ittihad; RS Umum Wava Husada Kesamben;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Airlangga Jombang;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Rumah Sakit Aisyiyah Bojonegoro; RSI Muhammadiyah Sumberrejo; RS Umum Daerah Sumberrejo; RS umum Daerah Padangan; RS Muhammadiyah Kalitidu; RS Ibu dan Anak Fatma; RS Umum Daerah Kepohbaru; RS Umum Daerah Dr. R. Koesma Tuban; RS Medika Mulia Tuban; RS Nahdlatul Ulama Tuban; RS Umum Daerah R. Ali Manshur; RS Graha Husada; RS Islam Nashrul Ummah; RS Umum dr. Suyudi; RS Umum Intan Medika; RS Muhammadiyah Babat; RS Umum Muhammadiyah Babat; RS Umum Daerah Karangkembang; RS Muhammadiyah Kalikapas Lamongan; RS Umum Daerah Ibnu Sina Kab. Gresik; RS Semen Gresik; RS Umum Nyai Ageng Pinatih Gresik;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Umum Islam Surabaya Jemursari; RS Bunda; RS Muji Rahayu; RS Umum Daerah Husada Prima; RS Umum Siloam Hospitals Surabaya; RS Al Irsyad Surabaya; RS Husada Utama Surabaya; RS Ibu dan Anak Pura Raharja; RS Bhakti Rahayu; RS Islam Darus Syifa;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Baptis Batu; RS Umum Negara; RS Umum Bunda; RS Umum Balimed Negara; RS Umum Daerah Tabanan; RS Umum Dharma Kerti; RS Umum Bhakti Rahayu Tabanan; RS Umum Wisma Prashanti; RS Umum Kasih Ibu Tabanan; RS Umum Daerah Singasana;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Shanti Graha; RS Umum Daerah Tangguwisia; RS Balimed Buleleng; RS Ibu dan Anak Puri Bunda Singaraja; RS Umum Daerah Wangaya; RS TK. II Udayana; RS Umum Surya Husadha; RS Umum Dharma Yadnya; RS Umum Puri Raharja; RS Umum Bhakti Rahayu; RS Umum Surya Husadha; RS 1407013S; RS 32170300071; RS 32790300017; RS 33160300030; RS 35280300023; RS 51080300002; RS 51080300021; RS K1216717; RS K1216828; RS K1217589; RS K1217678; RS K1230383; RS K1230932; RS K1232846; RS K1233490; RS K1237215; RS K1250201; RS K1305001; RS K1306009; RS K2171001; RS K3273007; RS K3274013; RS K3302002; RS K3302003; RS K3304001; RS K3573002;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Umum Daerah Kota Yogyakarta; RS Ludira Husada Tama; RS Bethesda Lempuyangwangi; RS Happy Land Medical Centre; RS Pratama Kota Yogyakarta; RS Siloam Yogyakarta</x:v>
      </x:c>
      <x:c r="G20" s="8">
        <x:v>126</x:v>
      </x:c>
      <x:c r="H20" s="7" t="str">
        <x:v>RS Umum Daerah Ahmad Syafi'I Ma'arif; RS Umum Daerah Prof H Muhammad Yamin, SH; RS Umum Daerah Mohammad Natsir; RS Umum Daerah Dr. Achmad Mochtar; RS Umum  Efarina; RS Santa Maria Pekanbaru; RS Umum  Syafira; RS Badan Pengusahaan Batam; RS Umum Graha Hermine; RS Umum Daerah Embung Fatimah Kota Batam; RS Awal Bros Botania; RS Umum Hermina Depok; RS Umum Meilia; RS Umum Daerah RH. Satibi; RS Eka Hospital; RS Umum Dr. Hafiz; Rumah Sakit TK.IV 03.07.04 Guntur; RS Umum Daerah Waled; RS Umum Permata Cirebon; RS Mitra Plumbon Majalengka; RS Universitas Padjadjaran; RS Umum Daerah Kab. Indramayu; RS Mitra Plumbon Indramayu; RS Mitra Plumbon Patrol; RS Umum Siloam Purwakarta; RS Umum Daerah Karawang; Sentra Medika Hospital Cikarang; RS Umum Daerah Kab.Bekasi; RS Umum Karya Medika II; RS Mitra Plumbon Cibitung; RS Umum Tiara; RS EMC Cikarang; RS Umum Cahya Kawaluyan; RS Umum Hermina Bogor; RS Umum Immanuel Bandung; RS Umum Santo Yusup; RS Umum Santo Borromeus; RS Umum Hermina Arcamanik; RS Umum Daerah Kota Bandung; RS Umum Melinda 2; RS Edelweiss; RS Umum Tk. III Ciremai; RS Primaya; RS Umum Sentra Medika; RS Umum Bhayangkara Brimob; RS Umum Hasanah Graha Afiah; RS Umum Permata Depok; RS Umum Tk. II Dustira; RS Umum PKU Muhamadiyah Gombong; RS Umum Daerah Dr. Tjitrowardojo Purworejo; RS Umum Setjonegoro Wonosobo; RS Umum Daerah Merah Putih; RS Umum Daerah Pandan Arang Boyolali; RS Umum Islam Klaten; RS Umum Cakra Husada; RS Umum Islam Cawas Klaten; RS Umum Nirmala Suri; RS Umum Dr. Oen Solo Baru; RS Umum Universitas Sebelas Maret; RS Hermina Wonogiri; RS PKU Muhammadiyah Karanganyar; RS Umum Panti Rahayu; RS Umum Daerah dr. R. Soetrasno Rembang; RS Umum Daerah RAA Soewondo; RS Umum Islam NU Demak; RS Umum Daerah Sultan Fatah Karangawen Demak; Charlie Hospital Demak; RS Umum Ken Saras; RS Umum Ngesti Waluyo; RS Umum Qim; RS Umum Siaga Medika Pemalang; RS Umum Tk. II Dr. Soedjono; RS Jiwa Prof. Dr. Soerojo; RS Umum Brayat Minulya; RS 3372051; RS Umum St. Elisabeth Semarang; RS Umum Telogorejo Semarang; RS Umum Sultan Agung Semarang; RS Panti Wilasa "Dr. Cipto" Semarang; RS Daerah KRMT Wongsonegoro; RS Umum Nasional Diponegoro; RS Samsoe Hidajat; RS Umum Daerah Dr. Soebandi Jember; RS Rizani; RS Umum Siti Khodijah Muhammadiyah Cabang Sepanjan; RS Umum Delta Surya; RS Umum Daerah Prof. Dr. Soekandar; RS Mawaddah Medika; RS Umum Daerah Kab. Jombang; RS Umum Daerah Nganjuk; RS Umum Daerah Dr. R. Sosodoro Djatikoesoemo; RS Bhayangkara Wahyu Tutuko Bojonegoro; RS Umum Daerah Dr. Soegiri Lamongan; RS Umum Muhammadiyah Lamongan; RS Petrokimia Gresik; RS Umum Daerah dr. Mohammad Zyn Kab. Sampang; RS 3528038; RS Umum Aminah Blitar; RS Tk. II Dr. Soepraoen; RS Umum Panti Waluya Sawahan Malang; RS Umum Daerah dr. Mohamad Saleh Kota Probolinggo; RSUD dr. Wahidin Sudiro Husodo Kota Mojokerto; RS Gatoel; RSPAL dr. Ramelan; RS Islam Surabaya; RS Jiwa Menur; RS Umum Daerah Bhakti Dharma Husada; RS Umum Daerah dr. Mohamad Soewandhie; RS Gotong Royong; RS Universitas Airlangga; RS Umum Royal Surabaya; RS Bhayangkara Hasta Brata Batu; RS Umum Karsa Husada Kota Batu; RS Umum Siloam Bali; RS Universitas Udayana; RS Umum Grha Bhakti Medika; RS Umum Daerah Kab. Buleleng; RS Umum Prima Medika; RS BaliMed; RS Bhayangkara Denpasar; RS Umum Daerah Wates; RS Islam Yayasan PDHI; RS Akademik Universitas Gadjah Mada; RS PKU Muhammadiyah Yogyakarta; RSPAU Dr.  Suhardi Harjolukito; RS AMC Muhammadiyah</x:v>
      </x:c>
      <x:c r="I20" s="8">
        <x:v>39</x:v>
      </x:c>
      <x:c r="J20" s="7" t="str">
        <x:v>RS Umum  Awal Bros Pekanbaru; RS Awal Bros A. Yani; RS Umum  Awal Bros Panam; RS Umum Awal Bros Batam; RS Umum Sentra Medika Cibinong; RS Umum Daerah Welas Asih Provinsi Jawa Barat; RS Umum Mitra Plumbon; RS Primaya Karawang; RS Umum Hermina Grand Wisata; RS Umum PMI Bogor; RS Umum Daerah R. Syamsudin, SH; RSAU dr. M. Salamun; RS Umum Advent Bandung; RS Umum Al-Islam Bandung; RS Umum Hermina Pasteur; RS Umum Santosa Hospital Bandung Kopo; RS Umum Hermina Bekasi; RS Primaya Bekasi Barat; RS Umum Alia Hospital; RS Umum Daerah Prof Dr. Margono Soekarjo; RS Umum Pusat Dr. Soeradji Tirtonegoro; RS Umum Indriati; RS Umum Dr. Oen; RS Umum Kasih Ibu; RS Umum Panti Wilasa Citarum; RS Umum Daerah dr. Adhyatma, MPH; RS Umum Wava Husada; RS Umum Daerah Bangil; RS Umum Daerah R. T. Notopuro Sidoarjo; RS Umum Lavalette Malang; RS Umum Daerah Dr. Soedono Madiun; RS Primasatya Husada Citra (PHC) Surabaya; RS Umum Daerah Haji Provinsi Jawa Timur; RS Umum Murni Teguh Tuban Bali; RS Umum Daerah Sanjiwani Gianyar; RS Umum Bali Royal; RS Umum Daerah Bali Mandara Provinsi Bali; RS Umum Panti Rapih; RS Bethesda Yogyakarta</x:v>
      </x:c>
      <x:c r="K20" s="8">
        <x:v>9</x:v>
      </x:c>
      <x:c r="L20" s="7" t="str">
        <x:v>RSUP Dr. M. Djamil; RS Umum Pusat Dr. Hasan Sadikin; RS Umum Santosa Hospital Bandung Central; RS PKU Muhammadiyah Surakarta; RS Umum Pusat Dr. Kariadi; RS Umum Daerah Dr. Saiful Anwar; RS Umum Daerah Dr. Soetomo; RSUP Prof. Dr. I.G.N.G. Ngoerah; RSUP Dr. Sardjito</x:v>
      </x:c>
      <x:c r="M20" s="8">
        <x:v>9</x:v>
      </x:c>
      <x:c r="N20" s="7" t="str">
        <x: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x:v>
      </x:c>
    </x:row>
    <x:row r="21">
      <x:c r="A21" s="7" t="str">
        <x:v>SARAF/ NEUROSCIENCE</x:v>
      </x:c>
      <x:c r="B21" s="7" t="str">
        <x:v>Saraf / Neuroscience</x:v>
      </x:c>
      <x:c r="C21" s="8">
        <x:v>4</x:v>
      </x:c>
      <x:c r="D21" s="7" t="str">
        <x:v>Paripurna</x:v>
      </x:c>
      <x:c r="E21" s="8">
        <x:v>1170</x:v>
      </x:c>
      <x:c r="F21" s="7" t="str">
        <x:v>RS Umum Daerah Dr. Muhammad Zein Painan; RS Umum BKM; RS Umum Daerah Solok Selatan; RS Umum Daerah Ahmad Syafi'I Ma'arif; RS Umum Daerah Prof. Dr. M.A. Hanafiah; RS Umum Daerah Prof H Muhammad Yamin, SH;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Jiwa Prof. Dr. Hasan Basri Saanin Datuk Tan Par; RS Umum Daerah dr. Rasidin Padang; RS Umum Bunda Padang; RS Islam Siti Rahmah; RS Umum Naili DBS; RS. Universitas Andalas; RS Umum Hermina Padang; RS Umum Daerah Mohammad Natsir; RS Umum Daerah Sawah Lunto; RS Umum Daerah Padang Panjang; RS Umum Ibnu Sina Padang Panjang; RS Umum Daerah Dr. Achmad Mochtar; RS Islam Ibnu Sina Bukittinggi; RS Umum Daerah Kota Bukittinggi;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 Awal Bros Ujung Batu; RS Umum  Surya Insani; RS Umum Daerah  Bengkalis; RS Umum Daerah  Kec.Mandau; RS Umum Mutiasari; RS Umum  Permata Hati; RS Umum Daerah  Dr. RM. Pratomo Bagansiapiapi; RS Umum Awal Bros Bagan Batu; RS Umum Daerah  Kabupaten Kepulauan Meranti; RS Umum  Eka Hospital Pekanbaru; RS Umum  Syafira; RS Umum Daerah  Petala Bumi; RS Umum  Islam Ibnu Sina; RS Prof. Dr. Tabrani; RS Umum  Bina Kasih; RS Murni Teguh Eria; RS Umum  Pekanbaru Medical Center; RS Awal Bros A. Yani; RS Umum  Universitas Riau; RS Ibu Anak  Budhi Mulia; Aulia Hospital; RS Umum  Prima Pekanbaru; RS Daerah Madani Kota Pekanbaru; RS Hermina Pekanbaru; RS Awal Bros Dumai;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Rapha Theresia; RS As-syifa; RS Umum Daerah Kabupaten Rejang Lebong; Charitas Hospital Arga Makmur; RS Umum Daerah Kepahiang; RS Umum Ummi Bengkulu; RS Gading Medika; RS Umum Daerah Dr. M. Yunus Bengkulu; RS Rafflesia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Graha Hermine; RS Umum Santa Elisabeth Batam Kota; RS Umum Daerah Embung Fatimah Kota Batam; RS Umum Daerah Raja Ahmad Tabib; RS Bhayangkara Batam Polda Kepri; RS Hj. Bunda Halimah Batam; RS Awal Bros Botania; RS Mutiara Aini; RS Paru Dr. M. Goenawan Partowidigdo; RS Umum Bhakti Yudha; RS Umum Daerah Ciawi; RS Umum Tugu Ibu; RS Umum Daerah R. Moh. Noh Nur; RS Umum Annisa; RS Mitra Keluarga Bina Husada;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Ummi; RS Umum Permata Jonggol; RS Umum Karya Bhakti Pratiwi; RS EMC Sentul; RS Asysyifaa; RS Helsa Citeureup; RS Harapan Sehati; Bogor Senior Hospital; RS Eka Hospital;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Muhammadiyah Bandung Selatan; RS Umum Daerah dr. Slamet Garut; Rumah Sakit TK.IV 03.07.04 Guntur;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El-Syifa; RS Jantung Hasna Medika Kuningan; RS Mitra Husada; RS Permata Kuningan; RS Umum Daerah Waled; RS Pertamina Cirebon;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Rumah Sakit Umum Djuansih Majalengka; RS Umum Daerah Umar Wirahadikusumah; RS Umum Pakuwon; RS Umum Harapan Keluarga; RS Universitas Padjadjaran; RS Cimalaka; RS Umum Daerah M. A. Sentot Patrol; RS Umum MM Indramayu; RS Umum Pertamina Balongan Indramayu; RS Mitra Plumbon Indramayu; RS Sentra Medika Langut; RS Mitra Plumbon Patrol; RS Umum Daerah Subang; RS Umum PTPN VIII; RS Umum Mutiara Hati; RS Umum Pamanukan Medical Center (PMC); RS Umum Daerah Bayu Asih; RS Umum Siloam Purwakarta; RS Umum dr. Abdul Radjak Purwakarta; RS Umum Asri Purwakarta; RS Umum Rama Hadi; RS Umum Amira; RS Umum Bhakti Husada II Purwakarta; RS Umum Daerah Karawang; RS 3215037; RS Umum Dewi Sri; RS Umum Karya Husada; RS Umum Islam Karawang; RS Umum Delima Asih Sisma Medika; RS Umum Citra Sari Husada; RS Umum Izza; RS Umum Mandaya; RS Umum Daerah Jatisari Kabupaten Karawang; RS Umum Lira Medika; RS Umum Fikri Medika; RS Umum Puri Asih; RS Umum Mitra Family; RS Umum Helsa; RS Umum Rosela;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Ridhoka Salma; RS Umum Permata Keluarga Lippo Cikarang; RS Umum Tiara; RS Umum Kartika Husada; RS Dokter Adam Talib Cikunir; RS Umum Tarumajaya; RS EMC Cikarang; RS Umum Daerah Cabangbungin; RS Umum Permata Keluarga Jababeka; RS EMC Cibitung; RS Cenka; RS Mitra Keluarga Pratama; RS Ananda Babelan; RS Eka Bekasi; RS Hermina Metland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RSAU dr. M. Salamun; RS 3273046; RS Umum Santo Yusup; RS Umum Advent Bandung; RS Umum Pindad; RS Umum Muhammadiyah; RS Umum Hermina Arcamanik; RS Umum Tk. IV 03.07.03 Sariningsih; RS Paru Dr. H. A. Rotinsulu; RS Umum Daerah Bandung Kiwari; RS Umum Daerah Kota Bandung; RS AMC; RS Umum Santosa Hospital Bandung Kopo; RS Umum Melinda 2; RS Ibu dan Anak Al Islam; RS Edelweiss; RS Jantung dan Pembuluh Darah Paramarta; RS Pasundan; RS Umum Tk. III Ciremai; RS Umum Panti Abdi Dharma; RS 3274041; RS Umum Pelabuhan Cirebon; RS Umum Putera Bahagia; RS Umum Sumber Kasih; RS Umum Medimas; RS Umum Sumber Hurip; RS Mekar Sari; RS Siloam Sentosa; RS Umum Masmitra; RS Umum Mitra Keluarga Bekasi Timur; RS Umum Juwita; RS Umum Taman Harapan Baru; RS Umum Satria Medika; RS Helsa; RS Siloam Bekasi Timur; RS Primaya Bekasi Utara; RS Umum Daerah Jatisampurna; RS Umum Daerah Bantar Gebang;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Ibu dan Anak Setya Bhakti; RS Siloam Heart Hospital;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PKU Muhammadiyah Petanahan Kebumen; RS Umum Daerah Prembun; RS Umum Daerah Dr. Tjitrowardojo Purworejo; RS Umum  Aisyiyah; RS Umum Panti Waluyo Yakkum Purworejo; RS Umum Palang Biru Kutoarjo;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Ibu dan Anak NU Cakra Medika; RS Umum Daerah dr. R. Soetrasno Rembang; RS Umum Islam Arafah; RS Bhina Bhakti Husada; RS PKU Muhammadiyah Pamotan; RS Umum Daerah RAA Soewondo;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Kusuma Ungaran; At-Tin Hospital; RS Umum Daerah Kabupaten Temanggung; RS Umum Ngesti Waluyo; RS Umum Gunung Sawo Kab. Temanggung; RS PKU Muhammadiyah Temanggung;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3371039; RS Jiwa Prof. Dr. Soerojo; RS Umum Lestari Raharja; RS Umum Harapan; RS Umum Islam Magelang; RS Umum Dr. Oen;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Daerah dr. Adhyatma, MPH; RS Umum Hermina Pandanaran; RS Umum Bhayangkara Akpol Semarang; RS Panti Wilasa "Dr. Cipto" Semarang; RS Umum Banyumanik; RS Umum Hermina Banyumanik Semarang; RS Khusus Bedah Columbia Asia Semarang; RS Umum Banyumanik 2; RS Primaya Kota Semarang; RS Keluarga Sehat III Semarang; RS Unimus; RS Cepoko; RS Samsoe Hidajat; RS Umum Budi Rahayu; RS Umum Siti Khodijah; RS Umum H. A. Zaky Djunaid;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Daerah Srengat Kab. Blitar; RS Umum An-Nisaa; RS Umum Daerah Kabupaten Kediri; RS Toeloengredjo; RS Umum Amelia; RS Umum Muhammadiyah Surya Melati; RS Umum Arga Husada; RS Muhammadiyah Siti Khodijah; RS Umum  Aura Syifa; RS Umum Daerah Simpang Lima Gumul Kediri; RS Bala Keselamatan Bokor; RS Jiwa Dr. Radjiman Wediodiningrat Lawang;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Umum Cahaya Medika; RS Umum Daerah Dr. Haryoto Kabupaten Lumajang; RS Wijaya Kusuma Lumajang; RS Bhayangkara Lumajang; RS Umum Djatiroto; RS Islam Lumajang;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Delta Surya;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Umum Daerah Prof. Dr. Soekandar; RS Sido Waras; RS Umum Kartini; RS Islam Sakinah; RS Umum Daerah Raden Achmad Basoeni; RS Mawaddah Medika; RS Kristen Mojowarno; RS Umum Islam Jombang; RS Unipdu Medika Jombang; RS Umum Daerah Ploso; RS Umum dr. Moedjito Dwidjosiswojo; RS Muhammadiyah Jombang; RS Umum Nadhlatul Ulama Jombang; RS Umum Pelengkap Medical Center; RS Umum PKU Muhammadiyah Mojoagung; RS Hasyim Asy'ari; RS Umum Bhayangkara Tk. III Nganjuk; RS Islam Aisyiyah Nganjuk; RS Umum Daerah Caruban; RS Umum Daerah Dolopo; RS Umum Daerah dr. Sayidiman Magetan; RS Umum Bhakti Persada; RS Angkatan Udara dr. Efram Harsana; RS Umum Daerah Dr. Soeroto Ngawi; RS Umum Widodo; RS Umum At-Tin Husada; RS Umum Daerah Dr. R. Sosodoro Djatikoesoemo; Rumah Sakit Aisyiyah Bojonegoro; RSI Muhammadiyah Sumberrejo; RS Umum Daerah Sumberrejo; RS umum Daerah Padangan; RS Bhayangkara Wahyu Tutuko Bojonegoro; RS Muhammadiyah Kalitidu; RS Umum Daerah Dr. R. Koesma Tuban; RS Medika Mulia Tuban; RS Nahdlatul Ulama Tuban; RS Umum Daerah Dr. Soegiri Lamongan; RS Islam Nashrul Ummah; RS Umum Muhammadiyah Lamongan; RS Umum dr. Suyudi; RS Umum Intan Medika; RS Muhammadiyah Babat; RS Umum Muhammadiyah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Umum Daerah dr. Mohammad Zyn Kab. Sampang; RS Nindhita; RS Umum Daerah Dr. H. Slamet Martodirdjo Pamekasan; RS Umum Larasati Pamekasan; RS Islam Garam Kalianget; Rumah Sakit Baghraf Health Care; RS Umum Daerah Gambiran; RS TK. IV 05.07.02 Kediri; RS Umum Bhayangkara Kediri; RS Baptis Kediri; RS Umum Daha Husada; RS Muhammadiyah Ahmad Dahlan; RS Umum Lirboyo; RS Umum Ratih; RS Umum Daerah Mardi Waluyo; RS Katolik Budi Rahayu; RS Umum Syuhada Haji; RS Umum Aminah Blitar; RS Islam Aminah; RS Umum Panti Nirmala; RS Umum Panti Waluya Sawahan Malang; RS Umum Lavalette Malang; RS Umum Islam Aisyiyah Malang; RS Umum Hermina Tangkubanprahu; RS Umum Permata Bunda; RS Umum Daerah Kota Malang; RS Universitas Brawijaya; RS Umum BRI Medika Malang; RS Umum Daerah dr. Mohamad Saleh Kota Probolinggo; RS Umum Dharma Husada; RS Umum Daerah Dr. R. Soedarsono Kota Pasuruan; RS Asih Abyakta; RSUD dr. Wahidin Sudiro Husodo Kota Mojokerto; RS Gatoel; RS Reksa Waluya; RS Islam Hasanah Muhammadiyah; RS Kamar Medika; RS Emma; RS Umum Islam Siti Aisyah; RS Umum Daerah Kota Madiun; RS Umum Griya Husada Madiun; RS Umum Darmayu Madiun; RS Hermina Madiun; RS William Booth Surabaya; RS Primasatya Husada Citra (PHC) Surabaya; RS Umum Adi Husada Kapasari; RS Islam Surabaya; RS Umum Tk. III Brawijaya; RS Jiwa Menur; RS Umum Daerah Bhakti Dharma Husada; RS Umum Islam Surabaya Jemursari; RS Bunda; RS Muji Rahayu; RS Umum Daerah Husada Prima; RS Al Irsyad Surabaya; RS Husada Utama Surabaya; RS Umum Daerah dr. Mohamad Soewandhie; RS Ibu dan Anak Pura Raharja; RS Gotong Royong; RS Bhakti Rahayu;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Balimed Buleleng; RS Umum Daerah Wangaya; RS TK. II Udayana; RS Umum Surya Husadha; RS Umum Bali Royal; RS Umum Dharma Yadnya; RS Umum Puri Raharja; RS Umum Bhakti Rahayu; RS Umum Prima Medika; RS BaliMed; RS Bhayangkara Denpasar; RS Umum Surya Husadha; RS 13710300106; RS 1407013S; RS 17030300003; RS 32110300095; RS 32150300197; RS 32170300071; RS 32180300024; RS 32740300084; RS 32750300305; RS 32790300017; RS 33090300041; RS 33160300030; RS 33240300048; RS 33250300027; RS 33750300020;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K1218417; RS K1230271; RS K1230383; RS K1230417; RS K1230557; RS K1231071; RS K1231367; RS K1231529; RS K1231618; RS K1232020; RS K1232070; RS K1232425; RS K1232458; RS K1232702; RS K1232846; RS K1233490; RS K1233911; RS K1234236; RS K1234509; RS K1234523; RS K1234534; RS K1234757; RS K1234769; RS K1234784; RS K1234821; RS K1234875; RS K1234898; RS K1234958; RS K1235035; RS K1235083; RS K1235252; RS K1235929; RS K1236049; RS K1236080; RS K1236408; RS K1236487; RS K1236595; RS K1236718; RS K1236856; RS K1236952; RS K1237215; RS K1237254; RS K1237357; RS K1237398; RS K1237472; RS K1237500; RS K1237986; RS K1238056; RS K1238132; RS K1238168; RS K1238199; RS K1238392; RS K1238395; RS K1238411; RS K1238492; RS K1238494; RS K1238787; RS K1238824; RS K1238862; RS K1239005; RS K1239006; RS K1239091; RS K1239353; RS K1239409; RS K1239505; RS K1239838; RS K1239933; RS K1250030; RS K1250201; RS K1250398; RS K1302001; RS K1305001; RS K1306009; RS K1471002; RS K1471003; RS K1501001; RS K1509001; RS K2171001; RS K2171002; RS K2172001; RS K2172002; RS K3201003; RS K3201004; RS K3204002; RS K3204006; RS K3204128; RS K3208001; RS K3209001; RS K3209002; RS K3210024; RS K3211002; RS K3212001; RS K3213001; RS K3214002; RS K3214003; RS K3216002; RS K3216003; RS K3216005; RS K3271002; RS K3273001; RS K3273002; RS K3273005; RS K3273007; RS K3273008; RS K3273126; RS K3274001; RS K3274013; RS K3276001; RS K3276002; RS K3276006; RS K3276079; RS K3276120; RS K329012; RS K3302001; RS K3302002; RS K3302003; RS K3303003; RS K3304001; RS K3305003; RS K3322001; RS K3322002; RS K3324079; RS K3374001; RS K3507001; RS K3507002; RS K3507078; RS K3514001; RS K3517001; RS K3518001; RS K3518002; RS K3519001; RS K3522001; RS K3524001; RS K3525001; RS K3526001; RS K3526004; RS K354007; RS K3573001; RS K3573002; RS K3576001; RS K3578003; RS K3578004; RS K3578005; RS K3578007; RS K3578797; RS K3578799; RS K5171002; RS K5171004;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RS Jiwa Grhasia; Charitas Hospital Klepu; RS Umum Queen Latifa; RS Umum Condong Catur; RS Umum Puri Husada Yogyakarta; RS Umum Panti Rini; RS Umum Panti Nugroho; RS Islam Yayasan PDHI; RS Umum Sakina Idaman; RS Umum Daerah Prambanan; RS Umum Mitra Paramedika; RS At-Turots Al-Islamy; RS Umum Gramedika 10;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Ludira Husada Tama; RS Bethesda Lempuyangwangi; RS Happy Land Medical Centre; RS Pratama Kota Yogyakarta; RS AMC Muhammadiyah; RS K1236516; RS K1239182</x:v>
      </x:c>
      <x:c r="G21" s="8">
        <x:v>50</x:v>
      </x:c>
      <x:c r="H21" s="7" t="str">
        <x:v>RS Otak DR. Drs. M. Hatta Bukittinggi; RS Santa Maria Pekanbaru; RS Badan Pengusahaan Batam; RS Umum Daerah Cibinong; RS Umum Daerah Welas Asih Provinsi Jawa Barat; RS Umum Daerah Kab. Indramayu; Sentra Medika Hospital Cikarang; RS Umum Daerah Kab.Bekasi; RS EMC Pekayon; RS Umum Daerah R. Syamsudin, SH; RS Umum Immanuel Bandung; RS Umum Al-Islam Bandung; RS Umum Hermina Pasteur; RS Daerah Gunung Jati; RS Umum Daerah dr. Chasbullah Abdulmadjid; RS Primaya; RS Umum Sentra Medika; RS Umum Daerah Cilacap; RS Umum Daerah Pandan Arang Boyolali; RS Umum Pusat Dr. Soeradji Tirtonegoro; RS Umum Islam Klaten; RS Umum Universitas Sebelas Maret; RS Umum Indriati; RS Umum Ken Saras; RS Umum Daerah  Dr. H. Soewondo Kendal; RS Umum Daerah Kraton Kab. Pekalongan; RS Umum Daerah Tidar; RS Umum Tk. II Dr. Soedjono; RS 3372051; RS Umum St. Elisabeth Semarang; RS Umum Telogorejo Semarang; RS Umum Sultan Agung Semarang; RS Daerah KRMT Wongsonegoro; RS Umum Daerah Dr. Soebandi Jember; RS Umum Daerah Bangil; RS Umum Siti Khodijah Muhammadiyah Cabang Sepanjan; RS Umum Daerah Kab. Jombang; RS Umum Daerah Nganjuk; RS 3528038; RS Umum Siloam Hospitals Surabaya; RS Umum Daerah Haji Provinsi Jawa Timur; RS Universitas Airlangga; RS Umum Royal Surabaya; RS Umum Karsa Husada Kota Batu; RS Umum Siloam Bali; RS Umum Panti Rapih; RS Bethesda Yogyakarta; RSPAU Dr.  Suhardi Harjolukito; RS Umum Daerah Kota Yogyakarta; RS Siloam Yogyakarta</x:v>
      </x:c>
      <x:c r="I21" s="8">
        <x:v>21</x:v>
      </x:c>
      <x:c r="J21" s="7" t="str">
        <x:v>RS Umum Daerah  Arifin Achmad; RS Umum  Awal Bros Pekanbaru; RS Umum  Awal Bros Panam; RS Umum Awal Bros Batam; RS Umum Hermina Depok; RS Umum Sentra Medika Cibinong; RS Universitas Indonesia; RS Umum Santo Borromeus; RS Umum Santosa Hospital Bandung Central; RS Umum Hermina Bekasi; RS Primaya Bekasi Barat; RS Umum Daerah Prof Dr. Margono Soekarjo; RS PKU Muhammadiyah Surakarta; RS Umum Nasional Diponegoro; RS Umum Daerah Dr. Iskak; RS Umum Daerah R. T. Notopuro Sidoarjo; RS Umum Daerah Dr. Saiful Anwar; RS Tk. II Dr. Soepraoen; RS Umum Daerah Dr. Soedono Madiun; RSPAL dr. Ramelan; RS Umum Daerah Bali Mandara Provinsi Bali</x:v>
      </x:c>
      <x:c r="K21" s="8">
        <x:v>6</x:v>
      </x:c>
      <x:c r="L21" s="7" t="str">
        <x:v>RSUP Dr. M. Djamil; RS Umum Pusat Dr. Hasan Sadikin; RS Umum Pusat Dr. Kariadi; RS Umum Daerah Dr. Soetomo; RSUP Prof. Dr. I.G.N.G. Ngoerah; RSUP Dr. Sardjito</x:v>
      </x:c>
      <x:c r="M21" s="8">
        <x:v>6</x:v>
      </x:c>
      <x:c r="N21" s="7" t="str">
        <x:v>RSUP Dr. M. Djamil (Paripurna); RS Umum Pusat Dr. Hasan Sadikin (Paripurna); RS Umum Pusat Dr. Kariadi (Paripurna); RS Umum Daerah Dr. Soetomo (Paripurna); RSUP Prof. Dr. I.G.N.G. Ngoerah (Paripurna); RSUP Dr. Sardjito (Paripurna)</x:v>
      </x:c>
    </x:row>
    <x:row r="22">
      <x:c r="A22" s="7" t="str">
        <x:v>THT</x:v>
      </x:c>
      <x:c r="B22" s="7" t="str">
        <x:v>Tht</x:v>
      </x:c>
      <x:c r="C22" s="8">
        <x:v>3</x:v>
      </x:c>
      <x:c r="D22" s="7" t="str">
        <x:v>Utama</x:v>
      </x:c>
      <x:c r="E22" s="8">
        <x:v>841</x:v>
      </x:c>
      <x:c r="F22" s="7" t="str">
        <x:v>RS Umum Daerah Dr. Muhammad Zein Painan; RS Umum BKM; RS Umum Daerah Solok Selatan; RS Umum Daerah Prof H Muhammad Yamin, SH; RS Umum Daerah Padang Pariaman; RS Umum Islam Ibnu Sina; RS Umum Daerah Sungai Dareh; RS Tk. III Reksodiwiryo Padang; RS Umum Yos Sudarso; RS Umum Aisyiyah Padang; RS Umum Semen Padang Hospital; RS Umum Daerah dr. Rasidin Padang; RS Umum Bunda Padang; RS Islam Siti Rahmah;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Daerah Teluk Kuantan; RS Umum  Kasih Ibu Rengat; RS Umum Daerah  Puri Husada Tembilahan; RS Umum  Efarina; RS Umum  Amalia Medika; RS Umum Daerah Tengku Rafi'an Siak Sri Indrapura; RS Umum Daerah  Bangkinang; RS Umum  Mesra; RS Umum Daerah  Rokan Hulu; RS Umum  Surya Insani; RS Umum Daerah  Bengkalis; RS Umum Daerah  Kec.Mandau; RS Umum Mutiasari; RS Umum  Thursina; RS Umum  Permata Hati; RS Umum Awal Bros Bagan Batu; RS Tk. IV Pekanbaru; RS Bhayangkara Tk. III Kota Pekanbaru; RS Umum Daerah  Petala Bumi; RS Umum  Islam Ibnu Sina; RS Prof. Dr. Tabrani; RS Murni Teguh Eria; RS Umum  Pekanbaru Medical Center; RS Ibu Anak  Budhi Mulia; Aulia Hospital; RS Daerah Madani Kota Pekanbaru; RS Hermina Pekanbaru; RS Umum Daerah  Kota Dumai; RS Pertamina Dumai; RS Raudhah;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Umum Kambang; RS Umum Baiturahim Jambi; RS Mitra; RS Rapha Theresia; RS Umum Melati; RS As-syifa; RS Umum Daerah Kabupaten Rejang Lebong; RS Umum Daerah Mukomuko; RS Umum Daerah Harapan dan Doa;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Charis Medika; RS Umum Graha Hermine; RS Umum Santa Elisabeth Batam Kota; RS Griya Medika; RS Umum Camatha Sahidya; RS Umum Daerah Kota Tanjung Pinang; RS Hj. Bunda Halimah Batam; RS Mutiara Aini; RS Umum Bhakti Yudha; RS Umum Daerah Cibinong; RS Umum Daerah Ciawi; RS Umum Tugu Ibu; RS Umum Annisa; RS Mitra Keluarga Bina Husada; RS Umum Hermina Depok; RS Umum Family Medical Center; RS Umum Mary Cileungsi Hijau; RS Umum Meilia; RS Umum Bunda Margonda; RS dr. Abdul Radjak Cileungsi; RS Umum Islam Bogor; RS Umum Citama; RS Sentosa; RS Umum Medika Dramaga; RS Umum Hermina Mekarsari; RSU Assalam; RS Umum Ummi; RS Umum Permata Jonggol; RS Umum Karya Bhakti Pratiwi; RS EMC Sentul; RS Helsa Citeureup; Bogor Senior Hospital; RS Pena 98; RS Paragon; RS Hermina Ciawi; RS Umum Daerah Sekarwangi; RS Umum Daerah Jampang Kulon; RS Umum Hermina Sukabumi; RS Umum Betha Medika;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Kartini; RS Hermina Soreang; RS Oetomo; RS Umum Daerah dr. Slamet Garut;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Daerah Linggajati Kuningan; RS Permata Kuningan; RS Pertamina Cirebon; RS Umum Daerah Arjawinangun; RS Umum Universitas Muhammadiyah Cirebon; RS Umum Khalishah; RS Umum Daerah Majalengka; RS Mitra Plumbon Majalengka; Rumah Sakit Umum Djuansih Majalengka; RS Umum Daerah Umar Wirahadikusumah; RS Umum Harapan Keluarga; RS Universitas Padjadjaran; RS Umum Daerah M. A. Sentot Patrol; RS Sentra Medika Langut; RS Umum Daerah Subang; RS Umum PTPN VIII; RS Umum Pamanukan Medical Center (PMC); RS Umum Daerah Bayu Asih; RS Umum Asri Purwakarta; RS Umum Rama Hadi; RS Umum Amira; RS Umum Bhakti Husada II Purwakarta; RS Umum Dewi Sri; RS Umum Islam Karawang;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Umum Karya Medika; RS Umum Annisa; Siloam Hospitals Lippo Cikarang; RS Umum Hosana Medica; RS Umum Ananda; RS Umum St. Elisabeth; RS Umum Medirossa Cikarang; RS Amanda Cikarang Selatan; RS Umum Hermina Galaxy; RS Uni Medika Setu Bekasi; RS Umum Anna Medika; RS Umum Metro Hospitals; RS Umum Kartika Husada Setu; RS Umum Amanda; RS Umum Ridhoka Salma; RS Umum Permata Keluarga Lippo Cikarang; RS Umum Kartika Husada; RS Umum Tarumajaya; RS Umum Pinna; RS Umum Daerah Cabangbungin; RS Umum Permata Keluarga Jababeka; RS EMC Cibitung; RS Mitra Keluarga Pratama; RS Ananda Babelan; RS Hermina Metland Cibitung; RS Umum Daerah Lembang; RS Ibu dan Anak Kartini; RS Umum Salak; RSAU Dr. M. Hassan Toto; RS Umum Azra; RS Umum Daerah Kota Bogor; Mayapada Hospital Bogor; RS Umum Trimitra; RS Umum Melania; RS Umum Vania; RS Umum Mulia Pajajaran; RS Umum Bhayangkara Tk. IV Bogor; RS Graha Medika Bogor; RS Umum Ridogalih; RS Umum Assyifa Sukabumi; RS Umum Kartika Kasih; RSU Bhayangkara Tk. II Sartika Asih; RS 3273046; RS Umum Santo Borromeus; RS Umum Pindad; RS Umum Muhammadiyah; RS Umum Hermina Arcamanik; RS Umum Tk. IV 03.07.03 Sariningsih; RS Umum Daerah Kota Bandung; RS AMC; RS Umum Melinda 2; RS Edelweiss; RS Pasundan; RS Daerah Gunung Jati; RS Umum Tk. III Ciremai; RS Umum Panti Abdi Dharma; RS 3274041; RS Umum Pelabuhan Cirebon; RS Umum Putera Bahagia; RS Umum Sumber Kasih; RS Umum Medimas; RS Umum Sumber Hurip; RS Ibu dan Anak Cahaya Bunda; RS Umum Daerah dr. Chasbullah Abdulmadjid; RS Mekar Sari; RS Umum Masmitra; RS Umum Mitra Keluarga Bekasi Timur; RS Umum Juwita; RS Umum Taman Harapan Baru; RS Umum Karya Medika Bantar Gebang; RS Helsa; RS Siloam Bekasi Timur; RS Primaya Bekasi Utara; RS Umum Daerah Bantar Gebang; RS Umum Bhakti Kartini; RS Umum Bella; RS Umum Anna; RS Umum Jati Sampurna; RS Siloam Bekasi Sepanjang Jaya; RS Umum Mitra Keluarga Depok; RS Umum Grha Permata Ibu; RS Umum Simpangan Depok; RS Umum Hasanah Graha Afiah; RS Siloam Heart Hospital; RS Umum Citra Arafiq; RS Umum Alia Hospital; RS Umum Citra Arafiq Sawangan; RS Primaya Depok; RS Umum Mitra Anugrah Lestari; RS Umum Avisena; RS Umum Daerah Cibabat; RS Umum Kasih Bunda; RS Umum Tk. II Dustira; RS Umum Prasetya Bunda; RS Umum Permata Bunda; RS Hermina Tasikmalaya; RS Umum Mitra Idaman; RS Umum Banjar Patroman; RS Umum Daerah Cilacap; RS Umum Pertamina Cilacap; RS Umum Islam Fatimah; RS Umum Santa Maria Cilacap; RS Umum PKU Muhammdiyah Aghisna Kroya; RS Umum Raffa Majenang; RS Priscilla Medical Center; RS Umum Tk. III Wijayakusuma; RS 3302040; RS Umum Santa Elisabeth Purwokerto; RS Umum An Ni'mah; RS Umum PKU Muhammadiyah Amanah Sumpiuh; RS Umum Islam Purwokerto; RS Umum Daerah Ajibarang; RS Umum Wiradadi Husada; RS Umum Siaga Medika Banyumas; RS Hermina Purwokerto; RS Umum Daerah dr. R. Goeteng Taroenadibrata; RS Umum Harapan Ibu; RS Umum Daerah Panti Nugroho; RS Ibu dan Anak Ummu Hani; RS Umum PKU Muhammadiyah Purbalingga; RS Umum Islam Banjarnegara; RS Umum Permata Medika Kebumen; RS Umum Palang Biru Gombong; RS Umum PKU Muhamadiyah Gombong; RS Umum Purbowangi; RS Umum PKU Muhammadiyah Sruweng; RS Umum Daerah Prembun; RS Umum Daerah Dr. Tjitrowardojo Purworejo; RS Umum Panti Waluyo Yakkum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 Karanggede Sisma Medika; RS Umum Daerah Waras Wiris; RS Umum Daerah Simo; RS Umum Asy-Syifa Sambi; RS Umum Islam Banyubening Boyolali; RS Umum Natalia; RS Umum Islam Boyolali; RS 3310040; RS Umum 'Aisyiyah Klaten; RS Umum Diponegoro Dua Satu Klaten; RS Umum PKU Muhammadiyah Delanggu; RS Umum Islam Cawas Klaten; RS Umum PKU Muhammadiyah Jatinom; RS Umum Daerah Bagas Waras; RS Umum PKU Muhammadiyah Pedan; RS Umum Daerah Ir. Soekarno Kabupaten Sukoharjo; RS Umum PKU Muhammadiyah Sukoharjo; RS Islam Surakarta YARSIS; RS Umum Daerah Dr. Soediran Mangun Sumarso Wonogi; RS Umum Maguan Husada; RS Umum Muhammadiyah Selogiri; RS Hermina Wonogiri; RS Umum  Amal Sehat; RS Umum Mulia Hati Wonogiri; RS Umum Astrini; RS PKU Muhammadiyah Karanganyar; RS Umum Jati Husada Karanganyar; RS Umum Daerah dr. Soehadi Prijonegoro; RS Umum Mardi Lestari Sragen; RS Umum Sarila Husada; RS Umum Islam Amal Sehat Sragen; RS Umum Assalam; RS Umum Daerah dr. Soeratno Gemolong; RS Umum Islam Yakssi Gemolong; RS Umum Panti Rahayu; RS Umum PKU Muhammadiyah Gubug; RS Umum Daerah Dr. R. Soetijono Blora; RS Umum Daerah Dr. R. Soeprapto Cepu; RS Umum Permata Blora; RS Umum PKU Muhammadiyah Cepu; RS Umum Islam Arafah; RS Bhina Bhakti Husada; RS 3318041; RS Umum Mitra Bangsa Pati; RS Umum Daerah Kayen Pati; RS Umum  Budi Agung Pati; RS Umum Fastabiq Sehat PKU Muhammadiyah Pati; RS Umum Sebening Kasih; RS Umum As-Suyuthiyyah; RS Keluarga Sehat Tayu; RS Umum Daerah dr. Loekmono Hadi; RS Umum Kumala Siwimijen Kudus; RS Umum  Islam Sunan Kudus; RS Sarkies 'Aisyiyah Kudus;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RS Umum Daerah dr. Gunawan Mangunkusumo; RS Umum Daerah dr. Gondo Suwarno; RS 3322037; RS Umum Kusuma Ungaran; RS Umum Daerah  Dr. H. Soewondo Kendal; RS Umum Islam Kendal; RS Umum Muhammadiyah Darul Istiqomah Kendal; RS Umum Charlie Hospital; RS Umum Daerah Batang; RS Umum Qim; RS Umum Daerah Limpung; RS Umum Daerah Kraton Kab. Pekalongan; RS Islam PKU Muhammadiyah Pekajangan; RS Umum Daerah Kajen Kab. Pekalongan; RS Umum Daerah Bendan Kota Pekalongan; RS Umum Daerah Dr. M. Ashari Pemalang; RS Muhammadiyah Rodliyah Achid; RS Umum Siaga Medika Pemalang; RS Umum Prima Medika; RS Harapan Sehat Pemalang; RS Umum Daerah dr. Soeselo Slawi Kabupaten Tegal; RS Umum Daerah Suradadi; RSI PKU Muhammadiyah Tegal; RS Umum Adella; RS Hawari Essa; RS Mitra Siaga Tarub; RS Umum Muhammadiyah Siti Aminah; RS Umum Bhakti Asih Brebes; RS Umum Allam Medica Bumiayu; RS Harapan Sehat Jatibarang; RS 3371039; RS Jiwa Prof. Dr. Soerojo; RS Umum Lestari Raharja; RS Umum Harapan; RS Umum Tk III Slamet Riyadi Surakarta; RS Umum Panti Waluyo; RS Umum Islam Kustati;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Umum Bhayangkara Semarang; RS Umum Hermina Banyumanik Semarang; RS Umum Banyumanik 2; RS Unimus; RS Samsoe Hidajat; RS Umum Anugerah Pekalongan; RS Umum H. A. Zaky Djunaid; RS Umum Hermina Pekalongan; RS Umum Daerah Kardinah; RS Umum  Mitra Siaga; RS 3376037; RS Umum Islam Harapan Anda; RS Umum Daerah  dr. Darsono; RS Umum Aisyiyah Ponorogo; RS Umum Darmayu Ponorogo; RS Umum Muhammadiyah Ponorogo; RS Umum Muslimat Ponorogo; RS Umum Daerah dr. Soedomo Trenggalek; RS Umum Daerah Dr. Iskak; RS Umum Era Medika; RS Umum Bhayangkara Tulungagung; RS Putra Waspada Tulungagung; RS Umum Daerah Ngudi Waluyo Wlingi; RS Umum Medika Utama; RS Umum Daerah Srengat Kab. Blitar; RS Umum An-Nisaa; RS Umum Daerah Kabupaten Kediri; RS Umum Amelia; RS Umum Arga Husada; RS Muhammadiyah Siti Khodijah; RS Umum  Aura Syifa; RS Umum Daerah Simpang Lima Gumul Kediri; RS Jiwa Dr. Radjiman Wediodiningrat Lawang; RS Marsudi Waluyo; RS Umum Daerah Lawang; RS Mitra Delima; RS Prasetya Husada; RS Prima Husada; RS Lawang Medika; RS Umum Universitas Muhammadiyah Malang; RS Umum Pindad; RS Umum Wajak Husada; RS Umum Daerah Dr. Haryoto Kabupaten Lumajang; RS Wijaya Kusuma Lumajang; RS Bhayangkara Lumajang; RS Umum Djatiroto; RS Perkebunan PTPN X (Persero) Jember; RS Tk. III Baladhika Husada Jember; RS Daerah Balung Jember; RS Bina Sehat Jember; RS Umum Citra Husada Jember; RS Kaliwates Jember; RS Umum Universitas Muhammadiyah Jember; RS Umum Daerah Blambangan; RS Umum Bhakti Husada; RS Umum Daerah Genteng; RS Islam Fatimah; RS Yasmin; RS Al Huda; RS Graha Medika; RS Umum dr. H.Koesnadi Bondowoso; RS Bhayangkara Bondowoso; RS Umum Daerah dr. Abdoer Rahem Situbondo; RS Elizabeth; RS Umum Mitra Sehat Kabupaten Situbondo; RS Umum Daerah Waluyo Jati Kraksaan; RS Graha Sehat; RS Umum  Wonolangan; RS Umum Daerah Tongas; RS Islam Masyithoh Bangil; RS Umum Bhayangkara Pusdik Brimob; RS Mitra Sehat Medika; RS Graha Sehat Medika; RS Umum Daerah Grati; RS Prima Husada; RS Bhayangkara TK.III Pusdik Sabhara Porong; RS Umum Delta Surya; RS Islam Siti Hajar Sidoarjo; RS Umum Anwar Medika; RS Umum Al-Islam H. M. Mawardi; RS Umum Assakinah Medika; RS Umum Citra Medika; RS Arafah Anwar Medika Sukodono; RS Umum Daerah Sidoarjo Barat; RS Umum Daerah Sumberglagah; RS Umum Kartini; RS Islam Sakinah; RS Kristen Mojowarno; RS Umum Islam Jombang; RS Umum Daerah Ploso; RS Umum dr. Moedjito Dwidjosiswojo; RS Umum Nadhlatul Ulama Jombang; RS Umum Pelengkap Medical Center; RS Umum PKU Muhammadiyah Mojoagung; RS Umum Bhayangkara Tk. III Nganjuk; RS Umum Daerah Caruban; RS Umum Daerah Dolopo; RS Angkatan Udara dr. Efram Harsana; RS Umum Daerah Dr. Soeroto Ngawi; RS Umum Widodo; RS Umum At-Tin Husada; Rumah Sakit Aisyiyah Bojonegoro; RSI Muhammadiyah Sumberrejo; RS Umum Daerah Sumberrejo; RS umum Daerah Padangan; RS Bhayangkara Wahyu Tutuko Bojonegoro; RS Muhammadiyah Kalitidu; RS Medika Mulia Tuban; RS Nahdlatul Ulama Tuban; RS Umum Daerah Ngimbang; RS Umum dr. Suyudi; RS Umum Intan Medika; RS Muhammadiyah Babat; RS Umum Muhammadiyah Babat; RS Nahdlatul Ulama Babat; RS Umum Daerah Ibnu Sina Kab. Gresik; RS Semen Gresik; RS Umum Nyai Ageng Pinatih Gresik; RS Petrokimia Gresik; RS Umum Mabarrot MWC NU; RS Umum Wates Husada; RS Grha Husada Gresik; RS Fathma Medika; RS PKU Muhammadiyah Sekapuk; RS Petrokimia Gresik Driyorejo; RS Surya Medika; RS Umum Rachmi Dewi; RS Umum Randegansari Husada; RS Eka Husada; RS Umum Daerah Syarifah Ambami Rato Ebu; RS Umum Daerah Dr. H. Slamet Martodirdjo Pamekasan; RS Umum Daerah dr. H. Moh. Anwar; RS TK. IV 05.07.02 Kediri; RS Umum Bhayangkara Kediri; RS Baptis Kediri; RS Umum Daha Husada; RS Muhammadiyah Ahmad Dahlan; RS Umum Lirboyo; RS Umum Daerah Mardi Waluyo; RS Katolik Budi Rahayu; RS Umum Syuhada Haji; RS Umum Aminah Blitar; RS Islam Aminah; RS Umum Panti Nirmala; RS Umum Lavalette Malang; RS Umum Islam Aisyiyah Malang; RS Umum Permata Bunda; RS Umum Daerah Kota Malang; RS Universitas Brawijaya; RS Umum BRI Medika Malang; RS Umum Daerah dr. Mohamad Saleh Kota Probolinggo; RS Umum Amanah; RS Umum Daerah Dr. R. Soedarsono Kota Pasuruan; RS Gatoel; RS Islam Hasanah Muhammadiyah; RS Emma; RS Umum Daerah Dr. Soedono Madiun;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Umum Daerah Husada Prima; RS Al Irsyad Surabaya; RS Gotong Royong; RS Bhakti Rahayu; RS Islam Darus Syifa; RS Bhayangkara TK II HS. Samsoeri Mertojoso; RS Wiyung Sejahtera; RS Wijaya Surabaya; RS Umum Royal Surabaya; RS Mitra Keluarga Kenjeran; Mayapada Hospital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Kasih Ibu Tabanan; RS Umum Daerah Singasana; RS Umum Semara Ratih; RS Ibu dan Anak Cahaya Bunda; RS Daerah Mangusada; RS Umum Kasih Ibu Kedonganan; RS Umum Siloam Bali; RS Umum Surya Husadha Nusa Dua; RS Bali Jimbaran; RS Umum Garba Med; RS Umum Murni Teguh Tuban Bali; RS Windu Husada; RS Umum Ganesha; RS Umum Ari Canti; RS Umum Kasih Ibu Saba; RS Umum Permata Hati; RS Umum Bintang; RS Umum Daerah Bangli; RS Umum Bangli Medika Canti; RS Umum Daerah Kab. Buleleng; RS Umum Kertha Usadha; RS umum Karya Dharma Husada; RS Umum Shanti Graha; RS Balimed Buleleng; RS Umum Daerah Wangaya; RS TK. II Udayana; RS Umum Surya Husadha; RS Umum Bali Royal; RS Umum Dharma Yadnya; RS Umum Puri Raharja; RS Umum Bhakti Rahayu; RS Umum Prima Medika; RS Bhayangkara Denpasar; RS Umum Surya Husadha; RS 1407013S; RS 17030300003; RS 32010300258;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K1230271; RS K1230383; RS K1230417; RS K1230557; RS K1230932; RS K1231071; RS K1231367; RS K1231529; RS K1231618; RS K1232020; RS K1232070; RS K1232425; RS K1232458; RS K1232846; RS K1233490; RS K1234534; RS K1234757; RS K1234769; RS K1234784; RS K1234898; RS K1234958; RS K1235035; RS K1235252; RS K1235929; RS K1236049; RS K1236080; RS K1236595; RS K1236718; RS K1236856; RS K1237215; RS K1237357; RS K1237398; RS K1237472; RS K1237986; RS K1238056; RS K1238132; RS K1238168; RS K1238199; RS K1238411; RS K1238492; RS K1238494; RS K1238824; RS K1239005; RS K1239006; RS K1239091; RS K1239274; RS K1239353; RS K1239838; RS K1239933; RS K1250027; RS K1250030; RS K1250201; RS K1250398; RS K1305001; RS K1306009; RS K1471002; RS K1471003; RS K2171001; RS K2172001; RS K3201003; RS K3201004; RS K3204002; RS K3204003; RS K3204006; RS K3208002; RS K3209001; RS K3209002; RS K3210024; RS K3212001; RS K3213001; RS K3214002; RS K3214003; RS K3271002; RS K3273001; RS K3273002; RS K3273005; RS K3273007; RS K3273008; RS K3276006; RS K3302001; RS K3302002; RS K3302003; RS K3304001; RS K3322001; RS K3322002; RS K3324079; RS K3507001; RS K3507002; RS K3507078; RS K3514001; RS K3518002; RS K3519001; RS K3519002; RS K3521014; RS K3522001; RS K3525001; RS K3573002; RS K3578003; RS K3578799; RS K5171002; RS K5171004; RS K5171006; RS Umum Daerah Wates; RS Umum Rizki Amalia Medika; RS Umum PKU Muhammadiyah Nanggulan; RS Umum Rizki Amalia; RS Umum Daerah Nyi Ageng Serang; RS Umum Queen Latifa; RS Umum Daerah Panembahan Senopati; RS Umum Santa Elisabeth; RSU PKU Muhammadiyah Bantul; RS Umum Nur Hidayah; RS 3402077; RS Rajawali Citra; RS Umum Daerah Wonosari; RS Umum Nur Rohmah; RS Umum Panti Rahayu; RS Islam Gunungkidul; RS Umum Daerah Sleman; Charitas Hospital Klepu; RS Umum Queen Latifa; RS Umum Condong Catur; RS Umum Panti Rini; RS Umum Panti Nugroho; RS Umum Sakina Idaman; RS Umum Daerah Prambanan; RS Umum Mitra Paramedika; RS Umum PKU Muhammadiyah Gamping; RS Umum Bhayangkara POLDA DIY; RS Sadewa; RS Umum Mitra Sehat; RS Universitas Ahmad Dahlan; RS Umum Hermina Yogya; RS PKU Muhammadiyah Sleman; RS Islam Hidayatullah Yogyakarta; RS Ludira Husada Tama; RS Happy Land Medical Centre; RS AMC Muhammadiyah; RS K1236516</x:v>
      </x:c>
      <x:c r="G22" s="8">
        <x:v>177</x:v>
      </x:c>
      <x:c r="H22" s="7" t="str">
        <x:v>RS Umum Daerah Ahmad Syafi'I Ma'arif; RS. Universitas Andalas; RS Umum Daerah Dr. Achmad Mochtar; RS Umum  Awal Bros Ujung Batu; RS Umum Daerah  Arifin Achmad; RS Santa Maria Pekanbaru; RS Umum  Eka Hospital Pekanbaru; RS Umum  Syafira; RS Awal Bros A. Yani; RS Umum  Awal Bros Panam; RS Umum  Prima Pekanbaru; RS Awal Bros Dumai; RS Umum Daerah Raden Mattaher Jambi; RS Tk. III 02.06.01  dr. Bratanata; RS Badan Pengusahaan Batam; RS Umum Awal Bros Batam; RS Umum Daerah Embung Fatimah Kota Batam; RS Umum Daerah Raja Ahmad Tabib; RS Awal Bros Botania; RS Umum Daerah R. Moh. Noh Nur; RS Umum Sentra Medika Cibinong; RS Umum Daerah RH. Satibi; RS Umum Rumah Sehat Terpadu Dompet Dhuafa; RS Eka Hospital; RS Islam Aysha; RS Umum Daerah Sayang; RS Umum Dr. Hafiz; RS Umum Daerah Welas Asih Provinsi Jawa Barat; Rumah Sakit TK.IV 03.07.04 Guntur; RS Umum Daerah Waled; RS Umum Mitra Plumbon; RS Umum Permata Cirebon; RS Umum Sumber Waras; Sentra Medika Hospital Gempol; RS Umum Daerah Cideres; RS Umum Daerah Kab. Indramayu; RS Mitra Plumbon Indramayu; RS Mitra Plumbon Patrol; RS Umum Siloam Purwakarta; RS Umum dr. Abdul Radjak Purwakarta; RS Umum Daerah Karawang; RS Umum Lira Medika; RS Primaya Karawang; Sentra Medika Hospital Cikarang; RS Umum Daerah Kab.Bekasi; RS Umum Hermina Grand Wisata; RS Umum Karya Medika II; RS Mitra Plumbon Cibitung; RS EMC Cikarang; RS EMC Pekayon; RS Eka Bekasi; RS Umum Cahya Kawaluyan; RS Umum PMI Bogor; RS Umum Hermina Bogor; RS Umum Daerah R. Syamsudin, SH; RSAU dr. M. Salamun; RS Umum Immanuel Bandung; RS Umum Santo Yusup; RS Umum Advent Bandung; RS Umum Daerah Bandung Kiwari; RS Umum Al-Islam Bandung; RS Umum Hermina Pasteur; RS Umum Santosa Hospital Bandung Kopo; RS Siloam Sentosa; RS Primaya; RS Umum Hermina Bekasi; RS Umum Permata Bekasi; RS Primaya Bekasi Barat; RS Umum Sentra Medika; RS Umum Bhayangkara Brimob; RS Umum Daerah Khidmat Sehat Afiat Kota Depok; RS Umum Permata Depok; RS Umum Citra Medika Depok; RS Umum Tasik Medika Citratama (TMC); RS umum Daerah Banyumas; RS Umum Dadi Keluarga; RS Umum Siaga Medika Purbalingga; RS Umum Daerah Hj. Anna Lasmanah Banjarnegara; RS Umum Emmanuel; RS Umum Daerah dr. Soedirman Kabupaten Kebumen; RS Umum Setjonegoro Wonosobo; RS Umum Daerah Pandan Arang Boyolali; RS Umum Hidayah Boyolali; RS Indriati Boyolali; RS Umum Pusat Dr. Soeradji Tirtonegoro; RS Umum Islam Klaten; RS Umum Cakra Husada; RS Umum Nirmala Suri; RS Umum Dr. Oen Solo Baru; RS Umum Universitas Sebelas Maret; RS Umum Indriati; RS Umum Daerah Kartini Karanganyar; RS Umum Daerah Dr. R.Soedjati Soemodiardjo; RS Umum Daerah dr. R. Soetrasno Rembang; RS Umum Daerah RAA Soewondo; RS Umum Keluarga Sehat; RS Umum Mardi Rahayu; RS Umum Daerah R. A. Kartini; RS Umum Ken Saras; RS Umum Daerah Kabupaten Temanggung; RS Umum Ngesti Waluyo; RS PKU Muhammadiyah Temanggung; RS Umum Daerah Brebes; RS Umum Tk. II Dr. Soedjono; RS Umum Dr. Oen; RS Umum Brayat Minulya; RS 3372051; RS PKU Muhammadiyah Surakarta; RS Umum Kasih Ibu; RS Umum Daerah Kota Salatiga; RS Umum St. Elisabeth Semarang; RS Umum Telogorejo Semarang; RS Umum Sultan Agung Semarang; RS Roemani Muhammadiyah Semarang; RS Umum Panti Wilasa Citarum; RS Umum Daerah dr. Adhyatma, MPH; RS Umum Hermina Pandanaran; RS Panti Wilasa "Dr. Cipto" Semarang; RS Daerah KRMT Wongsonegoro; RS Khusus Bedah Columbia Asia Semarang; RS Umum Nasional Diponegoro; RS Primaya Kota Semarang; RS Keluarga Sehat III Semarang; RS Umum Daerah Dr. Harjono S. Kabupaten Ponorogo; RS Toeloengredjo; RS Umum Daerah Kanjuruhan Kepanjen Kab. Malang; RS Umum Wava Husada; RS Umum Daerah Dr. Soebandi Jember; RS Siloam Jember; RS Rizani; RS Umum Daerah Bangil; RS Umum Daerah R. T. Notopuro Sidoarjo; RS Umum Siti Khodijah Muhammadiyah Cabang Sepanjan; RS Umum Daerah Prof. Dr. Soekandar; RS Mawaddah Medika; RS Umum Daerah Kab. Jombang; RS Umum Daerah Nganjuk; RS Umum Daerah dr. Sayidiman Magetan; RS Umum Daerah Dr. R. Sosodoro Djatikoesoemo; RS Umum Daerah Dr. R. Koesma Tuban; RS Umum Daerah Dr. Soegiri Lamongan; RS Umum Muhammadiyah Lamongan; RS Muhammadiyah Gresik; RS Umum Daerah dr. Mohammad Zyn Kab. Sampang; RS 3528038; RS Umum Daerah Gambiran; RS Tk. II Dr. Soepraoen; RS Umum Panti Waluya Sawahan Malang; RS Umum Hermina Tangkubanprahu; RSUD dr. Wahidin Sudiro Husodo Kota Mojokerto; RSPAL dr. Ramelan; RS Primasatya Husada Citra (PHC) Surabaya; RS Islam Surabaya; RS Umum Daerah Bhakti Dharma Husada; RS Umum Siloam Hospitals Surabaya; RS Umum Daerah Haji Provinsi Jawa Timur; RS Husada Utama Surabaya; RS Umum Daerah dr. Mohamad Soewandhie; RS Universitas Airlangga; RS Ubaya; RS Universitas Udayana; RS Umum Daerah Sanjiwani Gianyar; RS Umum Famili Husada; RS Kenak Medika; RS Umum Daerah Klungkung; RS Umum Grha Bhakti Medika; RS BaliMed; RS Umum Daerah Bali Mandara Provinsi Bali; RS Universitas Islam Indonesia; RS Islam Yayasan PDHI; RS Akademik Universitas Gadjah Mada; RS PKU Muhammadiyah Yogyakarta; RS Umum Panti Rapih; RS Bethesda Yogyakarta; RSPAU Dr.  Suhardi Harjolukito; RS Umum Daerah Kota Yogyakarta; RS Siloam Yogyakarta</x:v>
      </x:c>
      <x:c r="I22" s="8">
        <x:v>8</x:v>
      </x:c>
      <x:c r="J22" s="7" t="str">
        <x:v>RSUP Dr. M. Djamil; RS Umum  Awal Bros Pekanbaru; RS Universitas Indonesia; RS Umum Santosa Hospital Bandung Central; RS Umum Daerah Prof Dr. Margono Soekarjo; RS Umum Pusat Dr. Kariadi; RS Umum Daerah Dr. Saiful Anwar; RSUP Prof. Dr. I.G.N.G. Ngoerah</x:v>
      </x:c>
      <x:c r="K22" s="8">
        <x:v>3</x:v>
      </x:c>
      <x:c r="L22" s="7" t="str">
        <x:v>RS Umum Pusat Dr. Hasan Sadikin; RS Umum Daerah Dr. Soetomo; RSUP Dr. Sardjito</x:v>
      </x:c>
      <x:c r="M22" s="8">
        <x:v>11</x:v>
      </x:c>
      <x:c r="N22" s="7" t="str">
        <x: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x:v>
      </x:c>
    </x:row>
    <x:row r="23">
      <x:c r="A23" s="7" t="str">
        <x:v>TRAUMA</x:v>
      </x:c>
      <x:c r="B23" s="7" t="str">
        <x:v>Trauma</x:v>
      </x:c>
      <x:c r="C23" s="8">
        <x:v>4</x:v>
      </x:c>
      <x:c r="D23" s="7" t="str">
        <x:v>Paripurna</x:v>
      </x:c>
      <x:c r="E23" s="8">
        <x:v>869</x:v>
      </x:c>
      <x:c r="F23" s="7" t="str">
        <x:v>RS Umum Daerah Dr. Muhammad Zein Painan; RS Umum BKM; RS Umum Daerah Solok Selatan; RS Umum Daerah Ahmad Syafi'I Ma'arif; RS Umum Islam Ibnu Sina;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Daerah Sawah Lunto; RS Umum Daerah Padang Panjang; RS Umum Ibnu Sina Padang Panjang; RS Otak DR. Drs. M. Hatta Bukittinggi; RS Islam Ibnu Sina Bukittinggi; RS Umum Daerah Kota Bukittinggi; RS Umum Ibnu Sina Kota Payakumbuh; RS Umum Daerah Dr. Adnaan WD; RS Umum Daerah Teluk Kuantan; RS Umum Daerah  Indrasari Rengat; RS Umum Daerah  Puri Husada Tembilahan; RS Umum Daerah  Selasih Riau; RS Umum  Efarina;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Awal Bros Bagan Batu; RS Umum Daerah  Kabupaten Kepulauan Meranti; RS Bhayangkara Tk. III Kota Pekanbaru; RS Umum Daerah  Petala Bumi;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Rapha Theresia; RS As-syifa; RS Umum Daerah Kabupaten Rejang Lebong; RS Umum Daerah Kepahiang;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Annisa; RS Mitra Keluarga Bina Husada; RS Umum Family Medical Center; RS Umum Mary Cileungsi Hijau; RS Umum Meilia; RS Umum Bunda Margonda; RS dr. Abdul Radjak Cileungsi; RS Umum Islam Bogor; RS Umum Citama; RS Sentosa; RS Umum Medika Dramaga; RS Umum Ummi; RS Ibu dan Anak Sawojajar; RS Umum Permata Jonggol; RS Umum Karya Bhakti Pratiwi; RS EMC Sentul; RS Asysyifaa; RS Helsa Citeureup; Bogor Senior Hospital; RS Universitas Indonesia; RS Pena 98; RS Islam Aysha; RS Paragon; RS Hermina Ciawi; RS Umum Daerah Sekarwangi; RS Umum Daerah Jampang Kulon; RS Umum Betha Medika;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Bedas Cimaung; RS Umum Daerah dr. Slamet Garut; RS Umum Daerah Pameungpeuk Prov. Jabar; RS 3205035; RS Umum Daerah dr. Soekardjo; RS Umum Daerah KHZ Musthafa Kabupaten Tasikmalaya; RS Umum Islam Hj. Siti Muniroh; RS Umum Jasa Kartini; RS Umum Daerah Kab. Ciamis; RS Umum Dadi Keluarga Ciamis; RS Umum Daerah 45 Kuningan; RS Umum Wijaya Kusumah; RS Umum Sekar Kamulyan; RS Umum Juanda; RS Umum El-Syifa; RS Umum Daerah Linggajati Kuningan; RS Mitra Husada; RS Permata Kuningan; RS Pradipa Medika; RS Daerah Sidawangi; RS Umum Universitas Muhammadiyah Cirebon; RS Pasar Minggu Cirebon; RS Umum Daerah Majalengka;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Daerah Subang; RS Umum PTPN VIII; RS Umum Pamanukan Medical Center (PMC); RS Indosehat 2003; RS Umum Daerah Bayu Asih; RS Umum Asri Purwakarta; RS Umum Rama Hadi; RS Umum Amira; RS Suliawati; RS Umum Bhakti Husada II Purwakarta; RS 3215037; RS Umum Dewi Sri; RS Umum Karya Husada; RS Umum Proklamasi; RS Umum Islam Karawang; RS Umum Saraswati; RS Umum Delima Asih Sisma Medika; RS Umum Citra Sari Husada; RS Umum Izza; RS Umum Daerah Jatisari Kabupaten Karawang; RS Umum Fikri Medika; RS Umum Puri Asih; RS Umum Mitra Family; RS Umum Helsa; RS Umum Rosela; RS Umum Sentral Medika; RS Umum Amanda Mitra Keluarga; RS Permata Keluarga Karawang; RS Hastien; RS EFARINA ETAHAM KARAWANG; RS Umum Karya Medika; RS Umum Annisa; Siloam Hospitals Lippo Cikarang; RS Umum Rawa Lumbu; RS Umum Ananda; RS Umum Daerah Kab.Bekasi; RS Umum St. Elisabeth; RS Umum Medirossa Cikarang; RS dr. Abdul Radjak Jababeka; RS Amanda Cikarang Selatan; RS Uni Medika Setu Bekasi; RS Umum Anna Medika; RS Umum Harapan Mulia; RS Umum Kartika Husada Setu; RS Umum Amanda; RS Umum Ridhoka Salma; RS Umum Permata Keluarga Lippo Cikarang; RS Umum Tiara; RS Umum Kartika Husada; RS Umum Tarumajaya; RS Umum Pinna; RS Umum Daerah Cabangbungin; RS Umum Permata Keluarga Jababeka; RS Cenka; RS Mitra Keluarga Pratama; RS Ananda Babelan; RS Eka Bekasi; RS Hermina Metland Cibitung; RS Umum Daerah Lembang; RS Ibu dan Anak Kartini; RSAU Dr. M. Hassan Toto; RS Jiwa dr. H. Marzoeki Mahdi; RS Umum Azra; RS Umum Daerah Kota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Umum Daerah Kota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Umum Masmitra; RS Umum Mitra Keluarga Bekasi Timur; RS Umum Juwita; RS Umum Karya Medika Bantar Gebang; RS Umum Satria Medika; RS Helsa; RS Primaya Bekasi Utara; RS Umum Daerah Jatisampurna; RS Umum Daerah Bantar Gebang; RS Seto Hasbadi; RS Umum Bhakti Kartini; RS Umum Bella; RS Umum Graha Juanda; RS Umum Islam dr. Subki Abdulkadir; RS Siloam Bekasi Sepanjang Jaya; RS Ibu dan Anak Selasih Medika; RS Umum Mitra Keluarga Depok; RS Umum Grha Permata Ibu; RS Umum Daerah Khidmat Sehat Afiat Kota Depok; RS Umum Simpangan Depok; RS Umum Hasanah Graha Afiah; RS Ibu dan Anak Setya Bhakti; RS Umum Permata Depok; RS Umum Citra Arafiq; RS Umum Daerah Anugerah Sehat Afiat; RS Umum Mitra Anugrah Lestari; RS Umum Avisena; RS Umum Daerah Cibabat; RS Umum Kasih Bunda; RS Umum Baros; RS Umum Prasetya Bunda; RS Umum Permata Bunda;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Umum Santa Elisabeth Purwokerto; RS Umum An Ni'mah; RS Umum PKU Muhammadiyah Amanah Sumpiuh; RS Umum Islam Purwokerto; RS Umum Hidayah Purwokerto; RS Umum Sinar Kasih; RS Umum Daerah Ajibarang; RS Umum Medika Lestari Banyumas; RS Umum Dadi Keluarga; RS Umum Daerah dr. R. Goeteng Taroenadibrata; RS Umum Nirmala; RS Umum Harapan Ibu; RS Umum Daerah Panti Nugroho; RS Ibu dan Anak Ummu Hani;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Daerah Prembun; RS Umum Daerah Dr. Tjitrowardojo Purworejo; RS Umum  Aisyiyah; RS Umum Panti Waluyo Yakkum Purworejo; RS Umum Palang Biru Kutoarjo; RS Umum Budi Sehat Purworejo; RS Amanah Umat Purworejo; RS Umum Daerah R.A.A Tjokronegoro; RS Umum Islam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Jiwa Daerah Dr. RM. Soedjarwadi; RS Umum 'Aisyiyah Klaten; RS Umum Cakra Husada; RS Umum Diponegoro Dua Satu Klaten; RS Umum PKU Muhammadiyah Delanggu; RS Umum PKU Muhammadiyah Jatinom; RS Umum Mitra Pedan; RS Umum Daerah Bagas Waras;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Umum Mulia Hati Wonogiri; RS Umum Astrini; RS PKU Muhammadiyah Wonogiri; RS Umum Daerah Kartini Karanganyar; RSAU dr. Siswanto Lanud Adi Soemarmo; RS Umum Jati Husada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Blora; RS Ibu dan Anak NU Cakra Medika; RS Umum Islam Arafah; RS Bhina Bhakti Husada; RS PKU Muhammadiyah Pamotan;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Sultan Hadlirin Jepara; RS Graha Husada Jepara; RS PKU Aisyiyah Jepara; RS Umum PKU Muhammadiyah Mayong; RS Umum Islam NU Demak; RS Umum Pelita Anugerah; RS Hj. Fatimah Sulhan PKU Muhammadiyah Demak; Charlie Hospital Demak; RS Umum Daerah dr. Gunawan Mangunkusumo; RS Umum Daerah dr. Gondo Suwarno; RS 3322037; RS Umum Bina Kasih; RS Umum Kusuma Ungaran; RS Umum Daerah Kabupaten Temanggung;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Muhammadiyah Siti Aminah; RS Umum Dedy Jaya; RS Umum Bhakti Asih Brebes; RS Umum Allam Medica Bumiayu; RS Umum Amanah Mahmudah; RS Harapan Sehat Jatibarang; RS Ibu dan Anak Nuzula; RS Umum Daerah Tidar; RS Jiwa Prof. Dr. Soerojo; RS Umum Lestari Raharja; RS Umum Harapan; RS Umum Islam Magelang; RS Umum Tk III Slamet Riyadi Surakarta;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Umum William Booth; RS Umum Permata Medika; RS Umum Tk.III Bhakti Wira Tamtama Smg; RS Umum Bhayangkara Semarang; RS Jiwa Daerah  Dr. Amino Gondohutomo; RS Umum Banyumanik; RS Umum Banyumanik 2; RS Unimus; RS Cepoko; RS Umum Daerah Mijen; RS Umum Budi Rahayu; RS Umum Siti Khodijah; RS Umum H. A. Zaky Djunaid; RS Umum Hermina Pekalongan; RS Umum Daerah Kardinah; RS Umum Daerah Dr. Harjono S. Kabupaten Ponorogo; RS Umum Aisyiyah Ponorogo; RS Umum Darmayu Ponorogo; RS Umum Muhammadiyah Ponorogo; RS Umum Muslimat Ponorogo; RS Umum Daerah dr. Soedomo Trenggalek; RS Umum Islam Orpeha; RS Umum Era Medika; RS Umum Satiti Prima Husada; RS Umum Islam  Madinah; RS Putra Waspada Tulungagung; RS Umum Prima Medika; RS Umum Daerah Campurdarat; RS Umum Daerah Ngudi Waluyo Wlingi; RS Umum Medika Utama; RS Umum Daerah Srengat Kab. Blitar; RS Umum An-Nisaa; RS Umum Amelia; RS Umum Arga Husada; RS Muhammadiyah Siti Khodijah; RS Umum  Aura Syifa; RS Umum Daerah Simpang Lima Gumul Kediri; RS Bala Keselamatan Bokor; RS Jiwa Dr. Radjiman Wediodiningrat Lawang; RS Umum Daerah Kanjuruhan Kepanjen Kab. Malang; RS Marsudi Waluyo; RS Mitra Delima; RS Prasetya Husada; RS Siti Miriam; RS Angkatan Udara dr. Munir Lanud Abdulrachman Saleh; RS Prima Husada; RS Lawang Medika; RS Ben Mari; RS Umum Pindad; RS Umum Wajak Husada; RS Sumber Sentosa; RS Umum Islam Madinah Kasembon; RS Umum Cahaya Medika; RS AU dr. Mohammad Moenir; RS Umum Daerah Dr. Haryoto Kabupaten Lumajang; RS Bhayangkara Lumajang; RS Islam Lumajang; RS Umum Daerah Pasirian Kabupaten Lumajang; RS Umum Muhammadiyah Lumajang; RS Tk. III Baladhika Husada Jember; RS Daerah Kalisat Jember; RS Daerah Balung Jember; RS Umum Citra Husada Jember; RS Umum Universitas Muhammadiyah Jember; RS Umum Bhakti Husada; RS Umum Daerah Genteng; RS Islam Fatimah; RS Yasmin; RS Nahdlatul Ulama Banyuwangi; RS Umum Bakti Mulia Banyuwangi; RS Graha Medika; RS Umum Rahayu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Al-Islam H. M. Mawardi; RS Umum Assakinah Medika; RS Umum Citra Medika; RS Umum Aisyiyah Siti Fatimah; RS Arafah Anwar Medika Sukodono; RS Umum Aminah; RS Pusura Candi; RS Umum Daerah Sumberglagah; RS Sido Waras; RS Umum Kartini; RS Umum Daerah Raden Achmad Basoeni; RS Kristen Mojowarno;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Muhammadiyah Lamongan; RS Umum Daerah Ngimbang; RS Umum dr. Suyudi; RS Umum Intan Medika; RS Muhammadiyah Babat; RS Umum Muhammadiyah Babat; RS Umum Daerah Ibnu Sina Kab.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Dr. H. Slamet Martodirdjo Pamekasan; RS Umum Daerah dr. H. Moh. Anwar;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Islam Unisma Malang; RS Umum Hermina Tangkubanprahu;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Jiwa Menur; RS Umum Daerah Bhakti Dharma Husada; RS Bunda; RS Umum Daerah Husada Prima; RS Al Irsyad Surabaya; RS Bhakti Rahayu; RS Islam Darus Syifa; RS Bhayangkara TK II HS. Samsoeri Mertojoso; RS Wiyung Sejahtera; RS Wijaya Surabaya; RS Mitra Keluarga Kenjeran; Mayapada Hospital Surabaya; RS Umum Pusat Surabaya; RS Umum Daerah Eka Candrarini; RS Umum dr. Etty Asharto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Umum Kasih Ibu Kedonganan; RS Umum Siloam Bali; RS Umum Surya Husadha Nusa Dua; RS Umum Garba Med; RS Windu Husada; RS Umum Daerah Sanjiwani Gianyar; RS Umum Ganesha; RS Umum Famili Husada; RS Umum Kasih Ibu Saba; RS Kenak Medika; RS Umum Permata Hati; RS Umum Bintang; RS Umum Daerah Gema Santi Nusa Penida; RS Umum Daerah Bangli; RS Umum Bangli Medika Canti; RS Umum Daerah Kab. Buleleng; RS Umum Kertha Usadha; RS umum Karya Dharma Husada; RS Umum Parama Sidhi; RS Umum Shanti Graha; RS Balimed Buleleng; RS Umum Daerah Wangaya; RS TK. II Udayana; RS Umum Surya Husadha; RS Umum Bali Royal; RS Umum Dharma Yadnya; RS Umum Puri Raharja; RS Umum Bhakti Rahayu; RS Bhayangkara Denpasar; RS Umum Surya Husadha; RS Umum Daerah Bali Mandara Provinsi Bali; RS 1407013S; RS 17030300003; RS 32170300071; RS 33160300030; RS 35280300023; RS 51070300015; RS 51080300002; RS 51080300021; RS K1211037; RS K1216468; RS K1216717; RS K1216828; RS K1217589; RS K1217678; RS K1217961; RS K1218046; RS K1230271; RS K1230383; RS K1230417; RS K1230932; RS K1232846; RS K1235035; RS K1235252; RS K1235929; RS K1237215; RS K1237398; RS K1237500; RS K1238056; RS K1238168; RS K1238494; RS K1239838; RS K1250201; RS K1250398; RS K1305001; RS K1306009; RS K1471002; RS K1471003; RS K1501001; RS K1509001; RS K2171001; RS K2172001; RS K2172002; RS K3204002; RS K3204006; RS K3213001; RS K3214002; RS K3271002; RS K3273005; RS K3273008; RS K3302001; RS K3302002; RS K3302003; RS K3304001; RS K3514001; RS K3518002; RS K3519001; RS K3522001; RS K3524001; RS K3526004; RS K3573001; RS K3573002; RS K3578003; RS K3578004; RS K3578797;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Universitas Islam Indonesia;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AMC Muhammadiyah; RS K1236516; RS K1239182</x:v>
      </x:c>
      <x:c r="G23" s="8">
        <x:v>200</x:v>
      </x:c>
      <x:c r="H23" s="7" t="str">
        <x:v>RS Umum Daerah Prof H Muhammad Yamin, SH; RS Umum Hermina Padang; RS Umum Daerah Mohammad Natsir; RS Santa Maria Pekanbaru; RS Umum  Eka Hospital Pekanbaru; RS Umum  Syafira; RS Umum  Islam Ibnu Sina; RS Awal Bros A. Yani; RS Umum  Prima Pekanbaru; RS Awal Bros Dumai; RS Umum Daerah Raden Mattaher Jambi; RS Umum Daerah Dr. M. Yunus Bengkulu; RS Badan Pengusahaan Batam; RS Umum Awal Bros Batam; RS Umum Daerah Embung Fatimah Kota Batam; RS Awal Bros Botania; RS Umum Tugu Ibu; RS Umum Daerah R. Moh. Noh Nur; RS Umum Daerah RH. Satibi; RS Umum Rumah Sehat Terpadu Dompet Dhuafa; RS Umum Hermina Mekarsari; RS Umum Hermina Sukabumi; RS Primaya Sukabumi; RS Umum Daerah Sayang; RS Umum Dr. Hafiz; RS Hermina Soreang; Rumah Sakit TK.IV 03.07.04 Guntur; RS Umum Daerah Waled; RS Pertamina Cirebon; RS Umum Daerah Arjawinangun; RS Umum Mitra Plumbon; RS Umum Permata Cirebon; RS Umum Sumber Waras; Sentra Medika Hospital Gempol; RS Umum Daerah Cideres; RS Mitra Plumbon Majalengka; RS Umum Daerah Kab. Indramayu; RS Mitra Plumbon Indramayu; RS Mitra Plumbon Patrol; RS Umum Siloam Purwakarta; RS Umum dr. Abdul Radjak Purwakarta; RS Umum Daerah Karawang; RS Umum Mandaya; RS Umum Lira Medika; RS Hermina Karawang; RS Primaya Karawang; Sentra Medika Hospital Cikarang; RS Umum Hermina Grand Wisata; RS Umum Karya Medika II; RS Mitra Plumbon Cibitung; RS Umum Hermina Galaxy; RS EMC Cikarang; RS EMC Cibitung; RS EMC Pekayon; RS Umum Cahya Kawaluyan; RS Umum PMI Bogor; RS Umum Hermina Bogor; RS Umum Daerah R. Syamsudin, SH; RSAU dr. M. Salamun; RS Umum Immanuel Bandung; RS Umum Santo Yusup; RS Umum Advent Bandung; RS Umum Hermina Arcamanik; RS Umum Daerah Bandung Kiwari; RS Umum Al-Islam Bandung; RS Umum Hermina Pasteur; RS Umum Melinda 2; RS Edelweiss; RS Siloam Sentosa; RS Umum Taman Harapan Baru; RS Primaya; RS Umum Permata Bekasi; RS Umum Anna; RS Umum Sentra Medika; RS Umum Bhayangkara Brimob; RS Umum Citra Medika Depok; RS Umum Alia Hospital; RS Primaya Depok; RS Umum Tk. II Dustira; RS Umum Tasik Medika Citratama (TMC); RS Hermina Tasikmalaya; RS umum Daerah Banyumas; RS Umum Wiradadi Husada; RS Umum Siaga Medika Banyumas; RS Hermina Purwokerto; RS Umum Siaga Medika Purbalingga; RS Umum PKU Muhamadiyah Gombong; RS Umum Setjonegoro Wonosobo; RS Umum  PKU Muhammadiyah Wonosobo; RS Umum Daerah Pandan Arang Boyolali; RS Indriati Boyolali; RS Umum Islam Klaten; RS Umum Islam Cawas Klaten; RS Umum Nirmala Suri; RS Umum Dr. Oen Solo Baru; RS Umum Universitas Sebelas Maret; RS Hermina Wonogiri; RS PKU Muhammadiyah Karanganyar; RS Umum Daerah Dr. R.Soedjati Soemodiardjo; RS Umum Panti Rahayu; RS Umum Daerah dr. R. Soetrasno Rembang; RS Umum Daerah RAA Soewondo; RS Umum Keluarga Sehat; RS Umum Mardi Rahayu; RS Umum Daerah R. A. Kartini; RS Umum Daerah Sunan Kalijaga; RS Umum Daerah Sultan Fatah Karangawen Demak; RS Umum Ken Saras; RS Umum Ngesti Waluyo; RS PKU Muhammadiyah Temanggung; RS Umum Islam Kendal; RS Umum Qim; RS Umum Daerah Brebes; RS Umum Tk. II Dr. Soedjono; RS Umum Brayat Minulya; RS 3372051; RS Umum Kasih Ibu; RS Paru Dr. Ario Wirawan;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Primaya Kota Semarang; RS Keluarga Sehat III Semarang; RS Samsoe Hidajat; RS Umum  Mitra Siaga; RS Umum Islam Harapan Anda; RS Umum Daerah  dr. Darsono; RS Umum Daerah Dr. Iskak; RS Umum Bhayangkara Tulungagung; RS Umum Daerah Kabupaten Kediri; RS Toeloengredjo; RS Umum Daerah Lawang; RS Umum Wava Husada; RS Wijaya Kusuma Lumajang; RS Umum Djatiroto; RS Perkebunan PTPN X (Persero) Jember; RS Paru Jember; RS Bina Sehat Jember; RS Kaliwates Jember; RS Umum Daerah Blambangan; RS Al Huda; RS Rizani; RS Umum Daerah Bangil; RS Umum Siti Khodijah Muhammadiyah Cabang Sepanjan; RS Umum Delta Surya; RS Umum Anwar Medika; RS Umum Daerah Sidoarjo Barat; RS Umum Daerah Prof. Dr. Soekandar; RS Islam Sakinah; RS Mawaddah Medika; RS Umum Daerah Kab. Jombang; RS Umum Daerah Nganjuk; RS Umum Daerah Dr. R. Sosodoro Djatikoesoemo; Rumah Sakit Aisyiyah Bojonegoro; RS Bhayangkara Wahyu Tutuko Bojonegoro; RS Umum Daerah Dr. Soegiri Lamongan; RS Semen Gresik; RS Umum Daerah Syarifah Ambami Rato Ebu; RS Umum Daerah dr. Mohammad Zyn Kab. Sampang; RS 3528038; RS Umum Panti Waluya Sawahan Malang; RS Umum Lavalette Malang; RS Umum Islam Aisyiyah Malang; RS Umum Daerah dr. Mohamad Saleh Kota Probolinggo; RSUD dr. Wahidin Sudiro Husodo Kota Mojokerto; RS Gatoel; RS Umum Daerah Dr. Soedono Madiun; RS Hermina Madiun; RS Islam Surabaya; RS Umum Islam Surabaya Jemursari; RS Husada Utama Surabaya; RS Umum Daerah dr. Mohamad Soewandhie; RS Gotong Royong; RS Universitas Airlangga; RS Umum Royal Surabaya; RS Ubaya; RS Bhayangkara Hasta Brata Batu; RS Daerah Mangusada; RS Bali Jimbaran; RS Universitas Udayana; RS Umum Murni Teguh Tuban Bali; RS Umum Ari Canti; RS Umum Daerah Klungkung; RS Umum Grha Bhakti Medika; RS Umum Prima Medika; RS BaliMed; RS Umum Daerah Sleman; RS Islam Yayasan PDHI; RS Akademik Universitas Gadjah Mada; RS Umum Hermina Yogya; RS PKU Muhammadiyah Yogyakarta; RSPAU Dr.  Suhardi Harjolukito; RS Umum Daerah Kota Yogyakarta</x:v>
      </x:c>
      <x:c r="I23" s="8">
        <x:v>30</x:v>
      </x:c>
      <x:c r="J23" s="7" t="str">
        <x:v>RSUP Dr. M. Djamil; RS Umum Daerah Dr. Achmad Mochtar; RS Umum  Awal Bros Pekanbaru; RS Umum  Awal Bros Panam; RS Umum Hermina Depok; RS Umum Sentra Medika Cibinong; RS Eka Hospital; RS Umum Santo Borromeus; RS Umum Santosa Hospital Bandung Kopo; RS Umum Hermina Bekasi; RS Primaya Bekasi Barat; RS Umum Daerah Prof Dr. Margono Soekarjo; RS Umum Pusat Dr. Soeradji Tirtonegoro; RS Umum Indriati; RS Umum Dr. Oen; RS PKU Muhammadiyah Surakarta; RS Umum Pusat Dr. Kariadi; RS Umum Telogorejo Semarang; RS Khusus Bedah Columbia Asia Semarang; RS Umum Nasional Diponegoro; RS Umum Daerah Dr. Soebandi Jember; RS Siloam Jember; RS Umum Daerah R. T. Notopuro Sidoarjo; RS Umum Daerah Dr. Saiful Anwar; RS Tk. II Dr. Soepraoen; RSPAL dr. Ramelan; RS Primasatya Husada Citra (PHC) Surabaya; RS Umum Siloam Hospitals Surabaya; RS Umum Daerah Haji Provinsi Jawa Timur; RS Bethesda Yogyakarta</x:v>
      </x:c>
      <x:c r="K23" s="8">
        <x:v>7</x:v>
      </x:c>
      <x:c r="L23" s="7" t="str">
        <x:v>RS Umum Daerah  Arifin Achmad; RS Umum Pusat Dr. Hasan Sadikin; RS Umum Santosa Hospital Bandung Central; RS Umum Daerah Dr. Soetomo; RSUP Prof. Dr. I.G.N.G. Ngoerah; RSUP Dr. Sardjito; RS Umum Panti Rapih</x:v>
      </x:c>
      <x:c r="M23" s="8">
        <x:v>7</x:v>
      </x:c>
      <x:c r="N23" s="7" t="str">
        <x: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x:v>
      </x:c>
    </x:row>
    <x:row r="24">
      <x:c r="A24" s="7" t="str">
        <x:v>URO NEFRO</x:v>
      </x:c>
      <x:c r="B24" s="7" t="str">
        <x:v>Uro Nefro</x:v>
      </x:c>
      <x:c r="C24" s="8">
        <x:v>4</x:v>
      </x:c>
      <x:c r="D24" s="7" t="str">
        <x:v>Paripurna</x:v>
      </x:c>
      <x:c r="E24" s="8">
        <x:v>1117</x:v>
      </x:c>
      <x:c r="F24" s="7" t="str">
        <x: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3M Plus; RS Umum Daerah  Selasih Riau; RS Umum  Efarina; RS Umum  Medicare Sorek; RS Umum  Amalia Medika; RS Umum Daerah Tengku Rafi'an Siak Sri Indrapura; RS Umum Daerah  Bangkinang; RS Umum  Mesra; RS Norfa Husada;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Lancang Kuning;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Umum Daerah Kolonel Abundjani/Bangko;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Jiwa Daerah Provinsi Jambi; RS Siloam Jambi; RS Umum Daerah H. Abdul Manap; RS Islam Arafah; RS Umum Kambang; RS Umum Baiturahim Jambi; RS Mitra; RS Umum Daerah H. Abdurrahman Sayoeti; RS Rapha Theresia; RS Umum Melati; RS Umum Daerah Hasanuddin Damrah Manna; RS As-syifa; RS Umum Daerah Kabupaten Rejang Lebong; RS Assalam; Charitas Hospital Arga Makmur;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Tugu Ibu;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Kenari Graha Medika; RS Ibu dan Anak Sawojajar; RS Umum Permata Jonggol; RS Umum Karya Bhakti Pratiwi;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Kertasari; RS Umum Daerah Bedas Tegalluar; RS Umum Daerah Pameungpeuk Prov. Jabar; RS Medina; RS 3205035;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Pradipa Medika; RS Umum Daerah Waled; RS Pertamina Cirebon; RS Daerah Sidawangi; RS Umum Universitas Muhammadiyah Cirebon; RS Umum Khalishah; RS Pasar Minggu Cirebon; RS Umum Daerah Majalengka; RS Umum Daerah Cideres;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Rayhan;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Bhakti Husada; RS Umum Annisa; Siloam Hospitals Lippo Cikarang; RS Umum Rawa Lumbu; RS Umum Hosana Medica; RS Umum Ananda; RS Umum St. Elisabeth; RS Umum Medirossa Cikarang; RS Umum Karya Medika II; RS dr. Abdul Radjak Jababeka; RS Amanda Cikarang Selatan; RS Umum Dokter Adam Talib; RS Umum Hermina Galaxy; RS Emhaka; RS DKH Cikarang Barat; RS Uni Medika Setu Bekasi; RS Umum Anna Medika; RS Umum Metro Hospitals; RS Umum Harapan Mulia; RS Umum Kartika Husada Setu; RS Umum Amanda; RS Umum Ridhoka Salma; RS Umum Permata Keluarga Lippo Cikarang; RS Umum Medirossa 2; RS Umum Kartika Husada; RS DKH Sukatani; RS Dokter Adam Talib Cikunir; RS Umum Tarumajaya; RS Umum Pinna; RS Umum Daerah Cabangbungin; RS Umum Permata Keluarga Jababeka; RS EMC Cibitung; RS Cenka; RS EMC Pekayon; RS Mitra Keluarga Pratama; RS Ananda Babelan; RS Hermina Metland Cibitung; RS Umum dr. Abdul Radjak Cibitung; RS Mitra Keluarga Deltamas; RS Umum Daerah Lembang; RS Karisma Cimareme; RS Ibu dan Anak Kartini; RS Umum Daerah Pandega Pangandaran; RS Umum Salak; RSAU Dr. M. Hassan Toto; RS Jiwa dr. H. Marzoeki Mahdi; RS Umum Azra; Mayapada Hospital Bogor; RS Umum Trimitra; RS Ibu dan Anak Pasutri; RS Umum Vania; RS Umum Bhayangkara Tk. IV Bogor; RS Graha Medika Bogor; RS Umum Bhayangkara Setukpa Lemdikpol; RS Umum Ridogalih; RS Umum Assyifa Sukabumi; RS Umum Kartika Kasih; RS Umum Daerah Al-Mulk; RSU Bhayangkara Tk. II Sartika Asih; RS 3273046; RS Umum Santo Yusup; RS Umum Pindad; RS Umum Muhammadiyah; RS Umum Bungsu; RS Umum Tk. IV 03.07.03 Sariningsih; RS Paru Dr. H. A. Rotinsulu; RS Khusus Ginjal Ny. R. A. Habibie; RS AMC; RS Ibu dan Anak Harapan Bunda Bandung; RS Ibu dan Anak Al Islam; RS Jantung dan Pembuluh Darah Paramarta; RS Pasundan; RS Umum Panti Abdi Dharma; RS Umum Pelabuhan Cirebon; RS Umum Sumber Kasih; RS Umum Budi Asta;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Nusantara; RS Umum Daerah Jatisampurna; RS Umum Daerah Pondokgede; RS Umum Daerah Bantar Gebang; RS Seto Hasbadi; RS Umum Bhakti Kartini; RS Umum Permata Bekasi; RS Umum Bella; RS Umum Graha Juanda; RS Umum Anna; RS Umum Citra Harapan; RS Umum Jati Sampurna; RS Umum Islam dr. Subki Abdulkadir; RS Ibu dan Anak Selasih Medika; RS Umum Mitra Keluarga Depok; RS Umum Grha Permata Ibu; RS Umum Simpangan Depok; RS Ibu dan Anak Asyifa Depok; RS Ibu dan Anak Setya Bhakti; RS Siloam Heart Hospital; RS Umum Permata Depok; RS Umum Citra Medika Depok; RS Umum Citra Arafiq;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Bunda; RS Umum Ananda Purwokerto; RS Umum Sinar Kasih; RS Umum Daerah Ajibarang; RS Umum Wiradadi Husada; RS Umum Siaga Medika Banyumas; RS Umum Dadi Keluarga; RS Hermina Purwokerto; RS Umum Nirmala; RS Umum Harapan Ibu; RS Umum Daerah Panti Nugroho; RS Ibu dan Anak Ummu Hani; RS Umum PKU Muhammadiyah Purbalingga; RS Islam At-Tin Husada Purbalingga; RS Umum Daerah Hj. Anna Lasmanah Banjarnegara;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Umum Kusuma Ungaran; At-Tin Hospital;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Harapan Sehat Slawi; RS Hawari Essa; RS Mitra Siaga Tarub; RS Umum Siti Asiyah; RS Umum Muhammadiyah Siti Aminah; RS Umum Bhakti Asih Brebes; RS Umum Dera As-Syifa; RS Umum Daerah Bumiayu; RS Umum Islami Mutiara Bunda; RS Umum Allam Medica Bumiayu; RS Umum Amanah Mahmudah; RS Harapan Sehat Jatibarang; RS Ibu dan Anak Nuzula;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Triharsi; RS Umum Hermina Solo; RS PKU Muhammadiyah Sampangan Surakarta; RS Bhayangkara Surakarta; RS Umum Tk. IV 04.07.03 dr. Asmir; RS Paru Dr. Ario Wirawan; RS Umum Puri Asih; RS Islam Tunas Harapan; RS Umum William Booth; RS Umum Permata Medika; RS Umum Tk.III Bhakti Wira Tamtama Smg; RS Umum Bhayangkara Semarang; RS Jiwa Daerah  Dr. Amino Gondohutomo; RS Umum Hermina Pandanaran; RS Umum Banyumanik; RS Umum Hermina Banyumanik Semarang; RS Umum Banyumanik 2; RS Keluarga Sehat III Semarang; RS Unimus; RS Cepoko; RS Umum Daerah Mijen; RS Umum Budi Rahayu; RS Umum Siti Khodijah; RS Umum Karomah Holistic; RS Umum Anugerah Pekalongan; RS Umum H. A. Zaky Djunaid; RS Umum  ARO; RS Umum Hermina Pekalongan; RS Umum Tk. IV Tegal; RS Umum Daerah  dr. Darsono;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Wava Husada Kesamben; RS Umum Daerah Srengat Kab. Blitar; RS Umum An-Nisaa; RS Umum Daerah Kabupaten Kediri;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Siloam Jember; RS Umum Universitas Muhammadiyah Jember; RS Umum Daerah Blambangan; RS Umum Bhakti Husada; RS Islam Fatimah; RS Yasmin; RS Nahdlatul Ulama Banyuwangi; RS Umum Bakti Mulia Banyuwangi; RS Graha Medika; RS Umum Abdhi Famili; RS Al-Rohmah Banyuwangi; RS Umum Rahayu Medika;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Jasem;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Dian Husada; RS Umum Daerah Raden Achmad Basoeni;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Daerah Geneng; RSI Muhammadiyah Sumberrejo; RS Umum Daerah Sumberrejo; RS umum Daerah Padangan; RS Bhayangkara Wahyu Tutuko Bojonegoro; RS Muhammadiyah Kalitidu; RS Muslimat NU Muna Anggita Bojonegoro; RS Ibu dan Anak Fatma; RS Medika Mulia Tuban; RS Muhammadiyah Tuban; RS Nahdlatul Ulama Tuban; RS Umum Daerah R. Ali Manshur; RS Graha Husada; RS Islam Nashrul Ummah; RS Umum Daerah Ngimbang; RS Umum dr. Suyudi; RS Umum Intan Medika; RS Muhammadiyah Babat; RS Umum Muhammadiyah Babat; RS Umum Daerah Karangkembang; RS Permata Hati Lamongan; RS Nahdlatul Ulama Babat;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Islam Unisma Malang; RS Umum Hermina Tangkubanprahu; RS Umum Permata Bunda; RS Ibu dan Anak Puri Bunda; RS Umum Daerah Kota Malang; RS Bhirawa Bhakti;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Daerah Kota Madiun; RS Umum Griya Husada Madiun; RS Umum Darmayu Madiun; RS Hermina Madiun; RS William Booth Surabaya; RS Umum Adi Husada Kapasari; RS Umum Tk. III Brawijaya; RS Marinir Ewa Pangalila Gunungsari; RS Jiwa Menur; RS Umum Daerah Bhakti Dharma Husada; RS Bunda; RS Muji Rahayu; RS Umum Daerah Husada Prima; RS Al Irsyad Surabaya; RS Ibu dan Anak Pura Raharja; RS Bhakti Rahayu; RS Islam Darus Syifa; RS Wiyung Sejahtera; RS Wijaya Surabaya; RS Ibu dan Anak Putri Surabaya; RS Manyar Medical Centre; RS Ibu dan Anak Bantuan 05.08.05 Surabaya; RS Mitra Keluarga Kenjeran; RS PKU Muhammadiyah Surabaya; Mayapada Hospital Surabaya; RS Umum Pusat Surabaya; RS Umum Daerah Eka Candrarini; RS Umum dr. Etty Asharto Batu; RS Baptis Batu; RS Umum Negara; RS Umum Bunda; RS Umum Balimed Negara; RS Umum Dharma Kerti; RS Umum Bhakti Rahayu Tabanan; RS Umum Wisma Prashanti; RS Umum Daerah Singasana; RS Umum Semara Ratih; RS Ibu dan Anak Cahaya Bunda; RS Ibu dan Anak Puri Bunda Tabanan; RS Umum Kasih Ibu Kedonganan; RS Umum Surya Husadha Nusa Dua; RS Bali Jimbaran; RS Umum Garba Med; RS Windu Husada; RS Umum Ganesha; RS Umum Ari Canti; RS Umum Kasih Ibu Saba; RS Umum Payangan; RS Kenak Medika; RS Umum Daerah Klungkung; RS Umum Permata Hati; RS Umum Bintang; RS Umum Daerah Gema Santi Nusa Penida; RS Umum Daerah Bangli; RS Umum Bangli Medika Canti; RS Umum Daerah Karangasem; RS Umum Balimed Karangasem; RS Kasna Medika; RS Umum Daerah Kab. Buleleng; RS Umum Kertha Usadha; RS umum Karya Dharma Husada; RS Umum Parama Sidhi; RS Umum Daerah Tangguwisia; RS Balimed Buleleng; RS Ibu dan Anak Puri Bunda Singaraja; RS Umum Daerah Wangaya; RS TK. II Udayana; RS Umum Dharma Yadnya; RS Umum Puri Raharja; RS Umum Bhakti Rahayu; RS Bhayangkara Denpasar; RS Umum Surya Husadha; RS 1407013S; RS 17030300003; RS 32110300095; RS 32170300071; RS 32180300024;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K1230271; RS K1230383; RS K1230557; RS K1230932; RS K1231071; RS K1231367; RS K1231529; RS K1231618; RS K1232020; RS K1232425; RS K1232458; RS K1232846; RS K1234784; RS K1234932; RS K1234958; RS K1235035; RS K1235083; RS K1235252; RS K1235929; RS K1236049; RS K1236080; RS K1236487; RS K1236595; RS K1236718; RS K1236856; RS K1237215; RS K1237357; RS K1237398; RS K1237472; RS K1238056; RS K1238132; RS K1238199; RS K1238392; RS K1238411; RS K1238492; RS K1238494; RS K1238824; RS K1238862; RS K1239006; RS K1239091; RS K1239274; RS K1239353; RS K1239838; RS K1239933; RS K1250201; RS K1250398; RS K1305001; RS K1306009; RS K1471002; RS K1471003; RS K2171001; RS K2171002; RS K2171007; RS K3201004; RS K3204002; RS K3204003; RS K3204005; RS K3204006; RS K3208002; RS K3209001; RS K3209002; RS K3210024; RS K3212001; RS K3213001; RS K3214002; RS K3214003; RS K3271001; RS K3271002; RS K3273002; RS K3273005; RS K3273007; RS K3273008; RS K3275002; RS K3276002; RS K3276005; RS K3276006; RS K3276007; RS K3276074; RS K3276076; RS K3276119; RS K3276121; RS K329012; RS K3302002; RS K3302003; RS K3304001; RS K3322001; RS K3322002; RS K3324079; RS K3374001; RS K3374002; RS K3507001; RS K3507002; RS K3518002; RS K3519001; RS K3519002; RS K3522001; RS K3578007; RS K3578796; RS K3578799; RS K5171002; RS K5171003; RS K5171004; RS K5171006;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Khusus Bedah An-Nur;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K1236516; RS K3402001; RS K344211; RS K344212</x:v>
      </x:c>
      <x:c r="G24" s="8">
        <x:v>239</x:v>
      </x:c>
      <x:c r="H24" s="7" t="str">
        <x:v>RS Umum Semen Padang Hospital; RS Islam Siti Rahmah; RS. Universitas Andalas; RS Umum Daerah Dr. Achmad Mochtar; RS Umum  Awal Bros Ujung Batu; RS Umum Daerah  Arifin Achmad; RS Santa Maria Pekanbaru; RS Umum  Eka Hospital Pekanbaru; RS Umum  Syafira; RS Umum  Islam Ibnu Sina; RS Umum  Awal Bros Pekanbaru;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Awal Bros Botania; RS Umum Daerah Ciawi; RS Umum Daerah R. Moh. Noh Nur; RS Umum Hermina Depok; RS Umum Meilia; RS Umum Daerah RH. Satibi; RS Umum Rumah Sehat Terpadu Dompet Dhuafa; RS Umum Ummi; RS Universitas Indonesia; RS Eka Hospital; RS Primaya Sukabumi; RS Umum Daerah Majalaya; RS Umum Daerah Welas Asih Provinsi Jawa Barat; RS Umum Daerah dr. Slamet Garut; Rumah Sakit TK.IV 03.07.04 Guntur; RS Umum Daerah dr. Soekardjo; RS Umum Daerah KHZ Musthafa Kabupaten Tasikmalaya; RS Umum Daerah Arjawinangun; RS Umum Mitra Plumbon; RS Umum Permata Cirebon; RS Umum Sumber Waras; Sentra Medika Hospital Gempol; RS Mitra Plumbon Majalengka; RS Mitra Plumbon Indramayu; RS Mitra Plumbon Patrol; RS Umum Daerah Bayu Asih; RS Umum Siloam Purwakarta; RS Umum dr. Abdul Radjak Purwakarta; RS Umum Daerah Karawang; RS Umum Citra Sari Husada; RS Umum Lira Medika; RS Primaya Karawang; RS Umum Karya Medika; Sentra Medika Hospital Cikarang; RS Umum Daerah Kab.Bekasi; RS Umum Hermina Grand Wisata; RS Mitra Plumbon Cibitung; RS Umum Tiara; RS EMC Cikarang; RS Eka Bekasi; RS Umum Cahya Kawaluyan; RS Umum PMI Bogor; RS Umum Daerah Kota Bogor; RS Umum Hermina Bogor; RS Umum Melania; RS Umum Mulia Pajajaran; RS Umum Daerah R. Syamsudin, SH; RSAU dr. M. Salamun; RS Umum Immanuel Bandung; RS Umum Santo Borromeus; RS Umum Advent Bandung;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Primaya; RS Primaya Bekasi Utara; RS Umum Hermina Bekasi; RS Siloam Bekasi Sepanjang Jaya; RS Primaya Bekasi Barat; RS Umum Sentra Medika; RS Umum Bhayangkara Brimob; RS Umum Daerah Khidmat Sehat Afiat Kota Depok; RS Umum Hasanah Graha Afiah; RS Umum Alia Hospital; RS Primaya Depok; RS Umum Daerah Cilacap; RS umum Daerah Banyumas; RS Umum Daerah Prof Dr. Margono Soekarjo; RS Umum Tk. III Wijayakusuma; RS Umum Daerah dr. R. Goeteng Taroenadibrata; RS Umum Siaga Medika Purbalingga; RS Umum Emmanuel; RS Umum PKU Muhamadiyah Gombong; RS Umum Daerah Dr. Tjitrowardojo Purworejo; RS Umum Daerah Merah Putih; RS Umum Daerah Pandan Arang Boyolali; RS Umum Pusat Dr. Soeradji Tirtonegoro; RS Umum Islam Klaten; RS Umum Daerah Ir. Soekarno Kabupaten Sukoharjo; RS Umum Nirmala Suri; RS Umum Dr. Oen Solo Baru; RS Umum Universitas Sebelas Maret; RS Umum Indriati; RS PKU Muhammadiyah Karanganyar; RS Umum Daerah dr. R. Soetrasno Rembang; RS Umum Daerah RAA Soewondo; RS Umum Keluarga Sehat; RS Umum Daerah dr. Loekmono Hadi; RS Umum Mardi Rahayu; RS Umum Ken Saras; RS Umum Daerah Kabupaten Temanggung; RS PKU Muhammadiyah Temanggung; RS Umum Daerah Kraton Kab. Pekalongan; RS Umum Daerah dr. Soeselo Slawi Kabupaten Tegal; RSI PKU Muhammadiyah Tegal; RS Umum Daerah Brebes; RS Umum Daerah Tidar; RS Umum Tk. II Dr. Soedjono; RS Jiwa Prof. Dr. Soerojo; RS Umum Dr. Oen; RS 3372051; RS PKU Muhammadiyah Surakarta; RS Umum Kasih Ibu; RS Umum Daerah Ibu Fatmawati Soekarno; RS Umum Daerah Bung Karno Kota Surakarta; RS Umum Daerah Kota Salatiga;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Primaya Kota Semarang; RS Samsoe Hidajat; RS Umum Daerah Kardinah; RS Umum  Mitra Siaga; RS Umum Islam Harapan Anda; RS Umum Daerah Dr. Harjono S. Kabupaten Ponorogo; RS Umum Daerah Dr. Iskak; RS Toeloengredjo; RS Umum Daerah Kanjuruhan Kepanjen Kab. Malang; RS Umum Wava Husada; RS Umum Daerah Dr. Haryoto Kabupaten Lumajang; RS Umum Daerah Dr. Soebandi Jember; RS Perkebunan PTPN X (Persero) Jember; RS Bina Sehat Jember; RS Umum Daerah Genteng; RS Al Huda; RS Umum dr. H.Koesnadi Bondowoso; RS Bhayangkara Bondowoso; RS Umum Daerah Bangil; RS Umum Daerah R. T. Notopuro Sidoarjo; RS Umum Siti Khodijah Muhammadiyah Cabang Sepanjan; RS Umum Delta Surya; RS Islam Siti Hajar Sidoarjo; RS Umum Anwar Medika; RS Umum Daerah Prof. Dr. Soekandar; RS Islam Sakinah; RS Mawaddah Medika; RS Umum Daerah Kab. Jombang; RS Umum Daerah Nganjuk; RS Umum At-Tin Husada; RS Umum Daerah Dr. R. Sosodoro Djatikoesoemo; Rumah Sakit Aisyiyah Bojonegoro; RS Umum Daerah Dr. R. Koesma Tuban; RS Umum Daerah Dr. Soegiri Lamongan; RS Umum Muhammadiyah Lamongan; RS Umum Daerah Ibnu Sina Kab. Gresik; RS Petrokimia Gresik; RS Umum Daerah Syarifah Ambami Rato Ebu; RS Umum Daerah dr. Mohammad Zyn Kab. Sampang; RS Umum Daerah Dr. H. Slamet Martodirdjo Pamekasan; RS 3528038; RS Umum Daerah Gambiran; RS Tk. II Dr. Soepraoen; RS Umum Panti Nirmala; RS Umum Panti Waluya Sawahan Malang; RS Umum Lavalette Malang; RS Umum Islam Aisyiyah Malang; RS Umum Daerah dr. Mohamad Saleh Kota Probolinggo; RSUD dr. Wahidin Sudiro Husodo Kota Mojokerto; RS Gatoel; RS Umum Daerah Dr. Soedono Madiun; RS Umum Islam Siti Aisyah; RSPAL dr. Ramelan; RS Primasatya Husada Citra (PHC) Surabaya; RS Islam Surabaya; RS Umum Islam Surabaya Jemursari; RS Umum Siloam Hospitals Surabaya; RS Umum Daerah Haji Provinsi Jawa Timur; RS Husada Utama Surabaya; RS Umum Daerah dr. Mohamad Soewandhie; RS Gotong Royong; RS Bhayangkara TK II HS. Samsoeri Mertojoso; RS Universitas Airlangga; RS Umum Royal Surabaya; RS Ubaya; RS Bhayangkara Hasta Brata Batu; RS Umum Karsa Husada Kota Batu; RS Umum Daerah Tabanan; RS Umum Kasih Ibu Tabanan; RS Daerah Mangusada; RS Umum Siloam Bali; RS Universitas Udayana; RS Umum Murni Teguh Tuban Bali; RS Umum Daerah Sanjiwani Gianyar; RS Umum Famili Husada; RS Umum Grha Bhakti Medika; RS Umum Surya Husadha; RS Umum Bali Royal; RS Umum Prima Medika; RS BaliMed; RS Umum Daerah Bali Mandara Provinsi Bali; RS Umum Daerah Wates; RS Umum Daerah Panembahan Senopati; RS Umum Queen Latifa; RS Islam Yayasan PDHI; RS Umum PKU Muhammadiyah Gamping; RS Akademik Universitas Gadjah Mada; RS PKU Muhammadiyah Yogyakarta; RS Umum Panti Rapih; RS Bethesda Yogyakarta; RSPAU Dr.  Suhardi Harjolukito; RS Umum Daerah Kota Yogyakarta; RS Siloam Yogyakarta</x:v>
      </x:c>
      <x:c r="I24" s="8">
        <x:v>1</x:v>
      </x:c>
      <x:c r="J24" s="7" t="str">
        <x:v>RS Umum Sentra Medika Cibinong</x:v>
      </x:c>
      <x:c r="K24" s="8">
        <x:v>7</x:v>
      </x:c>
      <x:c r="L24" s="7" t="str">
        <x:v>RSUP Dr. M. Djamil; RS Umum Pusat Dr. Hasan Sadikin; RS Umum Pusat Dr. Kariadi; RS Umum Daerah Dr. Saiful Anwar; RS Umum Daerah Dr. Soetomo; RSUP Prof. Dr. I.G.N.G. Ngoerah; RSUP Dr. Sardjito</x:v>
      </x:c>
      <x:c r="M24" s="8">
        <x:v>7</x:v>
      </x:c>
      <x:c r="N24" s="7" t="str">
        <x:v>RSUP Dr. M. Djamil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6.83203125" customWidth="1"/>
    <x:col min="2" max="2" width="30.83203125" customWidth="1"/>
    <x:col min="3" max="3" width="34.83203125" customWidth="1"/>
    <x:col min="4" max="4" width="17.83203125" customWidth="1"/>
    <x:col min="5" max="5" width="19.83203125" customWidth="1"/>
    <x:col min="6" max="6" width="12.83203125" customWidth="1"/>
    <x:col min="7" max="7" width="18.83203125" customWidth="1"/>
    <x:col min="8" max="8" width="14.83203125" customWidth="1"/>
    <x:col min="9" max="9" width="19.83203125" customWidth="1"/>
    <x:col min="10" max="10" width="19.83203125" customWidth="1"/>
    <x:col min="11" max="11" width="15.83203125" customWidth="1"/>
    <x:col min="12" max="12" width="19.83203125" customWidth="1"/>
    <x:col min="13" max="13" width="19.83203125" customWidth="1"/>
    <x:col min="14" max="14" width="18.83203125" customWidth="1"/>
    <x:col min="15" max="15" width="20.83203125" customWidth="1"/>
    <x:col min="16" max="16" width="18.83203125" customWidth="1"/>
    <x:col min="17" max="17" width="22.83203125" customWidth="1"/>
    <x:col min="18" max="18" width="70.83203125" customWidth="1"/>
  </x:cols>
  <x:sheetData>
    <x:row r="1">
      <x:c r="A1" s="4" t="str">
        <x:v>No</x:v>
      </x:c>
      <x:c r="B1" s="4" t="str">
        <x:v>Kode Layanan</x:v>
      </x:c>
      <x:c r="C1" s="4" t="str">
        <x:v>Nama Layanan</x:v>
      </x:c>
      <x:c r="D1" s="4" t="str">
        <x:v>Rank Kompetensi Target</x:v>
      </x:c>
      <x:c r="E1" s="4" t="str">
        <x:v>Kompetensi Target</x:v>
      </x:c>
      <x:c r="F1" s="4" t="str">
        <x:v>Rank D-M-U-P</x:v>
      </x:c>
      <x:c r="G1" s="4" t="str">
        <x:v>Tingkat Keparahan</x:v>
      </x:c>
      <x:c r="H1" s="4" t="str">
        <x:v>Kasus Target</x:v>
      </x:c>
      <x:c r="I1" s="4" t="str">
        <x:v>INA Target</x:v>
      </x:c>
      <x:c r="J1" s="4" t="str">
        <x:v>iDRG Target</x:v>
      </x:c>
      <x:c r="K1" s="4" t="str">
        <x:v>Kasus Regional</x:v>
      </x:c>
      <x:c r="L1" s="4" t="str">
        <x:v>INA Regional</x:v>
      </x:c>
      <x:c r="M1" s="4" t="str">
        <x:v>iDRG Regional</x:v>
      </x:c>
      <x:c r="N1" s="4" t="str">
        <x:v>External Pool Kasus</x:v>
      </x:c>
      <x:c r="O1" s="4" t="str">
        <x:v>External Pool iDRG</x:v>
      </x:c>
      <x:c r="P1" s="4" t="str">
        <x:v>Kompetitor Tepat Level</x:v>
      </x:c>
      <x:c r="Q1" s="4" t="str">
        <x:v>Kompetitor Setara/Lebih Tinggi</x:v>
      </x:c>
      <x:c r="R1" s="4" t="str">
        <x:v>Daftar Kompetitor Setara/Lebih Tinggi</x:v>
      </x:c>
    </x:row>
    <x:row r="2">
      <x:c r="A2" s="8">
        <x:v>1</x:v>
      </x:c>
      <x:c r="B2" s="7" t="str">
        <x:v>ALERGI IMUNOLOGI DAN RHEUMATOLOGI</x:v>
      </x:c>
      <x:c r="C2" s="7" t="str">
        <x:v>Alergi, Imunologi &amp; Rheumatologi</x:v>
      </x:c>
      <x:c r="D2" s="8">
        <x:v>4</x:v>
      </x:c>
      <x:c r="E2" s="7" t="str">
        <x:v>Paripurna</x:v>
      </x:c>
      <x:c r="F2" s="8">
        <x:v>1</x:v>
      </x:c>
      <x:c r="G2" s="7" t="str">
        <x:v>Dasar</x:v>
      </x:c>
      <x:c r="H2" s="8">
        <x:v>57</x:v>
      </x:c>
      <x:c r="I2" s="9">
        <x:v>380141900</x:v>
      </x:c>
      <x:c r="J2" s="9">
        <x:v>438948416</x:v>
      </x:c>
      <x:c r="K2" s="8">
        <x:v>1263</x:v>
      </x:c>
      <x:c r="L2" s="9">
        <x:v>5223996800</x:v>
      </x:c>
      <x:c r="M2" s="9">
        <x:v>6859266283.2</x:v>
      </x:c>
      <x:c r="N2" s="11" t="n">
        <x:f>MAX(K2-H2,0)</x:f>
        <x:v>1206</x:v>
      </x:c>
      <x:c r="O2" s="12" t="n">
        <x:f>MAX(M2-J2,0)</x:f>
        <x:v>6420317867.2</x:v>
      </x:c>
      <x:c r="P2" s="11" t="n">
        <x:f>'01B_Kompetitor_RS'!E2</x:f>
        <x:v>496</x:v>
      </x:c>
      <x:c r="Q2" s="11" t="n">
        <x:f>'01B_Kompetitor_RS'!M2</x:f>
        <x:v>5</x:v>
      </x:c>
      <x:c r="R2" s="5" t="str">
        <x:f>'01B_Kompetitor_RS'!N2</x:f>
        <x:v>RSUP Dr. M. Djamil (Paripurna); RS Umum  Awal Bros Pekanbaru (Paripurna); RS Umum Daerah Dr. Soetomo (Paripurna); RSUP Prof. Dr. I.G.N.G. Ngoerah (Paripurna); RSUP Dr. Sardjito (Paripurna)</x:v>
      </x:c>
    </x:row>
    <x:row r="3">
      <x:c r="A3" s="8">
        <x:v>1</x:v>
      </x:c>
      <x:c r="B3" s="7" t="str">
        <x:v>ALERGI IMUNOLOGI DAN RHEUMATOLOGI</x:v>
      </x:c>
      <x:c r="C3" s="7" t="str">
        <x:v>Alergi, Imunologi &amp; Rheumatologi</x:v>
      </x:c>
      <x:c r="D3" s="8">
        <x:v>4</x:v>
      </x:c>
      <x:c r="E3" s="7" t="str">
        <x:v>Paripurna</x:v>
      </x:c>
      <x:c r="F3" s="8">
        <x:v>2</x:v>
      </x:c>
      <x:c r="G3" s="7" t="str">
        <x:v>Madya</x:v>
      </x:c>
      <x:c r="H3" s="8">
        <x:v>26</x:v>
      </x:c>
      <x:c r="I3" s="9">
        <x:v>305776000</x:v>
      </x:c>
      <x:c r="J3" s="9">
        <x:v>292925859.8</x:v>
      </x:c>
      <x:c r="K3" s="8">
        <x:v>4371</x:v>
      </x:c>
      <x:c r="L3" s="9">
        <x:v>17200817600</x:v>
      </x:c>
      <x:c r="M3" s="9">
        <x:v>21660481138.32001</x:v>
      </x:c>
      <x:c r="N3" s="11" t="n">
        <x:f>MAX(K3-H3,0)</x:f>
        <x:v>4345</x:v>
      </x:c>
      <x:c r="O3" s="12" t="n">
        <x:f>MAX(M3-J3,0)</x:f>
        <x:v>21367555278.52001</x:v>
      </x:c>
      <x:c r="P3" s="11" t="n">
        <x:f>'01B_Kompetitor_RS'!G2</x:f>
        <x:v>454</x:v>
      </x:c>
      <x:c r="Q3" s="11" t="n">
        <x:f>'01B_Kompetitor_RS'!M2</x:f>
        <x:v>5</x:v>
      </x:c>
      <x:c r="R3" s="5" t="str">
        <x:f>'01B_Kompetitor_RS'!N2</x:f>
        <x:v>RSUP Dr. M. Djamil (Paripurna); RS Umum  Awal Bros Pekanbaru (Paripurna); RS Umum Daerah Dr. Soetomo (Paripurna); RSUP Prof. Dr. I.G.N.G. Ngoerah (Paripurna); RSUP Dr. Sardjito (Paripurna)</x:v>
      </x:c>
    </x:row>
    <x:row r="4">
      <x:c r="A4" s="8">
        <x:v>1</x:v>
      </x:c>
      <x:c r="B4" s="7" t="str">
        <x:v>ALERGI IMUNOLOGI DAN RHEUMATOLOGI</x:v>
      </x:c>
      <x:c r="C4" s="7" t="str">
        <x:v>Alergi, Imunologi &amp; Rheumatologi</x:v>
      </x:c>
      <x:c r="D4" s="8">
        <x:v>4</x:v>
      </x:c>
      <x:c r="E4" s="7" t="str">
        <x:v>Paripurna</x:v>
      </x:c>
      <x:c r="F4" s="8">
        <x:v>3</x:v>
      </x:c>
      <x:c r="G4" s="7" t="str">
        <x:v>Utama</x:v>
      </x:c>
      <x:c r="H4" s="8">
        <x:v>39</x:v>
      </x:c>
      <x:c r="I4" s="9">
        <x:v>293648800</x:v>
      </x:c>
      <x:c r="J4" s="9">
        <x:v>347107497.20000005</x:v>
      </x:c>
      <x:c r="K4" s="8">
        <x:v>778</x:v>
      </x:c>
      <x:c r="L4" s="9">
        <x:v>6155723200</x:v>
      </x:c>
      <x:c r="M4" s="9">
        <x:v>7185599438.440003</x:v>
      </x:c>
      <x:c r="N4" s="11" t="n">
        <x:f>MAX(K4-H4,0)</x:f>
        <x:v>739</x:v>
      </x:c>
      <x:c r="O4" s="12" t="n">
        <x:f>MAX(M4-J4,0)</x:f>
        <x:v>6838491941.240004</x:v>
      </x:c>
      <x:c r="P4" s="11" t="n">
        <x:f>'01B_Kompetitor_RS'!I2</x:f>
        <x:v>13</x:v>
      </x:c>
      <x:c r="Q4" s="11" t="n">
        <x:f>'01B_Kompetitor_RS'!M2</x:f>
        <x:v>5</x:v>
      </x:c>
      <x:c r="R4" s="5" t="str">
        <x:f>'01B_Kompetitor_RS'!N2</x:f>
        <x:v>RSUP Dr. M. Djamil (Paripurna); RS Umum  Awal Bros Pekanbaru (Paripurna); RS Umum Daerah Dr. Soetomo (Paripurna); RSUP Prof. Dr. I.G.N.G. Ngoerah (Paripurna); RSUP Dr. Sardjito (Paripurna)</x:v>
      </x:c>
    </x:row>
    <x:row r="5">
      <x:c r="A5" s="8">
        <x:v>1</x:v>
      </x:c>
      <x:c r="B5" s="7" t="str">
        <x:v>ALERGI IMUNOLOGI DAN RHEUMATOLOGI</x:v>
      </x:c>
      <x:c r="C5" s="7" t="str">
        <x:v>Alergi, Imunologi &amp; Rheumatologi</x:v>
      </x:c>
      <x:c r="D5" s="8">
        <x:v>4</x:v>
      </x:c>
      <x:c r="E5" s="7" t="str">
        <x:v>Paripurna</x:v>
      </x:c>
      <x:c r="F5" s="8">
        <x:v>4</x:v>
      </x:c>
      <x:c r="G5" s="7" t="str">
        <x:v>Paripurna</x:v>
      </x:c>
      <x:c r="H5" s="8">
        <x:v>2</x:v>
      </x:c>
      <x:c r="I5" s="9">
        <x:v>17781400</x:v>
      </x:c>
      <x:c r="J5" s="9">
        <x:v>16614861.2</x:v>
      </x:c>
      <x:c r="K5" s="8">
        <x:v>199</x:v>
      </x:c>
      <x:c r="L5" s="9">
        <x:v>1404312500</x:v>
      </x:c>
      <x:c r="M5" s="9">
        <x:v>1675907563.0000002</x:v>
      </x:c>
      <x:c r="N5" s="11" t="n">
        <x:f>MAX(K5-H5,0)</x:f>
        <x:v>197</x:v>
      </x:c>
      <x:c r="O5" s="12" t="n">
        <x:f>MAX(M5-J5,0)</x:f>
        <x:v>1659292701.8000002</x:v>
      </x:c>
      <x:c r="P5" s="11" t="n">
        <x:f>'01B_Kompetitor_RS'!K2</x:f>
        <x:v>5</x:v>
      </x:c>
      <x:c r="Q5" s="11" t="n">
        <x:f>'01B_Kompetitor_RS'!M2</x:f>
        <x:v>5</x:v>
      </x:c>
      <x:c r="R5" s="5" t="str">
        <x:f>'01B_Kompetitor_RS'!N2</x:f>
        <x:v>RSUP Dr. M. Djamil (Paripurna); RS Umum  Awal Bros Pekanbaru (Paripurna); RS Umum Daerah Dr. Soetomo (Paripurna); RSUP Prof. Dr. I.G.N.G. Ngoerah (Paripurna); RSUP Dr. Sardjito (Paripurna)</x:v>
      </x:c>
    </x:row>
    <x:row r="6">
      <x:c r="A6" s="8">
        <x:v>2</x:v>
      </x:c>
      <x:c r="B6" s="7" t="str">
        <x:v>ENDOKRIN, NUTRISI DAN METABOLIK</x:v>
      </x:c>
      <x:c r="C6" s="7" t="str">
        <x:v>Endokrin, Nutrisi &amp; Metabolik</x:v>
      </x:c>
      <x:c r="D6" s="8">
        <x:v>4</x:v>
      </x:c>
      <x:c r="E6" s="7" t="str">
        <x:v>Paripurna</x:v>
      </x:c>
      <x:c r="F6" s="8">
        <x:v>1</x:v>
      </x:c>
      <x:c r="G6" s="7" t="str">
        <x:v>Dasar</x:v>
      </x:c>
      <x:c r="H6" s="8">
        <x:v>2455</x:v>
      </x:c>
      <x:c r="I6" s="9">
        <x:v>1600588000</x:v>
      </x:c>
      <x:c r="J6" s="9">
        <x:v>1177983417.6100001</x:v>
      </x:c>
      <x:c r="K6" s="8">
        <x:v>949759</x:v>
      </x:c>
      <x:c r="L6" s="9">
        <x:v>329300023195</x:v>
      </x:c>
      <x:c r="M6" s="9">
        <x:v>381164112138.3998</x:v>
      </x:c>
      <x:c r="N6" s="11" t="n">
        <x:f>MAX(K6-H6,0)</x:f>
        <x:v>947304</x:v>
      </x:c>
      <x:c r="O6" s="12" t="n">
        <x:f>MAX(M6-J6,0)</x:f>
        <x:v>379986128720.7898</x:v>
      </x:c>
      <x:c r="P6" s="11" t="n">
        <x:f>'01B_Kompetitor_RS'!E3</x:f>
        <x:v>780</x:v>
      </x:c>
      <x:c r="Q6" s="11" t="n">
        <x:f>'01B_Kompetitor_RS'!M3</x:f>
        <x:v>5</x:v>
      </x:c>
      <x:c r="R6" s="5" t="str">
        <x:f>'01B_Kompetitor_RS'!N3</x:f>
        <x:v>RSUP Dr. M. Djamil (Paripurna); RS Umum Pusat Dr. Hasan Sadikin (Paripurna); RS Umum Daerah Dr. Saiful Anwar (Paripurna); RS Umum Daerah Dr. Soetomo (Paripurna); RSUP Prof. Dr. I.G.N.G. Ngoerah (Paripurna)</x:v>
      </x:c>
    </x:row>
    <x:row r="7">
      <x:c r="A7" s="8">
        <x:v>2</x:v>
      </x:c>
      <x:c r="B7" s="7" t="str">
        <x:v>ENDOKRIN, NUTRISI DAN METABOLIK</x:v>
      </x:c>
      <x:c r="C7" s="7" t="str">
        <x:v>Endokrin, Nutrisi &amp; Metabolik</x:v>
      </x:c>
      <x:c r="D7" s="8">
        <x:v>4</x:v>
      </x:c>
      <x:c r="E7" s="7" t="str">
        <x:v>Paripurna</x:v>
      </x:c>
      <x:c r="F7" s="8">
        <x:v>2</x:v>
      </x:c>
      <x:c r="G7" s="7" t="str">
        <x:v>Madya</x:v>
      </x:c>
      <x:c r="H7" s="8">
        <x:v>5437</x:v>
      </x:c>
      <x:c r="I7" s="9">
        <x:v>5218304700</x:v>
      </x:c>
      <x:c r="J7" s="9">
        <x:v>3496888383</x:v>
      </x:c>
      <x:c r="K7" s="8">
        <x:v>1866852</x:v>
      </x:c>
      <x:c r="L7" s="9">
        <x:v>1138677868300</x:v>
      </x:c>
      <x:c r="M7" s="9">
        <x:v>1236638783747.6394</x:v>
      </x:c>
      <x:c r="N7" s="11" t="n">
        <x:f>MAX(K7-H7,0)</x:f>
        <x:v>1861415</x:v>
      </x:c>
      <x:c r="O7" s="12" t="n">
        <x:f>MAX(M7-J7,0)</x:f>
        <x:v>1233141895364.6394</x:v>
      </x:c>
      <x:c r="P7" s="11" t="n">
        <x:f>'01B_Kompetitor_RS'!G3</x:f>
        <x:v>473</x:v>
      </x:c>
      <x:c r="Q7" s="11" t="n">
        <x:f>'01B_Kompetitor_RS'!M3</x:f>
        <x:v>5</x:v>
      </x:c>
      <x:c r="R7" s="5" t="str">
        <x:f>'01B_Kompetitor_RS'!N3</x:f>
        <x:v>RSUP Dr. M. Djamil (Paripurna); RS Umum Pusat Dr. Hasan Sadikin (Paripurna); RS Umum Daerah Dr. Saiful Anwar (Paripurna); RS Umum Daerah Dr. Soetomo (Paripurna); RSUP Prof. Dr. I.G.N.G. Ngoerah (Paripurna)</x:v>
      </x:c>
    </x:row>
    <x:row r="8">
      <x:c r="A8" s="8">
        <x:v>2</x:v>
      </x:c>
      <x:c r="B8" s="7" t="str">
        <x:v>ENDOKRIN, NUTRISI DAN METABOLIK</x:v>
      </x:c>
      <x:c r="C8" s="7" t="str">
        <x:v>Endokrin, Nutrisi &amp; Metabolik</x:v>
      </x:c>
      <x:c r="D8" s="8">
        <x:v>4</x:v>
      </x:c>
      <x:c r="E8" s="7" t="str">
        <x:v>Paripurna</x:v>
      </x:c>
      <x:c r="F8" s="8">
        <x:v>3</x:v>
      </x:c>
      <x:c r="G8" s="7" t="str">
        <x:v>Utama</x:v>
      </x:c>
      <x:c r="H8" s="8">
        <x:v>2430</x:v>
      </x:c>
      <x:c r="I8" s="9">
        <x:v>3577615800</x:v>
      </x:c>
      <x:c r="J8" s="9">
        <x:v>2184146306.78</x:v>
      </x:c>
      <x:c r="K8" s="8">
        <x:v>379773</x:v>
      </x:c>
      <x:c r="L8" s="9">
        <x:v>242639823400</x:v>
      </x:c>
      <x:c r="M8" s="9">
        <x:v>249334769503.04007</x:v>
      </x:c>
      <x:c r="N8" s="11" t="n">
        <x:f>MAX(K8-H8,0)</x:f>
        <x:v>377343</x:v>
      </x:c>
      <x:c r="O8" s="12" t="n">
        <x:f>MAX(M8-J8,0)</x:f>
        <x:v>247150623196.26007</x:v>
      </x:c>
      <x:c r="P8" s="11" t="n">
        <x:f>'01B_Kompetitor_RS'!I3</x:f>
        <x:v>10</x:v>
      </x:c>
      <x:c r="Q8" s="11" t="n">
        <x:f>'01B_Kompetitor_RS'!M3</x:f>
        <x:v>5</x:v>
      </x:c>
      <x:c r="R8" s="5" t="str">
        <x:f>'01B_Kompetitor_RS'!N3</x:f>
        <x:v>RSUP Dr. M. Djamil (Paripurna); RS Umum Pusat Dr. Hasan Sadikin (Paripurna); RS Umum Daerah Dr. Saiful Anwar (Paripurna); RS Umum Daerah Dr. Soetomo (Paripurna); RSUP Prof. Dr. I.G.N.G. Ngoerah (Paripurna)</x:v>
      </x:c>
    </x:row>
    <x:row r="9">
      <x:c r="A9" s="8">
        <x:v>2</x:v>
      </x:c>
      <x:c r="B9" s="7" t="str">
        <x:v>ENDOKRIN, NUTRISI DAN METABOLIK</x:v>
      </x:c>
      <x:c r="C9" s="7" t="str">
        <x:v>Endokrin, Nutrisi &amp; Metabolik</x:v>
      </x:c>
      <x:c r="D9" s="8">
        <x:v>4</x:v>
      </x:c>
      <x:c r="E9" s="7" t="str">
        <x:v>Paripurna</x:v>
      </x:c>
      <x:c r="F9" s="8">
        <x:v>4</x:v>
      </x:c>
      <x:c r="G9" s="7" t="str">
        <x:v>Paripurna</x:v>
      </x:c>
      <x:c r="H9" s="8">
        <x:v>1092</x:v>
      </x:c>
      <x:c r="I9" s="9">
        <x:v>690774600</x:v>
      </x:c>
      <x:c r="J9" s="9">
        <x:v>360409325.8</x:v>
      </x:c>
      <x:c r="K9" s="8">
        <x:v>81083</x:v>
      </x:c>
      <x:c r="L9" s="9">
        <x:v>77752447600</x:v>
      </x:c>
      <x:c r="M9" s="9">
        <x:v>77835470977.72006</x:v>
      </x:c>
      <x:c r="N9" s="11" t="n">
        <x:f>MAX(K9-H9,0)</x:f>
        <x:v>79991</x:v>
      </x:c>
      <x:c r="O9" s="12" t="n">
        <x:f>MAX(M9-J9,0)</x:f>
        <x:v>77475061651.92006</x:v>
      </x:c>
      <x:c r="P9" s="11" t="n">
        <x:f>'01B_Kompetitor_RS'!K3</x:f>
        <x:v>5</x:v>
      </x:c>
      <x:c r="Q9" s="11" t="n">
        <x:f>'01B_Kompetitor_RS'!M3</x:f>
        <x:v>5</x:v>
      </x:c>
      <x:c r="R9" s="5" t="str">
        <x:f>'01B_Kompetitor_RS'!N3</x:f>
        <x:v>RSUP Dr. M. Djamil (Paripurna); RS Umum Pusat Dr. Hasan Sadikin (Paripurna); RS Umum Daerah Dr. Saiful Anwar (Paripurna); RS Umum Daerah Dr. Soetomo (Paripurna); RSUP Prof. Dr. I.G.N.G. Ngoerah (Paripurna)</x:v>
      </x:c>
    </x:row>
    <x:row r="10">
      <x:c r="A10" s="8">
        <x:v>3</x:v>
      </x:c>
      <x:c r="B10" s="7" t="str">
        <x:v>GIGI DAN MULUT</x:v>
      </x:c>
      <x:c r="C10" s="7" t="str">
        <x:v>Gigi &amp; Mulut</x:v>
      </x:c>
      <x:c r="D10" s="8">
        <x:v>3</x:v>
      </x:c>
      <x:c r="E10" s="7" t="str">
        <x:v>Utama</x:v>
      </x:c>
      <x:c r="F10" s="8">
        <x:v>1</x:v>
      </x:c>
      <x:c r="G10" s="7" t="str">
        <x:v>Dasar</x:v>
      </x:c>
      <x:c r="H10" s="8">
        <x:v>408</x:v>
      </x:c>
      <x:c r="I10" s="9">
        <x:v>1020757700</x:v>
      </x:c>
      <x:c r="J10" s="9">
        <x:v>813941253.1200001</x:v>
      </x:c>
      <x:c r="K10" s="8">
        <x:v>395187</x:v>
      </x:c>
      <x:c r="L10" s="9">
        <x:v>277939458910</x:v>
      </x:c>
      <x:c r="M10" s="9">
        <x:v>320283176558.9897</x:v>
      </x:c>
      <x:c r="N10" s="11" t="n">
        <x:f>MAX(K10-H10,0)</x:f>
        <x:v>394779</x:v>
      </x:c>
      <x:c r="O10" s="12" t="n">
        <x:f>MAX(M10-J10,0)</x:f>
        <x:v>319469235305.8697</x:v>
      </x:c>
      <x:c r="P10" s="11" t="n">
        <x:f>'01B_Kompetitor_RS'!E4</x:f>
        <x:v>631</x:v>
      </x:c>
      <x:c r="Q10" s="11" t="n">
        <x:f>'01B_Kompetitor_RS'!M4</x:f>
        <x:v>17</x:v>
      </x:c>
      <x:c r="R10" s="5" t="str">
        <x:f>'01B_Kompetitor_RS'!N4</x:f>
        <x: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x:v>
      </x:c>
    </x:row>
    <x:row r="11">
      <x:c r="A11" s="8">
        <x:v>3</x:v>
      </x:c>
      <x:c r="B11" s="7" t="str">
        <x:v>GIGI DAN MULUT</x:v>
      </x:c>
      <x:c r="C11" s="7" t="str">
        <x:v>Gigi &amp; Mulut</x:v>
      </x:c>
      <x:c r="D11" s="8">
        <x:v>3</x:v>
      </x:c>
      <x:c r="E11" s="7" t="str">
        <x:v>Utama</x:v>
      </x:c>
      <x:c r="F11" s="8">
        <x:v>2</x:v>
      </x:c>
      <x:c r="G11" s="7" t="str">
        <x:v>Madya</x:v>
      </x:c>
      <x:c r="H11" s="8">
        <x:v>146</x:v>
      </x:c>
      <x:c r="I11" s="9">
        <x:v>712127400</x:v>
      </x:c>
      <x:c r="J11" s="9">
        <x:v>553094491.67</x:v>
      </x:c>
      <x:c r="K11" s="8">
        <x:v>681421</x:v>
      </x:c>
      <x:c r="L11" s="9">
        <x:v>337261996000</x:v>
      </x:c>
      <x:c r="M11" s="9">
        <x:v>365961397512.91974</x:v>
      </x:c>
      <x:c r="N11" s="11" t="n">
        <x:f>MAX(K11-H11,0)</x:f>
        <x:v>681275</x:v>
      </x:c>
      <x:c r="O11" s="12" t="n">
        <x:f>MAX(M11-J11,0)</x:f>
        <x:v>365408303021.24976</x:v>
      </x:c>
      <x:c r="P11" s="11" t="n">
        <x:f>'01B_Kompetitor_RS'!G4</x:f>
        <x:v>201</x:v>
      </x:c>
      <x:c r="Q11" s="11" t="n">
        <x:f>'01B_Kompetitor_RS'!M4</x:f>
        <x:v>17</x:v>
      </x:c>
      <x:c r="R11" s="5" t="str">
        <x:f>'01B_Kompetitor_RS'!N4</x:f>
        <x: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x:v>
      </x:c>
    </x:row>
    <x:row r="12">
      <x:c r="A12" s="8">
        <x:v>3</x:v>
      </x:c>
      <x:c r="B12" s="7" t="str">
        <x:v>GIGI DAN MULUT</x:v>
      </x:c>
      <x:c r="C12" s="7" t="str">
        <x:v>Gigi &amp; Mulut</x:v>
      </x:c>
      <x:c r="D12" s="8">
        <x:v>3</x:v>
      </x:c>
      <x:c r="E12" s="7" t="str">
        <x:v>Utama</x:v>
      </x:c>
      <x:c r="F12" s="8">
        <x:v>3</x:v>
      </x:c>
      <x:c r="G12" s="7" t="str">
        <x:v>Utama</x:v>
      </x:c>
      <x:c r="H12" s="8">
        <x:v>15</x:v>
      </x:c>
      <x:c r="I12" s="9">
        <x:v>92644700</x:v>
      </x:c>
      <x:c r="J12" s="9">
        <x:v>72789730.38</x:v>
      </x:c>
      <x:c r="K12" s="8">
        <x:v>36353</x:v>
      </x:c>
      <x:c r="L12" s="9">
        <x:v>18008849700</x:v>
      </x:c>
      <x:c r="M12" s="9">
        <x:v>18121947127.16</x:v>
      </x:c>
      <x:c r="N12" s="11" t="n">
        <x:f>MAX(K12-H12,0)</x:f>
        <x:v>36338</x:v>
      </x:c>
      <x:c r="O12" s="12" t="n">
        <x:f>MAX(M12-J12,0)</x:f>
        <x:v>18049157396.78</x:v>
      </x:c>
      <x:c r="P12" s="11" t="n">
        <x:f>'01B_Kompetitor_RS'!I4</x:f>
        <x:v>8</x:v>
      </x:c>
      <x:c r="Q12" s="11" t="n">
        <x:f>'01B_Kompetitor_RS'!M4</x:f>
        <x:v>17</x:v>
      </x:c>
      <x:c r="R12" s="5" t="str">
        <x:f>'01B_Kompetitor_RS'!N4</x:f>
        <x: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x:v>
      </x:c>
    </x:row>
    <x:row r="13">
      <x:c r="A13" s="8">
        <x:v>3</x:v>
      </x:c>
      <x:c r="B13" s="7" t="str">
        <x:v>GIGI DAN MULUT</x:v>
      </x:c>
      <x:c r="C13" s="7" t="str">
        <x:v>Gigi &amp; Mulut</x:v>
      </x:c>
      <x:c r="D13" s="8">
        <x:v>3</x:v>
      </x:c>
      <x:c r="E13" s="7" t="str">
        <x:v>Utama</x:v>
      </x:c>
      <x:c r="F13" s="8">
        <x:v>4</x:v>
      </x:c>
      <x:c r="G13" s="7" t="str">
        <x:v>Paripurna</x:v>
      </x:c>
      <x:c r="H13" s="8">
        <x:v>0</x:v>
      </x:c>
      <x:c r="I13" s="9">
        <x:v>0</x:v>
      </x:c>
      <x:c r="J13" s="9">
        <x:v>0</x:v>
      </x:c>
      <x:c r="K13" s="8">
        <x:v>1382</x:v>
      </x:c>
      <x:c r="L13" s="9">
        <x:v>2286415400</x:v>
      </x:c>
      <x:c r="M13" s="9">
        <x:v>3003791685.9500046</x:v>
      </x:c>
      <x:c r="N13" s="11" t="n">
        <x:f>MAX(K13-H13,0)</x:f>
        <x:v>1382</x:v>
      </x:c>
      <x:c r="O13" s="12" t="n">
        <x:f>MAX(M13-J13,0)</x:f>
        <x:v>3003791685.9500046</x:v>
      </x:c>
      <x:c r="P13" s="11" t="n">
        <x:f>'01B_Kompetitor_RS'!K4</x:f>
        <x:v>9</x:v>
      </x:c>
      <x:c r="Q13" s="11" t="n">
        <x:f>'01B_Kompetitor_RS'!M4</x:f>
        <x:v>17</x:v>
      </x:c>
      <x:c r="R13" s="5" t="str">
        <x:f>'01B_Kompetitor_RS'!N4</x:f>
        <x: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x:v>
      </x:c>
    </x:row>
    <x:row r="14">
      <x:c r="A14" s="8">
        <x:v>4</x:v>
      </x:c>
      <x:c r="B14" s="7" t="str">
        <x:v>HEMATOLOGI</x:v>
      </x:c>
      <x:c r="C14" s="7" t="str">
        <x:v>Hematologi</x:v>
      </x:c>
      <x:c r="D14" s="8">
        <x:v>3</x:v>
      </x:c>
      <x:c r="E14" s="7" t="str">
        <x:v>Utama</x:v>
      </x:c>
      <x:c r="F14" s="8">
        <x:v>1</x:v>
      </x:c>
      <x:c r="G14" s="7" t="str">
        <x:v>Dasar</x:v>
      </x:c>
      <x:c r="H14" s="8">
        <x:v>1691</x:v>
      </x:c>
      <x:c r="I14" s="9">
        <x:v>3801921800</x:v>
      </x:c>
      <x:c r="J14" s="9">
        <x:v>3459892009.0699997</x:v>
      </x:c>
      <x:c r="K14" s="8">
        <x:v>203010</x:v>
      </x:c>
      <x:c r="L14" s="9">
        <x:v>295730249665</x:v>
      </x:c>
      <x:c r="M14" s="9">
        <x:v>369321489640.88947</x:v>
      </x:c>
      <x:c r="N14" s="11" t="n">
        <x:f>MAX(K14-H14,0)</x:f>
        <x:v>201319</x:v>
      </x:c>
      <x:c r="O14" s="12" t="n">
        <x:f>MAX(M14-J14,0)</x:f>
        <x:v>365861597631.81946</x:v>
      </x:c>
      <x:c r="P14" s="11" t="n">
        <x:f>'01B_Kompetitor_RS'!E5</x:f>
        <x:v>1027</x:v>
      </x:c>
      <x:c r="Q14" s="11" t="n">
        <x:f>'01B_Kompetitor_RS'!M5</x:f>
        <x:v>19</x:v>
      </x:c>
      <x:c r="R14" s="5" t="str">
        <x:f>'01B_Kompetitor_RS'!N5</x:f>
        <x: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x:v>
      </x:c>
    </x:row>
    <x:row r="15">
      <x:c r="A15" s="8">
        <x:v>4</x:v>
      </x:c>
      <x:c r="B15" s="7" t="str">
        <x:v>HEMATOLOGI</x:v>
      </x:c>
      <x:c r="C15" s="7" t="str">
        <x:v>Hematologi</x:v>
      </x:c>
      <x:c r="D15" s="8">
        <x:v>3</x:v>
      </x:c>
      <x:c r="E15" s="7" t="str">
        <x:v>Utama</x:v>
      </x:c>
      <x:c r="F15" s="8">
        <x:v>2</x:v>
      </x:c>
      <x:c r="G15" s="7" t="str">
        <x:v>Madya</x:v>
      </x:c>
      <x:c r="H15" s="8">
        <x:v>4851</x:v>
      </x:c>
      <x:c r="I15" s="9">
        <x:v>7719496100</x:v>
      </x:c>
      <x:c r="J15" s="9">
        <x:v>7334727879.34</x:v>
      </x:c>
      <x:c r="K15" s="8">
        <x:v>316016</x:v>
      </x:c>
      <x:c r="L15" s="9">
        <x:v>650132981620</x:v>
      </x:c>
      <x:c r="M15" s="9">
        <x:v>762532836230.681</x:v>
      </x:c>
      <x:c r="N15" s="11" t="n">
        <x:f>MAX(K15-H15,0)</x:f>
        <x:v>311165</x:v>
      </x:c>
      <x:c r="O15" s="12" t="n">
        <x:f>MAX(M15-J15,0)</x:f>
        <x:v>755198108351.3411</x:v>
      </x:c>
      <x:c r="P15" s="11" t="n">
        <x:f>'01B_Kompetitor_RS'!G5</x:f>
        <x:v>305</x:v>
      </x:c>
      <x:c r="Q15" s="11" t="n">
        <x:f>'01B_Kompetitor_RS'!M5</x:f>
        <x:v>19</x:v>
      </x:c>
      <x:c r="R15" s="5" t="str">
        <x:f>'01B_Kompetitor_RS'!N5</x:f>
        <x: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x:v>
      </x:c>
    </x:row>
    <x:row r="16">
      <x:c r="A16" s="8">
        <x:v>4</x:v>
      </x:c>
      <x:c r="B16" s="7" t="str">
        <x:v>HEMATOLOGI</x:v>
      </x:c>
      <x:c r="C16" s="7" t="str">
        <x:v>Hematologi</x:v>
      </x:c>
      <x:c r="D16" s="8">
        <x:v>3</x:v>
      </x:c>
      <x:c r="E16" s="7" t="str">
        <x:v>Utama</x:v>
      </x:c>
      <x:c r="F16" s="8">
        <x:v>3</x:v>
      </x:c>
      <x:c r="G16" s="7" t="str">
        <x:v>Utama</x:v>
      </x:c>
      <x:c r="H16" s="8">
        <x:v>710</x:v>
      </x:c>
      <x:c r="I16" s="9">
        <x:v>1487648400</x:v>
      </x:c>
      <x:c r="J16" s="9">
        <x:v>1150564015.99</x:v>
      </x:c>
      <x:c r="K16" s="8">
        <x:v>114840</x:v>
      </x:c>
      <x:c r="L16" s="9">
        <x:v>175513411060</x:v>
      </x:c>
      <x:c r="M16" s="9">
        <x:v>201042945787.9304</x:v>
      </x:c>
      <x:c r="N16" s="11" t="n">
        <x:f>MAX(K16-H16,0)</x:f>
        <x:v>114130</x:v>
      </x:c>
      <x:c r="O16" s="12" t="n">
        <x:f>MAX(M16-J16,0)</x:f>
        <x:v>199892381771.9404</x:v>
      </x:c>
      <x:c r="P16" s="11" t="n">
        <x:f>'01B_Kompetitor_RS'!I5</x:f>
        <x:v>13</x:v>
      </x:c>
      <x:c r="Q16" s="11" t="n">
        <x:f>'01B_Kompetitor_RS'!M5</x:f>
        <x:v>19</x:v>
      </x:c>
      <x:c r="R16" s="5" t="str">
        <x:f>'01B_Kompetitor_RS'!N5</x:f>
        <x: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x:v>
      </x:c>
    </x:row>
    <x:row r="17">
      <x:c r="A17" s="8">
        <x:v>4</x:v>
      </x:c>
      <x:c r="B17" s="7" t="str">
        <x:v>HEMATOLOGI</x:v>
      </x:c>
      <x:c r="C17" s="7" t="str">
        <x:v>Hematologi</x:v>
      </x:c>
      <x:c r="D17" s="8">
        <x:v>3</x:v>
      </x:c>
      <x:c r="E17" s="7" t="str">
        <x:v>Utama</x:v>
      </x:c>
      <x:c r="F17" s="8">
        <x:v>4</x:v>
      </x:c>
      <x:c r="G17" s="7" t="str">
        <x:v>Paripurna</x:v>
      </x:c>
      <x:c r="H17" s="8">
        <x:v>828</x:v>
      </x:c>
      <x:c r="I17" s="9">
        <x:v>6180745300</x:v>
      </x:c>
      <x:c r="J17" s="9">
        <x:v>6247591799.879999</x:v>
      </x:c>
      <x:c r="K17" s="8">
        <x:v>53637</x:v>
      </x:c>
      <x:c r="L17" s="9">
        <x:v>256233309275</x:v>
      </x:c>
      <x:c r="M17" s="9">
        <x:v>267660941835.65027</x:v>
      </x:c>
      <x:c r="N17" s="11" t="n">
        <x:f>MAX(K17-H17,0)</x:f>
        <x:v>52809</x:v>
      </x:c>
      <x:c r="O17" s="12" t="n">
        <x:f>MAX(M17-J17,0)</x:f>
        <x:v>261413350035.77026</x:v>
      </x:c>
      <x:c r="P17" s="11" t="n">
        <x:f>'01B_Kompetitor_RS'!K5</x:f>
        <x:v>6</x:v>
      </x:c>
      <x:c r="Q17" s="11" t="n">
        <x:f>'01B_Kompetitor_RS'!M5</x:f>
        <x:v>19</x:v>
      </x:c>
      <x:c r="R17" s="5" t="str">
        <x:f>'01B_Kompetitor_RS'!N5</x:f>
        <x: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x:v>
      </x:c>
    </x:row>
    <x:row r="18">
      <x:c r="A18" s="8">
        <x:v>5</x:v>
      </x:c>
      <x:c r="B18" s="7" t="str">
        <x:v>IBU DAN GINEKOLOGI</x:v>
      </x:c>
      <x:c r="C18" s="7" t="str">
        <x:v>Ibu &amp; Ginekologi</x:v>
      </x:c>
      <x:c r="D18" s="8">
        <x:v>4</x:v>
      </x:c>
      <x:c r="E18" s="7" t="str">
        <x:v>Paripurna</x:v>
      </x:c>
      <x:c r="F18" s="8">
        <x:v>1</x:v>
      </x:c>
      <x:c r="G18" s="7" t="str">
        <x:v>Dasar</x:v>
      </x:c>
      <x:c r="H18" s="8">
        <x:v>9623</x:v>
      </x:c>
      <x:c r="I18" s="9">
        <x:v>8369211100</x:v>
      </x:c>
      <x:c r="J18" s="9">
        <x:v>7295879700.45</x:v>
      </x:c>
      <x:c r="K18" s="8">
        <x:v>2238929</x:v>
      </x:c>
      <x:c r="L18" s="9">
        <x:v>2499524734000</x:v>
      </x:c>
      <x:c r="M18" s="9">
        <x:v>2648520013868.5444</x:v>
      </x:c>
      <x:c r="N18" s="11" t="n">
        <x:f>MAX(K18-H18,0)</x:f>
        <x:v>2229306</x:v>
      </x:c>
      <x:c r="O18" s="12" t="n">
        <x:f>MAX(M18-J18,0)</x:f>
        <x:v>2641224134168.094</x:v>
      </x:c>
      <x:c r="P18" s="11" t="n">
        <x:f>'01B_Kompetitor_RS'!E6</x:f>
        <x:v>763</x:v>
      </x:c>
      <x:c r="Q18" s="11" t="n">
        <x:f>'01B_Kompetitor_RS'!M6</x:f>
        <x:v>8</x:v>
      </x:c>
      <x:c r="R18" s="5" t="str">
        <x:f>'01B_Kompetitor_RS'!N6</x:f>
        <x: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19">
      <x:c r="A19" s="8">
        <x:v>5</x:v>
      </x:c>
      <x:c r="B19" s="7" t="str">
        <x:v>IBU DAN GINEKOLOGI</x:v>
      </x:c>
      <x:c r="C19" s="7" t="str">
        <x:v>Ibu &amp; Ginekologi</x:v>
      </x:c>
      <x:c r="D19" s="8">
        <x:v>4</x:v>
      </x:c>
      <x:c r="E19" s="7" t="str">
        <x:v>Paripurna</x:v>
      </x:c>
      <x:c r="F19" s="8">
        <x:v>2</x:v>
      </x:c>
      <x:c r="G19" s="7" t="str">
        <x:v>Madya</x:v>
      </x:c>
      <x:c r="H19" s="8">
        <x:v>14384</x:v>
      </x:c>
      <x:c r="I19" s="9">
        <x:v>12461584900</x:v>
      </x:c>
      <x:c r="J19" s="9">
        <x:v>10848018023.41</x:v>
      </x:c>
      <x:c r="K19" s="8">
        <x:v>1651043</x:v>
      </x:c>
      <x:c r="L19" s="9">
        <x:v>2565906882410</x:v>
      </x:c>
      <x:c r="M19" s="9">
        <x:v>2765633100468.6265</x:v>
      </x:c>
      <x:c r="N19" s="11" t="n">
        <x:f>MAX(K19-H19,0)</x:f>
        <x:v>1636659</x:v>
      </x:c>
      <x:c r="O19" s="12" t="n">
        <x:f>MAX(M19-J19,0)</x:f>
        <x:v>2754785082445.2163</x:v>
      </x:c>
      <x:c r="P19" s="11" t="n">
        <x:f>'01B_Kompetitor_RS'!G6</x:f>
        <x:v>504</x:v>
      </x:c>
      <x:c r="Q19" s="11" t="n">
        <x:f>'01B_Kompetitor_RS'!M6</x:f>
        <x:v>8</x:v>
      </x:c>
      <x:c r="R19" s="5" t="str">
        <x:f>'01B_Kompetitor_RS'!N6</x:f>
        <x: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0">
      <x:c r="A20" s="8">
        <x:v>5</x:v>
      </x:c>
      <x:c r="B20" s="7" t="str">
        <x:v>IBU DAN GINEKOLOGI</x:v>
      </x:c>
      <x:c r="C20" s="7" t="str">
        <x:v>Ibu &amp; Ginekologi</x:v>
      </x:c>
      <x:c r="D20" s="8">
        <x:v>4</x:v>
      </x:c>
      <x:c r="E20" s="7" t="str">
        <x:v>Paripurna</x:v>
      </x:c>
      <x:c r="F20" s="8">
        <x:v>3</x:v>
      </x:c>
      <x:c r="G20" s="7" t="str">
        <x:v>Utama</x:v>
      </x:c>
      <x:c r="H20" s="8">
        <x:v>3808</x:v>
      </x:c>
      <x:c r="I20" s="9">
        <x:v>15278526300</x:v>
      </x:c>
      <x:c r="J20" s="9">
        <x:v>12888686310.61</x:v>
      </x:c>
      <x:c r="K20" s="8">
        <x:v>270184</x:v>
      </x:c>
      <x:c r="L20" s="9">
        <x:v>927835887600</x:v>
      </x:c>
      <x:c r="M20" s="9">
        <x:v>1012408755645.0297</x:v>
      </x:c>
      <x:c r="N20" s="11" t="n">
        <x:f>MAX(K20-H20,0)</x:f>
        <x:v>266376</x:v>
      </x:c>
      <x:c r="O20" s="12" t="n">
        <x:f>MAX(M20-J20,0)</x:f>
        <x:v>999520069334.4197</x:v>
      </x:c>
      <x:c r="P20" s="11" t="n">
        <x:f>'01B_Kompetitor_RS'!I6</x:f>
        <x:v>14</x:v>
      </x:c>
      <x:c r="Q20" s="11" t="n">
        <x:f>'01B_Kompetitor_RS'!M6</x:f>
        <x:v>8</x:v>
      </x:c>
      <x:c r="R20" s="5" t="str">
        <x:f>'01B_Kompetitor_RS'!N6</x:f>
        <x: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1">
      <x:c r="A21" s="8">
        <x:v>5</x:v>
      </x:c>
      <x:c r="B21" s="7" t="str">
        <x:v>IBU DAN GINEKOLOGI</x:v>
      </x:c>
      <x:c r="C21" s="7" t="str">
        <x:v>Ibu &amp; Ginekologi</x:v>
      </x:c>
      <x:c r="D21" s="8">
        <x:v>4</x:v>
      </x:c>
      <x:c r="E21" s="7" t="str">
        <x:v>Paripurna</x:v>
      </x:c>
      <x:c r="F21" s="8">
        <x:v>4</x:v>
      </x:c>
      <x:c r="G21" s="7" t="str">
        <x:v>Paripurna</x:v>
      </x:c>
      <x:c r="H21" s="8">
        <x:v>183</x:v>
      </x:c>
      <x:c r="I21" s="9">
        <x:v>917713100</x:v>
      </x:c>
      <x:c r="J21" s="9">
        <x:v>718887551.83</x:v>
      </x:c>
      <x:c r="K21" s="8">
        <x:v>25984</x:v>
      </x:c>
      <x:c r="L21" s="9">
        <x:v>106798164600</x:v>
      </x:c>
      <x:c r="M21" s="9">
        <x:v>107230448490.91997</x:v>
      </x:c>
      <x:c r="N21" s="11" t="n">
        <x:f>MAX(K21-H21,0)</x:f>
        <x:v>25801</x:v>
      </x:c>
      <x:c r="O21" s="12" t="n">
        <x:f>MAX(M21-J21,0)</x:f>
        <x:v>106511560939.08997</x:v>
      </x:c>
      <x:c r="P21" s="11" t="n">
        <x:f>'01B_Kompetitor_RS'!K6</x:f>
        <x:v>8</x:v>
      </x:c>
      <x:c r="Q21" s="11" t="n">
        <x:f>'01B_Kompetitor_RS'!M6</x:f>
        <x:v>8</x:v>
      </x:c>
      <x:c r="R21" s="5" t="str">
        <x:f>'01B_Kompetitor_RS'!N6</x:f>
        <x: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2">
      <x:c r="A22" s="8">
        <x:v>6</x:v>
      </x:c>
      <x:c r="B22" s="7" t="str">
        <x:v>INFEKSI DAN PARASIT</x:v>
      </x:c>
      <x:c r="C22" s="7" t="str">
        <x:v>Infeksi &amp; Parasit</x:v>
      </x:c>
      <x:c r="D22" s="8">
        <x:v>4</x:v>
      </x:c>
      <x:c r="E22" s="7" t="str">
        <x:v>Paripurna</x:v>
      </x:c>
      <x:c r="F22" s="8">
        <x:v>1</x:v>
      </x:c>
      <x:c r="G22" s="7" t="str">
        <x:v>Dasar</x:v>
      </x:c>
      <x:c r="H22" s="8">
        <x:v>1120</x:v>
      </x:c>
      <x:c r="I22" s="9">
        <x:v>1348518900</x:v>
      </x:c>
      <x:c r="J22" s="9">
        <x:v>1033395153.1</x:v>
      </x:c>
      <x:c r="K22" s="8">
        <x:v>579791</x:v>
      </x:c>
      <x:c r="L22" s="9">
        <x:v>369844335400</x:v>
      </x:c>
      <x:c r="M22" s="9">
        <x:v>434765878045.79034</x:v>
      </x:c>
      <x:c r="N22" s="11" t="n">
        <x:f>MAX(K22-H22,0)</x:f>
        <x:v>578671</x:v>
      </x:c>
      <x:c r="O22" s="12" t="n">
        <x:f>MAX(M22-J22,0)</x:f>
        <x:v>433732482892.69037</x:v>
      </x:c>
      <x:c r="P22" s="11" t="n">
        <x:f>'01B_Kompetitor_RS'!E7</x:f>
        <x:v>558</x:v>
      </x:c>
      <x:c r="Q22" s="11" t="n">
        <x:f>'01B_Kompetitor_RS'!M7</x:f>
        <x:v>6</x:v>
      </x:c>
      <x:c r="R22" s="5" t="str">
        <x:f>'01B_Kompetitor_RS'!N7</x:f>
        <x:v>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3">
      <x:c r="A23" s="8">
        <x:v>6</x:v>
      </x:c>
      <x:c r="B23" s="7" t="str">
        <x:v>INFEKSI DAN PARASIT</x:v>
      </x:c>
      <x:c r="C23" s="7" t="str">
        <x:v>Infeksi &amp; Parasit</x:v>
      </x:c>
      <x:c r="D23" s="8">
        <x:v>4</x:v>
      </x:c>
      <x:c r="E23" s="7" t="str">
        <x:v>Paripurna</x:v>
      </x:c>
      <x:c r="F23" s="8">
        <x:v>2</x:v>
      </x:c>
      <x:c r="G23" s="7" t="str">
        <x:v>Madya</x:v>
      </x:c>
      <x:c r="H23" s="8">
        <x:v>774</x:v>
      </x:c>
      <x:c r="I23" s="9">
        <x:v>2334518500</x:v>
      </x:c>
      <x:c r="J23" s="9">
        <x:v>1237429693.3600001</x:v>
      </x:c>
      <x:c r="K23" s="8">
        <x:v>760109</x:v>
      </x:c>
      <x:c r="L23" s="9">
        <x:v>1334849829380</x:v>
      </x:c>
      <x:c r="M23" s="9">
        <x:v>1506266505488.8406</x:v>
      </x:c>
      <x:c r="N23" s="11" t="n">
        <x:f>MAX(K23-H23,0)</x:f>
        <x:v>759335</x:v>
      </x:c>
      <x:c r="O23" s="12" t="n">
        <x:f>MAX(M23-J23,0)</x:f>
        <x:v>1505029075795.4805</x:v>
      </x:c>
      <x:c r="P23" s="11" t="n">
        <x:f>'01B_Kompetitor_RS'!G7</x:f>
        <x:v>642</x:v>
      </x:c>
      <x:c r="Q23" s="11" t="n">
        <x:f>'01B_Kompetitor_RS'!M7</x:f>
        <x:v>6</x:v>
      </x:c>
      <x:c r="R23" s="5" t="str">
        <x:f>'01B_Kompetitor_RS'!N7</x:f>
        <x:v>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4">
      <x:c r="A24" s="8">
        <x:v>6</x:v>
      </x:c>
      <x:c r="B24" s="7" t="str">
        <x:v>INFEKSI DAN PARASIT</x:v>
      </x:c>
      <x:c r="C24" s="7" t="str">
        <x:v>Infeksi &amp; Parasit</x:v>
      </x:c>
      <x:c r="D24" s="8">
        <x:v>4</x:v>
      </x:c>
      <x:c r="E24" s="7" t="str">
        <x:v>Paripurna</x:v>
      </x:c>
      <x:c r="F24" s="8">
        <x:v>3</x:v>
      </x:c>
      <x:c r="G24" s="7" t="str">
        <x:v>Utama</x:v>
      </x:c>
      <x:c r="H24" s="8">
        <x:v>389</x:v>
      </x:c>
      <x:c r="I24" s="9">
        <x:v>2650123400</x:v>
      </x:c>
      <x:c r="J24" s="9">
        <x:v>1985161219.0800002</x:v>
      </x:c>
      <x:c r="K24" s="8">
        <x:v>150041</x:v>
      </x:c>
      <x:c r="L24" s="9">
        <x:v>242854781900</x:v>
      </x:c>
      <x:c r="M24" s="9">
        <x:v>264632243339.25003</x:v>
      </x:c>
      <x:c r="N24" s="11" t="n">
        <x:f>MAX(K24-H24,0)</x:f>
        <x:v>149652</x:v>
      </x:c>
      <x:c r="O24" s="12" t="n">
        <x:f>MAX(M24-J24,0)</x:f>
        <x:v>262647082120.17004</x:v>
      </x:c>
      <x:c r="P24" s="11" t="n">
        <x:f>'01B_Kompetitor_RS'!I7</x:f>
        <x:v>4</x:v>
      </x:c>
      <x:c r="Q24" s="11" t="n">
        <x:f>'01B_Kompetitor_RS'!M7</x:f>
        <x:v>6</x:v>
      </x:c>
      <x:c r="R24" s="5" t="str">
        <x:f>'01B_Kompetitor_RS'!N7</x:f>
        <x:v>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5">
      <x:c r="A25" s="8">
        <x:v>6</x:v>
      </x:c>
      <x:c r="B25" s="7" t="str">
        <x:v>INFEKSI DAN PARASIT</x:v>
      </x:c>
      <x:c r="C25" s="7" t="str">
        <x:v>Infeksi &amp; Parasit</x:v>
      </x:c>
      <x:c r="D25" s="8">
        <x:v>4</x:v>
      </x:c>
      <x:c r="E25" s="7" t="str">
        <x:v>Paripurna</x:v>
      </x:c>
      <x:c r="F25" s="8">
        <x:v>4</x:v>
      </x:c>
      <x:c r="G25" s="7" t="str">
        <x:v>Paripurna</x:v>
      </x:c>
      <x:c r="H25" s="8">
        <x:v>64</x:v>
      </x:c>
      <x:c r="I25" s="9">
        <x:v>685945800</x:v>
      </x:c>
      <x:c r="J25" s="9">
        <x:v>452764533.05</x:v>
      </x:c>
      <x:c r="K25" s="8">
        <x:v>45922</x:v>
      </x:c>
      <x:c r="L25" s="9">
        <x:v>87872262800</x:v>
      </x:c>
      <x:c r="M25" s="9">
        <x:v>97722839472.1998</x:v>
      </x:c>
      <x:c r="N25" s="11" t="n">
        <x:f>MAX(K25-H25,0)</x:f>
        <x:v>45858</x:v>
      </x:c>
      <x:c r="O25" s="12" t="n">
        <x:f>MAX(M25-J25,0)</x:f>
        <x:v>97270074939.1498</x:v>
      </x:c>
      <x:c r="P25" s="11" t="n">
        <x:f>'01B_Kompetitor_RS'!K7</x:f>
        <x:v>6</x:v>
      </x:c>
      <x:c r="Q25" s="11" t="n">
        <x:f>'01B_Kompetitor_RS'!M7</x:f>
        <x:v>6</x:v>
      </x:c>
      <x:c r="R25" s="5" t="str">
        <x:f>'01B_Kompetitor_RS'!N7</x:f>
        <x:v>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26">
      <x:c r="A26" s="8">
        <x:v>7</x:v>
      </x:c>
      <x:c r="B26" s="7" t="str">
        <x:v>JANTUNG DAN PEMBULUH DARAH</x:v>
      </x:c>
      <x:c r="C26" s="7" t="str">
        <x:v>Jantung &amp; Pembuluh Darah</x:v>
      </x:c>
      <x:c r="D26" s="8">
        <x:v>3</x:v>
      </x:c>
      <x:c r="E26" s="7" t="str">
        <x:v>Utama</x:v>
      </x:c>
      <x:c r="F26" s="8">
        <x:v>1</x:v>
      </x:c>
      <x:c r="G26" s="7" t="str">
        <x:v>Dasar</x:v>
      </x:c>
      <x:c r="H26" s="8">
        <x:v>12916</x:v>
      </x:c>
      <x:c r="I26" s="9">
        <x:v>7021735400</x:v>
      </x:c>
      <x:c r="J26" s="9">
        <x:v>5895734126.55</x:v>
      </x:c>
      <x:c r="K26" s="8">
        <x:v>4211765</x:v>
      </x:c>
      <x:c r="L26" s="9">
        <x:v>1459463496345</x:v>
      </x:c>
      <x:c r="M26" s="9">
        <x:v>1717555641331.1191</x:v>
      </x:c>
      <x:c r="N26" s="11" t="n">
        <x:f>MAX(K26-H26,0)</x:f>
        <x:v>4198849</x:v>
      </x:c>
      <x:c r="O26" s="12" t="n">
        <x:f>MAX(M26-J26,0)</x:f>
        <x:v>1711659907204.569</x:v>
      </x:c>
      <x:c r="P26" s="11" t="n">
        <x:f>'01B_Kompetitor_RS'!E8</x:f>
        <x:v>994</x:v>
      </x:c>
      <x:c r="Q26" s="11" t="n">
        <x:f>'01B_Kompetitor_RS'!M8</x:f>
        <x:v>16</x:v>
      </x:c>
      <x:c r="R26" s="5" t="str">
        <x:f>'01B_Kompetitor_RS'!N8</x:f>
        <x: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x:v>
      </x:c>
    </x:row>
    <x:row r="27">
      <x:c r="A27" s="8">
        <x:v>7</x:v>
      </x:c>
      <x:c r="B27" s="7" t="str">
        <x:v>JANTUNG DAN PEMBULUH DARAH</x:v>
      </x:c>
      <x:c r="C27" s="7" t="str">
        <x:v>Jantung &amp; Pembuluh Darah</x:v>
      </x:c>
      <x:c r="D27" s="8">
        <x:v>3</x:v>
      </x:c>
      <x:c r="E27" s="7" t="str">
        <x:v>Utama</x:v>
      </x:c>
      <x:c r="F27" s="8">
        <x:v>2</x:v>
      </x:c>
      <x:c r="G27" s="7" t="str">
        <x:v>Madya</x:v>
      </x:c>
      <x:c r="H27" s="8">
        <x:v>6735</x:v>
      </x:c>
      <x:c r="I27" s="9">
        <x:v>14869245600</x:v>
      </x:c>
      <x:c r="J27" s="9">
        <x:v>10672635894.58</x:v>
      </x:c>
      <x:c r="K27" s="8">
        <x:v>1535591</x:v>
      </x:c>
      <x:c r="L27" s="9">
        <x:v>2028443371605</x:v>
      </x:c>
      <x:c r="M27" s="9">
        <x:v>2327037511904.36</x:v>
      </x:c>
      <x:c r="N27" s="11" t="n">
        <x:f>MAX(K27-H27,0)</x:f>
        <x:v>1528856</x:v>
      </x:c>
      <x:c r="O27" s="12" t="n">
        <x:f>MAX(M27-J27,0)</x:f>
        <x:v>2316364876009.78</x:v>
      </x:c>
      <x:c r="P27" s="11" t="n">
        <x:f>'01B_Kompetitor_RS'!G8</x:f>
        <x:v>125</x:v>
      </x:c>
      <x:c r="Q27" s="11" t="n">
        <x:f>'01B_Kompetitor_RS'!M8</x:f>
        <x:v>16</x:v>
      </x:c>
      <x:c r="R27" s="5" t="str">
        <x:f>'01B_Kompetitor_RS'!N8</x:f>
        <x: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x:v>
      </x:c>
    </x:row>
    <x:row r="28">
      <x:c r="A28" s="8">
        <x:v>7</x:v>
      </x:c>
      <x:c r="B28" s="7" t="str">
        <x:v>JANTUNG DAN PEMBULUH DARAH</x:v>
      </x:c>
      <x:c r="C28" s="7" t="str">
        <x:v>Jantung &amp; Pembuluh Darah</x:v>
      </x:c>
      <x:c r="D28" s="8">
        <x:v>3</x:v>
      </x:c>
      <x:c r="E28" s="7" t="str">
        <x:v>Utama</x:v>
      </x:c>
      <x:c r="F28" s="8">
        <x:v>3</x:v>
      </x:c>
      <x:c r="G28" s="7" t="str">
        <x:v>Utama</x:v>
      </x:c>
      <x:c r="H28" s="8">
        <x:v>4266</x:v>
      </x:c>
      <x:c r="I28" s="9">
        <x:v>67055805500</x:v>
      </x:c>
      <x:c r="J28" s="9">
        <x:v>56764455060.58</x:v>
      </x:c>
      <x:c r="K28" s="8">
        <x:v>1071340</x:v>
      </x:c>
      <x:c r="L28" s="9">
        <x:v>2524016821605</x:v>
      </x:c>
      <x:c r="M28" s="9">
        <x:v>2889688944857.6226</x:v>
      </x:c>
      <x:c r="N28" s="11" t="n">
        <x:f>MAX(K28-H28,0)</x:f>
        <x:v>1067074</x:v>
      </x:c>
      <x:c r="O28" s="12" t="n">
        <x:f>MAX(M28-J28,0)</x:f>
        <x:v>2832924489797.0425</x:v>
      </x:c>
      <x:c r="P28" s="11" t="n">
        <x:f>'01B_Kompetitor_RS'!I8</x:f>
        <x:v>10</x:v>
      </x:c>
      <x:c r="Q28" s="11" t="n">
        <x:f>'01B_Kompetitor_RS'!M8</x:f>
        <x:v>16</x:v>
      </x:c>
      <x:c r="R28" s="5" t="str">
        <x:f>'01B_Kompetitor_RS'!N8</x:f>
        <x: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x:v>
      </x:c>
    </x:row>
    <x:row r="29">
      <x:c r="A29" s="8">
        <x:v>7</x:v>
      </x:c>
      <x:c r="B29" s="7" t="str">
        <x:v>JANTUNG DAN PEMBULUH DARAH</x:v>
      </x:c>
      <x:c r="C29" s="7" t="str">
        <x:v>Jantung &amp; Pembuluh Darah</x:v>
      </x:c>
      <x:c r="D29" s="8">
        <x:v>3</x:v>
      </x:c>
      <x:c r="E29" s="7" t="str">
        <x:v>Utama</x:v>
      </x:c>
      <x:c r="F29" s="8">
        <x:v>4</x:v>
      </x:c>
      <x:c r="G29" s="7" t="str">
        <x:v>Paripurna</x:v>
      </x:c>
      <x:c r="H29" s="8">
        <x:v>3994</x:v>
      </x:c>
      <x:c r="I29" s="9">
        <x:v>16011473500</x:v>
      </x:c>
      <x:c r="J29" s="9">
        <x:v>18039127923.79</x:v>
      </x:c>
      <x:c r="K29" s="8">
        <x:v>548588</x:v>
      </x:c>
      <x:c r="L29" s="9">
        <x:v>634042526645</x:v>
      </x:c>
      <x:c r="M29" s="9">
        <x:v>723470530848.4209</x:v>
      </x:c>
      <x:c r="N29" s="11" t="n">
        <x:f>MAX(K29-H29,0)</x:f>
        <x:v>544594</x:v>
      </x:c>
      <x:c r="O29" s="12" t="n">
        <x:f>MAX(M29-J29,0)</x:f>
        <x:v>705431402924.6309</x:v>
      </x:c>
      <x:c r="P29" s="11" t="n">
        <x:f>'01B_Kompetitor_RS'!K8</x:f>
        <x:v>6</x:v>
      </x:c>
      <x:c r="Q29" s="11" t="n">
        <x:f>'01B_Kompetitor_RS'!M8</x:f>
        <x:v>16</x:v>
      </x:c>
      <x:c r="R29" s="5" t="str">
        <x:f>'01B_Kompetitor_RS'!N8</x:f>
        <x: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x:v>
      </x:c>
    </x:row>
    <x:row r="30">
      <x:c r="A30" s="8">
        <x:v>8</x:v>
      </x:c>
      <x:c r="B30" s="7" t="str">
        <x:v>JIWA</x:v>
      </x:c>
      <x:c r="C30" s="7" t="str">
        <x:v>Jiwa</x:v>
      </x:c>
      <x:c r="D30" s="8">
        <x:v>4</x:v>
      </x:c>
      <x:c r="E30" s="7" t="str">
        <x:v>Paripurna</x:v>
      </x:c>
      <x:c r="F30" s="8">
        <x:v>1</x:v>
      </x:c>
      <x:c r="G30" s="7" t="str">
        <x:v>Dasar</x:v>
      </x:c>
      <x:c r="H30" s="8">
        <x:v>660</x:v>
      </x:c>
      <x:c r="I30" s="9">
        <x:v>268441400</x:v>
      </x:c>
      <x:c r="J30" s="9">
        <x:v>180797832.14000002</x:v>
      </x:c>
      <x:c r="K30" s="8">
        <x:v>967765</x:v>
      </x:c>
      <x:c r="L30" s="9">
        <x:v>233639653200</x:v>
      </x:c>
      <x:c r="M30" s="9">
        <x:v>264800352827.97028</x:v>
      </x:c>
      <x:c r="N30" s="11" t="n">
        <x:f>MAX(K30-H30,0)</x:f>
        <x:v>967105</x:v>
      </x:c>
      <x:c r="O30" s="12" t="n">
        <x:f>MAX(M30-J30,0)</x:f>
        <x:v>264619554995.83026</x:v>
      </x:c>
      <x:c r="P30" s="11" t="n">
        <x:f>'01B_Kompetitor_RS'!E9</x:f>
        <x:v>767</x:v>
      </x:c>
      <x:c r="Q30" s="11" t="n">
        <x:f>'01B_Kompetitor_RS'!M9</x:f>
        <x:v>8</x:v>
      </x:c>
      <x:c r="R30" s="5" t="str">
        <x:f>'01B_Kompetitor_RS'!N9</x:f>
        <x: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x:v>
      </x:c>
    </x:row>
    <x:row r="31">
      <x:c r="A31" s="8">
        <x:v>8</x:v>
      </x:c>
      <x:c r="B31" s="7" t="str">
        <x:v>JIWA</x:v>
      </x:c>
      <x:c r="C31" s="7" t="str">
        <x:v>Jiwa</x:v>
      </x:c>
      <x:c r="D31" s="8">
        <x:v>4</x:v>
      </x:c>
      <x:c r="E31" s="7" t="str">
        <x:v>Paripurna</x:v>
      </x:c>
      <x:c r="F31" s="8">
        <x:v>2</x:v>
      </x:c>
      <x:c r="G31" s="7" t="str">
        <x:v>Madya</x:v>
      </x:c>
      <x:c r="H31" s="8">
        <x:v>393</x:v>
      </x:c>
      <x:c r="I31" s="9">
        <x:v>282974200</x:v>
      </x:c>
      <x:c r="J31" s="9">
        <x:v>255386056.26999998</x:v>
      </x:c>
      <x:c r="K31" s="8">
        <x:v>703185</x:v>
      </x:c>
      <x:c r="L31" s="9">
        <x:v>331804803900</x:v>
      </x:c>
      <x:c r="M31" s="9">
        <x:v>406024335611.1198</x:v>
      </x:c>
      <x:c r="N31" s="11" t="n">
        <x:f>MAX(K31-H31,0)</x:f>
        <x:v>702792</x:v>
      </x:c>
      <x:c r="O31" s="12" t="n">
        <x:f>MAX(M31-J31,0)</x:f>
        <x:v>405768949554.8498</x:v>
      </x:c>
      <x:c r="P31" s="11" t="n">
        <x:f>'01B_Kompetitor_RS'!G9</x:f>
        <x:v>137</x:v>
      </x:c>
      <x:c r="Q31" s="11" t="n">
        <x:f>'01B_Kompetitor_RS'!M9</x:f>
        <x:v>8</x:v>
      </x:c>
      <x:c r="R31" s="5" t="str">
        <x:f>'01B_Kompetitor_RS'!N9</x:f>
        <x: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x:v>
      </x:c>
    </x:row>
    <x:row r="32">
      <x:c r="A32" s="8">
        <x:v>8</x:v>
      </x:c>
      <x:c r="B32" s="7" t="str">
        <x:v>JIWA</x:v>
      </x:c>
      <x:c r="C32" s="7" t="str">
        <x:v>Jiwa</x:v>
      </x:c>
      <x:c r="D32" s="8">
        <x:v>4</x:v>
      </x:c>
      <x:c r="E32" s="7" t="str">
        <x:v>Paripurna</x:v>
      </x:c>
      <x:c r="F32" s="8">
        <x:v>3</x:v>
      </x:c>
      <x:c r="G32" s="7" t="str">
        <x:v>Utama</x:v>
      </x:c>
      <x:c r="H32" s="8">
        <x:v>1120</x:v>
      </x:c>
      <x:c r="I32" s="9">
        <x:v>947374700</x:v>
      </x:c>
      <x:c r="J32" s="9">
        <x:v>776993671.49</x:v>
      </x:c>
      <x:c r="K32" s="8">
        <x:v>1011256</x:v>
      </x:c>
      <x:c r="L32" s="9">
        <x:v>292073241450</x:v>
      </x:c>
      <x:c r="M32" s="9">
        <x:v>342398322600.3303</x:v>
      </x:c>
      <x:c r="N32" s="11" t="n">
        <x:f>MAX(K32-H32,0)</x:f>
        <x:v>1010136</x:v>
      </x:c>
      <x:c r="O32" s="12" t="n">
        <x:f>MAX(M32-J32,0)</x:f>
        <x:v>341621328928.84033</x:v>
      </x:c>
      <x:c r="P32" s="11" t="n">
        <x:f>'01B_Kompetitor_RS'!I9</x:f>
        <x:v>10</x:v>
      </x:c>
      <x:c r="Q32" s="11" t="n">
        <x:f>'01B_Kompetitor_RS'!M9</x:f>
        <x:v>8</x:v>
      </x:c>
      <x:c r="R32" s="5" t="str">
        <x:f>'01B_Kompetitor_RS'!N9</x:f>
        <x: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x:v>
      </x:c>
    </x:row>
    <x:row r="33">
      <x:c r="A33" s="8">
        <x:v>8</x:v>
      </x:c>
      <x:c r="B33" s="7" t="str">
        <x:v>JIWA</x:v>
      </x:c>
      <x:c r="C33" s="7" t="str">
        <x:v>Jiwa</x:v>
      </x:c>
      <x:c r="D33" s="8">
        <x:v>4</x:v>
      </x:c>
      <x:c r="E33" s="7" t="str">
        <x:v>Paripurna</x:v>
      </x:c>
      <x:c r="F33" s="8">
        <x:v>4</x:v>
      </x:c>
      <x:c r="G33" s="7" t="str">
        <x:v>Paripurna</x:v>
      </x:c>
      <x:c r="H33" s="8">
        <x:v>717</x:v>
      </x:c>
      <x:c r="I33" s="9">
        <x:v>272641900</x:v>
      </x:c>
      <x:c r="J33" s="9">
        <x:v>169105650.95000002</x:v>
      </x:c>
      <x:c r="K33" s="8">
        <x:v>316516</x:v>
      </x:c>
      <x:c r="L33" s="9">
        <x:v>78244273800</x:v>
      </x:c>
      <x:c r="M33" s="9">
        <x:v>88147156412.98988</x:v>
      </x:c>
      <x:c r="N33" s="11" t="n">
        <x:f>MAX(K33-H33,0)</x:f>
        <x:v>315799</x:v>
      </x:c>
      <x:c r="O33" s="12" t="n">
        <x:f>MAX(M33-J33,0)</x:f>
        <x:v>87978050762.03989</x:v>
      </x:c>
      <x:c r="P33" s="11" t="n">
        <x:f>'01B_Kompetitor_RS'!K9</x:f>
        <x:v>8</x:v>
      </x:c>
      <x:c r="Q33" s="11" t="n">
        <x:f>'01B_Kompetitor_RS'!M9</x:f>
        <x:v>8</x:v>
      </x:c>
      <x:c r="R33" s="5" t="str">
        <x:f>'01B_Kompetitor_RS'!N9</x:f>
        <x: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x:v>
      </x:c>
    </x:row>
    <x:row r="34">
      <x:c r="A34" s="8">
        <x:v>9</x:v>
      </x:c>
      <x:c r="B34" s="7" t="str">
        <x:v>KERACUNAN</x:v>
      </x:c>
      <x:c r="C34" s="7" t="str">
        <x:v>Keracunan</x:v>
      </x:c>
      <x:c r="D34" s="8">
        <x:v>4</x:v>
      </x:c>
      <x:c r="E34" s="7" t="str">
        <x:v>Paripurna</x:v>
      </x:c>
      <x:c r="F34" s="8">
        <x:v>1</x:v>
      </x:c>
      <x:c r="G34" s="7" t="str">
        <x:v>Dasar</x:v>
      </x:c>
      <x:c r="H34" s="8">
        <x:v>19</x:v>
      </x:c>
      <x:c r="I34" s="9">
        <x:v>72143400</x:v>
      </x:c>
      <x:c r="J34" s="9">
        <x:v>74558393</x:v>
      </x:c>
      <x:c r="K34" s="8">
        <x:v>1786</x:v>
      </x:c>
      <x:c r="L34" s="9">
        <x:v>4392307200</x:v>
      </x:c>
      <x:c r="M34" s="9">
        <x:v>6298023300.39999</x:v>
      </x:c>
      <x:c r="N34" s="11" t="n">
        <x:f>MAX(K34-H34,0)</x:f>
        <x:v>1767</x:v>
      </x:c>
      <x:c r="O34" s="12" t="n">
        <x:f>MAX(M34-J34,0)</x:f>
        <x:v>6223464907.39999</x:v>
      </x:c>
      <x:c r="P34" s="11" t="n">
        <x:f>'01B_Kompetitor_RS'!E10</x:f>
        <x:v>634</x:v>
      </x:c>
      <x:c r="Q34" s="11" t="n">
        <x:f>'01B_Kompetitor_RS'!M10</x:f>
        <x:v>7</x:v>
      </x:c>
      <x:c r="R34" s="5" t="str">
        <x:f>'01B_Kompetitor_RS'!N10</x:f>
        <x: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35">
      <x:c r="A35" s="8">
        <x:v>9</x:v>
      </x:c>
      <x:c r="B35" s="7" t="str">
        <x:v>KERACUNAN</x:v>
      </x:c>
      <x:c r="C35" s="7" t="str">
        <x:v>Keracunan</x:v>
      </x:c>
      <x:c r="D35" s="8">
        <x:v>4</x:v>
      </x:c>
      <x:c r="E35" s="7" t="str">
        <x:v>Paripurna</x:v>
      </x:c>
      <x:c r="F35" s="8">
        <x:v>2</x:v>
      </x:c>
      <x:c r="G35" s="7" t="str">
        <x:v>Madya</x:v>
      </x:c>
      <x:c r="H35" s="8">
        <x:v>14</x:v>
      </x:c>
      <x:c r="I35" s="9">
        <x:v>80432700</x:v>
      </x:c>
      <x:c r="J35" s="9">
        <x:v>73539099</x:v>
      </x:c>
      <x:c r="K35" s="8">
        <x:v>7722</x:v>
      </x:c>
      <x:c r="L35" s="9">
        <x:v>18596356100</x:v>
      </x:c>
      <x:c r="M35" s="9">
        <x:v>26608264193.20007</x:v>
      </x:c>
      <x:c r="N35" s="11" t="n">
        <x:f>MAX(K35-H35,0)</x:f>
        <x:v>7708</x:v>
      </x:c>
      <x:c r="O35" s="12" t="n">
        <x:f>MAX(M35-J35,0)</x:f>
        <x:v>26534725094.20007</x:v>
      </x:c>
      <x:c r="P35" s="11" t="n">
        <x:f>'01B_Kompetitor_RS'!G10</x:f>
        <x:v>159</x:v>
      </x:c>
      <x:c r="Q35" s="11" t="n">
        <x:f>'01B_Kompetitor_RS'!M10</x:f>
        <x:v>7</x:v>
      </x:c>
      <x:c r="R35" s="5" t="str">
        <x:f>'01B_Kompetitor_RS'!N10</x:f>
        <x: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36">
      <x:c r="A36" s="8">
        <x:v>9</x:v>
      </x:c>
      <x:c r="B36" s="7" t="str">
        <x:v>KERACUNAN</x:v>
      </x:c>
      <x:c r="C36" s="7" t="str">
        <x:v>Keracunan</x:v>
      </x:c>
      <x:c r="D36" s="8">
        <x:v>4</x:v>
      </x:c>
      <x:c r="E36" s="7" t="str">
        <x:v>Paripurna</x:v>
      </x:c>
      <x:c r="F36" s="8">
        <x:v>3</x:v>
      </x:c>
      <x:c r="G36" s="7" t="str">
        <x:v>Utama</x:v>
      </x:c>
      <x:c r="H36" s="8">
        <x:v>142</x:v>
      </x:c>
      <x:c r="I36" s="9">
        <x:v>436075500</x:v>
      </x:c>
      <x:c r="J36" s="9">
        <x:v>451780382.8</x:v>
      </x:c>
      <x:c r="K36" s="8">
        <x:v>3263</x:v>
      </x:c>
      <x:c r="L36" s="9">
        <x:v>7571019800</x:v>
      </x:c>
      <x:c r="M36" s="9">
        <x:v>10741134544.799976</x:v>
      </x:c>
      <x:c r="N36" s="11" t="n">
        <x:f>MAX(K36-H36,0)</x:f>
        <x:v>3121</x:v>
      </x:c>
      <x:c r="O36" s="12" t="n">
        <x:f>MAX(M36-J36,0)</x:f>
        <x:v>10289354161.999977</x:v>
      </x:c>
      <x:c r="P36" s="11" t="n">
        <x:f>'01B_Kompetitor_RS'!I10</x:f>
        <x:v>75</x:v>
      </x:c>
      <x:c r="Q36" s="11" t="n">
        <x:f>'01B_Kompetitor_RS'!M10</x:f>
        <x:v>7</x:v>
      </x:c>
      <x:c r="R36" s="5" t="str">
        <x:f>'01B_Kompetitor_RS'!N10</x:f>
        <x: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37">
      <x:c r="A37" s="8">
        <x:v>9</x:v>
      </x:c>
      <x:c r="B37" s="7" t="str">
        <x:v>KERACUNAN</x:v>
      </x:c>
      <x:c r="C37" s="7" t="str">
        <x:v>Keracunan</x:v>
      </x:c>
      <x:c r="D37" s="8">
        <x:v>4</x:v>
      </x:c>
      <x:c r="E37" s="7" t="str">
        <x:v>Paripurna</x:v>
      </x:c>
      <x:c r="F37" s="8">
        <x:v>4</x:v>
      </x:c>
      <x:c r="G37" s="7" t="str">
        <x:v>Paripurna</x:v>
      </x:c>
      <x:c r="H37" s="8">
        <x:v>1</x:v>
      </x:c>
      <x:c r="I37" s="9">
        <x:v>6720900</x:v>
      </x:c>
      <x:c r="J37" s="9">
        <x:v>3134453.4</x:v>
      </x:c>
      <x:c r="K37" s="8">
        <x:v>188</x:v>
      </x:c>
      <x:c r="L37" s="9">
        <x:v>487195000</x:v>
      </x:c>
      <x:c r="M37" s="9">
        <x:v>696961187.9999996</x:v>
      </x:c>
      <x:c r="N37" s="11" t="n">
        <x:f>MAX(K37-H37,0)</x:f>
        <x:v>187</x:v>
      </x:c>
      <x:c r="O37" s="12" t="n">
        <x:f>MAX(M37-J37,0)</x:f>
        <x:v>693826734.5999997</x:v>
      </x:c>
      <x:c r="P37" s="11" t="n">
        <x:f>'01B_Kompetitor_RS'!K10</x:f>
        <x:v>7</x:v>
      </x:c>
      <x:c r="Q37" s="11" t="n">
        <x:f>'01B_Kompetitor_RS'!M10</x:f>
        <x:v>7</x:v>
      </x:c>
      <x:c r="R37" s="5" t="str">
        <x:f>'01B_Kompetitor_RS'!N10</x:f>
        <x: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38">
      <x:c r="A38" s="8">
        <x:v>10</x:v>
      </x:c>
      <x:c r="B38" s="7" t="str">
        <x:v>KULIT &amp; PENYAKIT KELAMIN</x:v>
      </x:c>
      <x:c r="C38" s="7" t="str">
        <x:v>Kulit &amp; Penyakit Kelamin</x:v>
      </x:c>
      <x:c r="D38" s="8">
        <x:v>4</x:v>
      </x:c>
      <x:c r="E38" s="7" t="str">
        <x:v>Paripurna</x:v>
      </x:c>
      <x:c r="F38" s="8">
        <x:v>1</x:v>
      </x:c>
      <x:c r="G38" s="7" t="str">
        <x:v>Dasar</x:v>
      </x:c>
      <x:c r="H38" s="8">
        <x:v>5996</x:v>
      </x:c>
      <x:c r="I38" s="9">
        <x:v>2502003100</x:v>
      </x:c>
      <x:c r="J38" s="9">
        <x:v>2316780738.93</x:v>
      </x:c>
      <x:c r="K38" s="8">
        <x:v>804715</x:v>
      </x:c>
      <x:c r="L38" s="9">
        <x:v>187608602900</x:v>
      </x:c>
      <x:c r="M38" s="9">
        <x:v>223722836493.47995</x:v>
      </x:c>
      <x:c r="N38" s="11" t="n">
        <x:f>MAX(K38-H38,0)</x:f>
        <x:v>798719</x:v>
      </x:c>
      <x:c r="O38" s="12" t="n">
        <x:f>MAX(M38-J38,0)</x:f>
        <x:v>221406055754.54996</x:v>
      </x:c>
      <x:c r="P38" s="11" t="n">
        <x:f>'01B_Kompetitor_RS'!E11</x:f>
        <x:v>1220</x:v>
      </x:c>
      <x:c r="Q38" s="11" t="n">
        <x:f>'01B_Kompetitor_RS'!M11</x:f>
        <x:v>4</x:v>
      </x:c>
      <x:c r="R38" s="5" t="str">
        <x:f>'01B_Kompetitor_RS'!N11</x:f>
        <x:v>RS Umum Pusat Dr. Hasan Sadikin (Paripurna); RS Umum Daerah Dr. Soetomo (Paripurna); RSUP Prof. Dr. I.G.N.G. Ngoerah (Paripurna); RSUP Dr. Sardjito (Paripurna)</x:v>
      </x:c>
    </x:row>
    <x:row r="39">
      <x:c r="A39" s="8">
        <x:v>10</x:v>
      </x:c>
      <x:c r="B39" s="7" t="str">
        <x:v>KULIT &amp; PENYAKIT KELAMIN</x:v>
      </x:c>
      <x:c r="C39" s="7" t="str">
        <x:v>Kulit &amp; Penyakit Kelamin</x:v>
      </x:c>
      <x:c r="D39" s="8">
        <x:v>4</x:v>
      </x:c>
      <x:c r="E39" s="7" t="str">
        <x:v>Paripurna</x:v>
      </x:c>
      <x:c r="F39" s="8">
        <x:v>2</x:v>
      </x:c>
      <x:c r="G39" s="7" t="str">
        <x:v>Madya</x:v>
      </x:c>
      <x:c r="H39" s="8">
        <x:v>4867</x:v>
      </x:c>
      <x:c r="I39" s="9">
        <x:v>2707795600</x:v>
      </x:c>
      <x:c r="J39" s="9">
        <x:v>1590355865.78</x:v>
      </x:c>
      <x:c r="K39" s="8">
        <x:v>352931</x:v>
      </x:c>
      <x:c r="L39" s="9">
        <x:v>149688408955</x:v>
      </x:c>
      <x:c r="M39" s="9">
        <x:v>170983381425.77972</x:v>
      </x:c>
      <x:c r="N39" s="11" t="n">
        <x:f>MAX(K39-H39,0)</x:f>
        <x:v>348064</x:v>
      </x:c>
      <x:c r="O39" s="12" t="n">
        <x:f>MAX(M39-J39,0)</x:f>
        <x:v>169393025559.99973</x:v>
      </x:c>
      <x:c r="P39" s="11" t="n">
        <x:f>'01B_Kompetitor_RS'!G11</x:f>
        <x:v>224</x:v>
      </x:c>
      <x:c r="Q39" s="11" t="n">
        <x:f>'01B_Kompetitor_RS'!M11</x:f>
        <x:v>4</x:v>
      </x:c>
      <x:c r="R39" s="5" t="str">
        <x:f>'01B_Kompetitor_RS'!N11</x:f>
        <x:v>RS Umum Pusat Dr. Hasan Sadikin (Paripurna); RS Umum Daerah Dr. Soetomo (Paripurna); RSUP Prof. Dr. I.G.N.G. Ngoerah (Paripurna); RSUP Dr. Sardjito (Paripurna)</x:v>
      </x:c>
    </x:row>
    <x:row r="40">
      <x:c r="A40" s="8">
        <x:v>10</x:v>
      </x:c>
      <x:c r="B40" s="7" t="str">
        <x:v>KULIT &amp; PENYAKIT KELAMIN</x:v>
      </x:c>
      <x:c r="C40" s="7" t="str">
        <x:v>Kulit &amp; Penyakit Kelamin</x:v>
      </x:c>
      <x:c r="D40" s="8">
        <x:v>4</x:v>
      </x:c>
      <x:c r="E40" s="7" t="str">
        <x:v>Paripurna</x:v>
      </x:c>
      <x:c r="F40" s="8">
        <x:v>3</x:v>
      </x:c>
      <x:c r="G40" s="7" t="str">
        <x:v>Utama</x:v>
      </x:c>
      <x:c r="H40" s="8">
        <x:v>7100</x:v>
      </x:c>
      <x:c r="I40" s="9">
        <x:v>3413862100</x:v>
      </x:c>
      <x:c r="J40" s="9">
        <x:v>2569172172.88</x:v>
      </x:c>
      <x:c r="K40" s="8">
        <x:v>557837</x:v>
      </x:c>
      <x:c r="L40" s="9">
        <x:v>155935036600</x:v>
      </x:c>
      <x:c r="M40" s="9">
        <x:v>180125580748.59</x:v>
      </x:c>
      <x:c r="N40" s="11" t="n">
        <x:f>MAX(K40-H40,0)</x:f>
        <x:v>550737</x:v>
      </x:c>
      <x:c r="O40" s="12" t="n">
        <x:f>MAX(M40-J40,0)</x:f>
        <x:v>177556408575.71</x:v>
      </x:c>
      <x:c r="P40" s="11" t="n">
        <x:f>'01B_Kompetitor_RS'!I11</x:f>
        <x:v>4</x:v>
      </x:c>
      <x:c r="Q40" s="11" t="n">
        <x:f>'01B_Kompetitor_RS'!M11</x:f>
        <x:v>4</x:v>
      </x:c>
      <x:c r="R40" s="5" t="str">
        <x:f>'01B_Kompetitor_RS'!N11</x:f>
        <x:v>RS Umum Pusat Dr. Hasan Sadikin (Paripurna); RS Umum Daerah Dr. Soetomo (Paripurna); RSUP Prof. Dr. I.G.N.G. Ngoerah (Paripurna); RSUP Dr. Sardjito (Paripurna)</x:v>
      </x:c>
    </x:row>
    <x:row r="41">
      <x:c r="A41" s="8">
        <x:v>10</x:v>
      </x:c>
      <x:c r="B41" s="7" t="str">
        <x:v>KULIT &amp; PENYAKIT KELAMIN</x:v>
      </x:c>
      <x:c r="C41" s="7" t="str">
        <x:v>Kulit &amp; Penyakit Kelamin</x:v>
      </x:c>
      <x:c r="D41" s="8">
        <x:v>4</x:v>
      </x:c>
      <x:c r="E41" s="7" t="str">
        <x:v>Paripurna</x:v>
      </x:c>
      <x:c r="F41" s="8">
        <x:v>4</x:v>
      </x:c>
      <x:c r="G41" s="7" t="str">
        <x:v>Paripurna</x:v>
      </x:c>
      <x:c r="H41" s="8">
        <x:v>60</x:v>
      </x:c>
      <x:c r="I41" s="9">
        <x:v>39134000</x:v>
      </x:c>
      <x:c r="J41" s="9">
        <x:v>24613973.52</x:v>
      </x:c>
      <x:c r="K41" s="8">
        <x:v>8522</x:v>
      </x:c>
      <x:c r="L41" s="9">
        <x:v>8091808100</x:v>
      </x:c>
      <x:c r="M41" s="9">
        <x:v>5825902335.799991</x:v>
      </x:c>
      <x:c r="N41" s="11" t="n">
        <x:f>MAX(K41-H41,0)</x:f>
        <x:v>8462</x:v>
      </x:c>
      <x:c r="O41" s="12" t="n">
        <x:f>MAX(M41-J41,0)</x:f>
        <x:v>5801288362.27999</x:v>
      </x:c>
      <x:c r="P41" s="11" t="n">
        <x:f>'01B_Kompetitor_RS'!K11</x:f>
        <x:v>4</x:v>
      </x:c>
      <x:c r="Q41" s="11" t="n">
        <x:f>'01B_Kompetitor_RS'!M11</x:f>
        <x:v>4</x:v>
      </x:c>
      <x:c r="R41" s="5" t="str">
        <x:f>'01B_Kompetitor_RS'!N11</x:f>
        <x:v>RS Umum Pusat Dr. Hasan Sadikin (Paripurna); RS Umum Daerah Dr. Soetomo (Paripurna); RSUP Prof. Dr. I.G.N.G. Ngoerah (Paripurna); RSUP Dr. Sardjito (Paripurna)</x:v>
      </x:c>
    </x:row>
    <x:row r="42">
      <x:c r="A42" s="8">
        <x:v>11</x:v>
      </x:c>
      <x:c r="B42" s="7" t="str">
        <x:v>LUKA BAKAR</x:v>
      </x:c>
      <x:c r="C42" s="7" t="str">
        <x:v>Luka Bakar</x:v>
      </x:c>
      <x:c r="D42" s="8">
        <x:v>4</x:v>
      </x:c>
      <x:c r="E42" s="7" t="str">
        <x:v>Paripurna</x:v>
      </x:c>
      <x:c r="F42" s="8">
        <x:v>1</x:v>
      </x:c>
      <x:c r="G42" s="7" t="str">
        <x:v>Dasar</x:v>
      </x:c>
      <x:c r="H42" s="8">
        <x:v>89</x:v>
      </x:c>
      <x:c r="I42" s="9">
        <x:v>100303500</x:v>
      </x:c>
      <x:c r="J42" s="9">
        <x:v>101113156.47</x:v>
      </x:c>
      <x:c r="K42" s="8">
        <x:v>14781</x:v>
      </x:c>
      <x:c r="L42" s="9">
        <x:v>7800974500</x:v>
      </x:c>
      <x:c r="M42" s="9">
        <x:v>10324197258.690023</x:v>
      </x:c>
      <x:c r="N42" s="11" t="n">
        <x:f>MAX(K42-H42,0)</x:f>
        <x:v>14692</x:v>
      </x:c>
      <x:c r="O42" s="12" t="n">
        <x:f>MAX(M42-J42,0)</x:f>
        <x:v>10223084102.220024</x:v>
      </x:c>
      <x:c r="P42" s="11" t="n">
        <x:f>'01B_Kompetitor_RS'!E12</x:f>
        <x:v>898</x:v>
      </x:c>
      <x:c r="Q42" s="11" t="n">
        <x:f>'01B_Kompetitor_RS'!M12</x:f>
        <x:v>10</x:v>
      </x:c>
      <x:c r="R42" s="5" t="str">
        <x:f>'01B_Kompetitor_RS'!N12</x:f>
        <x: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x:v>
      </x:c>
    </x:row>
    <x:row r="43">
      <x:c r="A43" s="8">
        <x:v>11</x:v>
      </x:c>
      <x:c r="B43" s="7" t="str">
        <x:v>LUKA BAKAR</x:v>
      </x:c>
      <x:c r="C43" s="7" t="str">
        <x:v>Luka Bakar</x:v>
      </x:c>
      <x:c r="D43" s="8">
        <x:v>4</x:v>
      </x:c>
      <x:c r="E43" s="7" t="str">
        <x:v>Paripurna</x:v>
      </x:c>
      <x:c r="F43" s="8">
        <x:v>2</x:v>
      </x:c>
      <x:c r="G43" s="7" t="str">
        <x:v>Madya</x:v>
      </x:c>
      <x:c r="H43" s="8">
        <x:v>32</x:v>
      </x:c>
      <x:c r="I43" s="9">
        <x:v>113577300</x:v>
      </x:c>
      <x:c r="J43" s="9">
        <x:v>56579904.279999994</x:v>
      </x:c>
      <x:c r="K43" s="8">
        <x:v>4712</x:v>
      </x:c>
      <x:c r="L43" s="9">
        <x:v>14708531100</x:v>
      </x:c>
      <x:c r="M43" s="9">
        <x:v>16833679197.300005</x:v>
      </x:c>
      <x:c r="N43" s="11" t="n">
        <x:f>MAX(K43-H43,0)</x:f>
        <x:v>4680</x:v>
      </x:c>
      <x:c r="O43" s="12" t="n">
        <x:f>MAX(M43-J43,0)</x:f>
        <x:v>16777099293.020004</x:v>
      </x:c>
      <x:c r="P43" s="11" t="n">
        <x:f>'01B_Kompetitor_RS'!G12</x:f>
        <x:v>132</x:v>
      </x:c>
      <x:c r="Q43" s="11" t="n">
        <x:f>'01B_Kompetitor_RS'!M12</x:f>
        <x:v>10</x:v>
      </x:c>
      <x:c r="R43" s="5" t="str">
        <x:f>'01B_Kompetitor_RS'!N12</x:f>
        <x: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x:v>
      </x:c>
    </x:row>
    <x:row r="44">
      <x:c r="A44" s="8">
        <x:v>11</x:v>
      </x:c>
      <x:c r="B44" s="7" t="str">
        <x:v>LUKA BAKAR</x:v>
      </x:c>
      <x:c r="C44" s="7" t="str">
        <x:v>Luka Bakar</x:v>
      </x:c>
      <x:c r="D44" s="8">
        <x:v>4</x:v>
      </x:c>
      <x:c r="E44" s="7" t="str">
        <x:v>Paripurna</x:v>
      </x:c>
      <x:c r="F44" s="8">
        <x:v>3</x:v>
      </x:c>
      <x:c r="G44" s="7" t="str">
        <x:v>Utama</x:v>
      </x:c>
      <x:c r="H44" s="8">
        <x:v>79</x:v>
      </x:c>
      <x:c r="I44" s="9">
        <x:v>698476000</x:v>
      </x:c>
      <x:c r="J44" s="9">
        <x:v>469688012.37000006</x:v>
      </x:c>
      <x:c r="K44" s="8">
        <x:v>7886</x:v>
      </x:c>
      <x:c r="L44" s="9">
        <x:v>55477122900</x:v>
      </x:c>
      <x:c r="M44" s="9">
        <x:v>60701474933.08988</x:v>
      </x:c>
      <x:c r="N44" s="11" t="n">
        <x:f>MAX(K44-H44,0)</x:f>
        <x:v>7807</x:v>
      </x:c>
      <x:c r="O44" s="12" t="n">
        <x:f>MAX(M44-J44,0)</x:f>
        <x:v>60231786920.71988</x:v>
      </x:c>
      <x:c r="P44" s="11" t="n">
        <x:f>'01B_Kompetitor_RS'!I12</x:f>
        <x:v>27</x:v>
      </x:c>
      <x:c r="Q44" s="11" t="n">
        <x:f>'01B_Kompetitor_RS'!M12</x:f>
        <x:v>10</x:v>
      </x:c>
      <x:c r="R44" s="5" t="str">
        <x:f>'01B_Kompetitor_RS'!N12</x:f>
        <x: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x:v>
      </x:c>
    </x:row>
    <x:row r="45">
      <x:c r="A45" s="8">
        <x:v>11</x:v>
      </x:c>
      <x:c r="B45" s="7" t="str">
        <x:v>LUKA BAKAR</x:v>
      </x:c>
      <x:c r="C45" s="7" t="str">
        <x:v>Luka Bakar</x:v>
      </x:c>
      <x:c r="D45" s="8">
        <x:v>4</x:v>
      </x:c>
      <x:c r="E45" s="7" t="str">
        <x:v>Paripurna</x:v>
      </x:c>
      <x:c r="F45" s="8">
        <x:v>4</x:v>
      </x:c>
      <x:c r="G45" s="7" t="str">
        <x:v>Paripurna</x:v>
      </x:c>
      <x:c r="H45" s="8">
        <x:v>3</x:v>
      </x:c>
      <x:c r="I45" s="9">
        <x:v>1131300</x:v>
      </x:c>
      <x:c r="J45" s="9">
        <x:v>802964.76</x:v>
      </x:c>
      <x:c r="K45" s="8">
        <x:v>216</x:v>
      </x:c>
      <x:c r="L45" s="9">
        <x:v>1553080000</x:v>
      </x:c>
      <x:c r="M45" s="9">
        <x:v>1377825958.87</x:v>
      </x:c>
      <x:c r="N45" s="11" t="n">
        <x:f>MAX(K45-H45,0)</x:f>
        <x:v>213</x:v>
      </x:c>
      <x:c r="O45" s="12" t="n">
        <x:f>MAX(M45-J45,0)</x:f>
        <x:v>1377022994.11</x:v>
      </x:c>
      <x:c r="P45" s="11" t="n">
        <x:f>'01B_Kompetitor_RS'!K12</x:f>
        <x:v>10</x:v>
      </x:c>
      <x:c r="Q45" s="11" t="n">
        <x:f>'01B_Kompetitor_RS'!M12</x:f>
        <x:v>10</x:v>
      </x:c>
      <x:c r="R45" s="5" t="str">
        <x:f>'01B_Kompetitor_RS'!N12</x:f>
        <x: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x:v>
      </x:c>
    </x:row>
    <x:row r="46">
      <x:c r="A46" s="8">
        <x:v>12</x:v>
      </x:c>
      <x:c r="B46" s="7" t="str">
        <x:v>MATA</x:v>
      </x:c>
      <x:c r="C46" s="7" t="str">
        <x:v>Mata</x:v>
      </x:c>
      <x:c r="D46" s="8">
        <x:v>3</x:v>
      </x:c>
      <x:c r="E46" s="7" t="str">
        <x:v>Utama</x:v>
      </x:c>
      <x:c r="F46" s="8">
        <x:v>1</x:v>
      </x:c>
      <x:c r="G46" s="7" t="str">
        <x:v>Dasar</x:v>
      </x:c>
      <x:c r="H46" s="8">
        <x:v>3397</x:v>
      </x:c>
      <x:c r="I46" s="9">
        <x:v>1437033400</x:v>
      </x:c>
      <x:c r="J46" s="9">
        <x:v>959286216.99</x:v>
      </x:c>
      <x:c r="K46" s="8">
        <x:v>2009444</x:v>
      </x:c>
      <x:c r="L46" s="9">
        <x:v>476534976600</x:v>
      </x:c>
      <x:c r="M46" s="9">
        <x:v>543537789715.77985</x:v>
      </x:c>
      <x:c r="N46" s="11" t="n">
        <x:f>MAX(K46-H46,0)</x:f>
        <x:v>2006047</x:v>
      </x:c>
      <x:c r="O46" s="12" t="n">
        <x:f>MAX(M46-J46,0)</x:f>
        <x:v>542578503498.78986</x:v>
      </x:c>
      <x:c r="P46" s="11" t="n">
        <x:f>'01B_Kompetitor_RS'!E13</x:f>
        <x:v>546</x:v>
      </x:c>
      <x:c r="Q46" s="11" t="n">
        <x:f>'01B_Kompetitor_RS'!M13</x:f>
        <x:v>17</x:v>
      </x:c>
      <x:c r="R46" s="5" t="str">
        <x:f>'01B_Kompetitor_RS'!N13</x:f>
        <x: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x:v>
      </x:c>
    </x:row>
    <x:row r="47">
      <x:c r="A47" s="8">
        <x:v>12</x:v>
      </x:c>
      <x:c r="B47" s="7" t="str">
        <x:v>MATA</x:v>
      </x:c>
      <x:c r="C47" s="7" t="str">
        <x:v>Mata</x:v>
      </x:c>
      <x:c r="D47" s="8">
        <x:v>3</x:v>
      </x:c>
      <x:c r="E47" s="7" t="str">
        <x:v>Utama</x:v>
      </x:c>
      <x:c r="F47" s="8">
        <x:v>2</x:v>
      </x:c>
      <x:c r="G47" s="7" t="str">
        <x:v>Madya</x:v>
      </x:c>
      <x:c r="H47" s="8">
        <x:v>3664</x:v>
      </x:c>
      <x:c r="I47" s="9">
        <x:v>4506044400</x:v>
      </x:c>
      <x:c r="J47" s="9">
        <x:v>3785187954.11</x:v>
      </x:c>
      <x:c r="K47" s="8">
        <x:v>936878</x:v>
      </x:c>
      <x:c r="L47" s="9">
        <x:v>1807427746405</x:v>
      </x:c>
      <x:c r="M47" s="9">
        <x:v>1830496617260.0198</x:v>
      </x:c>
      <x:c r="N47" s="11" t="n">
        <x:f>MAX(K47-H47,0)</x:f>
        <x:v>933214</x:v>
      </x:c>
      <x:c r="O47" s="12" t="n">
        <x:f>MAX(M47-J47,0)</x:f>
        <x:v>1826711429305.9097</x:v>
      </x:c>
      <x:c r="P47" s="11" t="n">
        <x:f>'01B_Kompetitor_RS'!G13</x:f>
        <x:v>449</x:v>
      </x:c>
      <x:c r="Q47" s="11" t="n">
        <x:f>'01B_Kompetitor_RS'!M13</x:f>
        <x:v>17</x:v>
      </x:c>
      <x:c r="R47" s="5" t="str">
        <x:f>'01B_Kompetitor_RS'!N13</x:f>
        <x: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x:v>
      </x:c>
    </x:row>
    <x:row r="48">
      <x:c r="A48" s="8">
        <x:v>12</x:v>
      </x:c>
      <x:c r="B48" s="7" t="str">
        <x:v>MATA</x:v>
      </x:c>
      <x:c r="C48" s="7" t="str">
        <x:v>Mata</x:v>
      </x:c>
      <x:c r="D48" s="8">
        <x:v>3</x:v>
      </x:c>
      <x:c r="E48" s="7" t="str">
        <x:v>Utama</x:v>
      </x:c>
      <x:c r="F48" s="8">
        <x:v>3</x:v>
      </x:c>
      <x:c r="G48" s="7" t="str">
        <x:v>Utama</x:v>
      </x:c>
      <x:c r="H48" s="8">
        <x:v>1747</x:v>
      </x:c>
      <x:c r="I48" s="9">
        <x:v>5697043000</x:v>
      </x:c>
      <x:c r="J48" s="9">
        <x:v>5330412177.91</x:v>
      </x:c>
      <x:c r="K48" s="8">
        <x:v>650599</x:v>
      </x:c>
      <x:c r="L48" s="9">
        <x:v>743969179700</x:v>
      </x:c>
      <x:c r="M48" s="9">
        <x:v>783290886496.9312</x:v>
      </x:c>
      <x:c r="N48" s="11" t="n">
        <x:f>MAX(K48-H48,0)</x:f>
        <x:v>648852</x:v>
      </x:c>
      <x:c r="O48" s="12" t="n">
        <x:f>MAX(M48-J48,0)</x:f>
        <x:v>777960474319.0211</x:v>
      </x:c>
      <x:c r="P48" s="11" t="n">
        <x:f>'01B_Kompetitor_RS'!I13</x:f>
        <x:v>11</x:v>
      </x:c>
      <x:c r="Q48" s="11" t="n">
        <x:f>'01B_Kompetitor_RS'!M13</x:f>
        <x:v>17</x:v>
      </x:c>
      <x:c r="R48" s="5" t="str">
        <x:f>'01B_Kompetitor_RS'!N13</x:f>
        <x: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x:v>
      </x:c>
    </x:row>
    <x:row r="49">
      <x:c r="A49" s="8">
        <x:v>12</x:v>
      </x:c>
      <x:c r="B49" s="7" t="str">
        <x:v>MATA</x:v>
      </x:c>
      <x:c r="C49" s="7" t="str">
        <x:v>Mata</x:v>
      </x:c>
      <x:c r="D49" s="8">
        <x:v>3</x:v>
      </x:c>
      <x:c r="E49" s="7" t="str">
        <x:v>Utama</x:v>
      </x:c>
      <x:c r="F49" s="8">
        <x:v>4</x:v>
      </x:c>
      <x:c r="G49" s="7" t="str">
        <x:v>Paripurna</x:v>
      </x:c>
      <x:c r="H49" s="8">
        <x:v>687</x:v>
      </x:c>
      <x:c r="I49" s="9">
        <x:v>500152600</x:v>
      </x:c>
      <x:c r="J49" s="9">
        <x:v>521996881.27</x:v>
      </x:c>
      <x:c r="K49" s="8">
        <x:v>105539</x:v>
      </x:c>
      <x:c r="L49" s="9">
        <x:v>92704594100</x:v>
      </x:c>
      <x:c r="M49" s="9">
        <x:v>102653181319.94016</x:v>
      </x:c>
      <x:c r="N49" s="11" t="n">
        <x:f>MAX(K49-H49,0)</x:f>
        <x:v>104852</x:v>
      </x:c>
      <x:c r="O49" s="12" t="n">
        <x:f>MAX(M49-J49,0)</x:f>
        <x:v>102131184438.67015</x:v>
      </x:c>
      <x:c r="P49" s="11" t="n">
        <x:f>'01B_Kompetitor_RS'!K13</x:f>
        <x:v>6</x:v>
      </x:c>
      <x:c r="Q49" s="11" t="n">
        <x:f>'01B_Kompetitor_RS'!M13</x:f>
        <x:v>17</x:v>
      </x:c>
      <x:c r="R49" s="5" t="str">
        <x:f>'01B_Kompetitor_RS'!N13</x:f>
        <x: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x:v>
      </x:c>
    </x:row>
    <x:row r="50">
      <x:c r="A50" s="8">
        <x:v>13</x:v>
      </x:c>
      <x:c r="B50" s="7" t="str">
        <x:v>MUSCULOSKELETAL DAN JARINGAN LUNAK</x:v>
      </x:c>
      <x:c r="C50" s="7" t="str">
        <x:v>Muskuloskeletal &amp; Jaringan Lunak</x:v>
      </x:c>
      <x:c r="D50" s="8">
        <x:v>4</x:v>
      </x:c>
      <x:c r="E50" s="7" t="str">
        <x:v>Paripurna</x:v>
      </x:c>
      <x:c r="F50" s="8">
        <x:v>1</x:v>
      </x:c>
      <x:c r="G50" s="7" t="str">
        <x:v>Dasar</x:v>
      </x:c>
      <x:c r="H50" s="8">
        <x:v>22627</x:v>
      </x:c>
      <x:c r="I50" s="9">
        <x:v>20092376200</x:v>
      </x:c>
      <x:c r="J50" s="9">
        <x:v>15900121946.619999</x:v>
      </x:c>
      <x:c r="K50" s="8">
        <x:v>4709353</x:v>
      </x:c>
      <x:c r="L50" s="9">
        <x:v>1851148406350</x:v>
      </x:c>
      <x:c r="M50" s="9">
        <x:v>2012624159102.59</x:v>
      </x:c>
      <x:c r="N50" s="11" t="n">
        <x:f>MAX(K50-H50,0)</x:f>
        <x:v>4686726</x:v>
      </x:c>
      <x:c r="O50" s="12" t="n">
        <x:f>MAX(M50-J50,0)</x:f>
        <x:v>1996724037155.97</x:v>
      </x:c>
      <x:c r="P50" s="11" t="n">
        <x:f>'01B_Kompetitor_RS'!E14</x:f>
        <x:v>1168</x:v>
      </x:c>
      <x:c r="Q50" s="11" t="n">
        <x:f>'01B_Kompetitor_RS'!M14</x:f>
        <x:v>6</x:v>
      </x:c>
      <x:c r="R50" s="5" t="str">
        <x:f>'01B_Kompetitor_RS'!N14</x:f>
        <x:v>RS Umum Pusat Dr. Hasan Sadikin (Paripurna); RS Orthopedi Prof. Dr. R. Soeharso (Paripurna); RS Umum Pusat Dr. Kariadi (Paripurna); RS Umum Daerah Dr. Soetomo (Paripurna); RSUP Prof. Dr. I.G.N.G. Ngoerah (Paripurna); RSUP Dr. Sardjito (Paripurna)</x:v>
      </x:c>
    </x:row>
    <x:row r="51">
      <x:c r="A51" s="8">
        <x:v>13</x:v>
      </x:c>
      <x:c r="B51" s="7" t="str">
        <x:v>MUSCULOSKELETAL DAN JARINGAN LUNAK</x:v>
      </x:c>
      <x:c r="C51" s="7" t="str">
        <x:v>Muskuloskeletal &amp; Jaringan Lunak</x:v>
      </x:c>
      <x:c r="D51" s="8">
        <x:v>4</x:v>
      </x:c>
      <x:c r="E51" s="7" t="str">
        <x:v>Paripurna</x:v>
      </x:c>
      <x:c r="F51" s="8">
        <x:v>2</x:v>
      </x:c>
      <x:c r="G51" s="7" t="str">
        <x:v>Madya</x:v>
      </x:c>
      <x:c r="H51" s="8">
        <x:v>11020</x:v>
      </x:c>
      <x:c r="I51" s="9">
        <x:v>21650769700</x:v>
      </x:c>
      <x:c r="J51" s="9">
        <x:v>19161568645.8</x:v>
      </x:c>
      <x:c r="K51" s="8">
        <x:v>1233602</x:v>
      </x:c>
      <x:c r="L51" s="9">
        <x:v>2378203044505</x:v>
      </x:c>
      <x:c r="M51" s="9">
        <x:v>2932849316170.459</x:v>
      </x:c>
      <x:c r="N51" s="11" t="n">
        <x:f>MAX(K51-H51,0)</x:f>
        <x:v>1222582</x:v>
      </x:c>
      <x:c r="O51" s="12" t="n">
        <x:f>MAX(M51-J51,0)</x:f>
        <x:v>2913687747524.659</x:v>
      </x:c>
      <x:c r="P51" s="11" t="n">
        <x:f>'01B_Kompetitor_RS'!G14</x:f>
        <x:v>119</x:v>
      </x:c>
      <x:c r="Q51" s="11" t="n">
        <x:f>'01B_Kompetitor_RS'!M14</x:f>
        <x:v>6</x:v>
      </x:c>
      <x:c r="R51" s="5" t="str">
        <x:f>'01B_Kompetitor_RS'!N14</x:f>
        <x:v>RS Umum Pusat Dr. Hasan Sadikin (Paripurna); RS Orthopedi Prof. Dr. R. Soeharso (Paripurna); RS Umum Pusat Dr. Kariadi (Paripurna); RS Umum Daerah Dr. Soetomo (Paripurna); RSUP Prof. Dr. I.G.N.G. Ngoerah (Paripurna); RSUP Dr. Sardjito (Paripurna)</x:v>
      </x:c>
    </x:row>
    <x:row r="52">
      <x:c r="A52" s="8">
        <x:v>13</x:v>
      </x:c>
      <x:c r="B52" s="7" t="str">
        <x:v>MUSCULOSKELETAL DAN JARINGAN LUNAK</x:v>
      </x:c>
      <x:c r="C52" s="7" t="str">
        <x:v>Muskuloskeletal &amp; Jaringan Lunak</x:v>
      </x:c>
      <x:c r="D52" s="8">
        <x:v>4</x:v>
      </x:c>
      <x:c r="E52" s="7" t="str">
        <x:v>Paripurna</x:v>
      </x:c>
      <x:c r="F52" s="8">
        <x:v>3</x:v>
      </x:c>
      <x:c r="G52" s="7" t="str">
        <x:v>Utama</x:v>
      </x:c>
      <x:c r="H52" s="8">
        <x:v>6634</x:v>
      </x:c>
      <x:c r="I52" s="9">
        <x:v>21528399200</x:v>
      </x:c>
      <x:c r="J52" s="9">
        <x:v>20741240673.239998</x:v>
      </x:c>
      <x:c r="K52" s="8">
        <x:v>341875</x:v>
      </x:c>
      <x:c r="L52" s="9">
        <x:v>1037942362700</x:v>
      </x:c>
      <x:c r="M52" s="9">
        <x:v>1108214600325.9885</x:v>
      </x:c>
      <x:c r="N52" s="11" t="n">
        <x:f>MAX(K52-H52,0)</x:f>
        <x:v>335241</x:v>
      </x:c>
      <x:c r="O52" s="12" t="n">
        <x:f>MAX(M52-J52,0)</x:f>
        <x:v>1087473359652.7485</x:v>
      </x:c>
      <x:c r="P52" s="11" t="n">
        <x:f>'01B_Kompetitor_RS'!I14</x:f>
        <x:v>16</x:v>
      </x:c>
      <x:c r="Q52" s="11" t="n">
        <x:f>'01B_Kompetitor_RS'!M14</x:f>
        <x:v>6</x:v>
      </x:c>
      <x:c r="R52" s="5" t="str">
        <x:f>'01B_Kompetitor_RS'!N14</x:f>
        <x:v>RS Umum Pusat Dr. Hasan Sadikin (Paripurna); RS Orthopedi Prof. Dr. R. Soeharso (Paripurna); RS Umum Pusat Dr. Kariadi (Paripurna); RS Umum Daerah Dr. Soetomo (Paripurna); RSUP Prof. Dr. I.G.N.G. Ngoerah (Paripurna); RSUP Dr. Sardjito (Paripurna)</x:v>
      </x:c>
    </x:row>
    <x:row r="53">
      <x:c r="A53" s="8">
        <x:v>13</x:v>
      </x:c>
      <x:c r="B53" s="7" t="str">
        <x:v>MUSCULOSKELETAL DAN JARINGAN LUNAK</x:v>
      </x:c>
      <x:c r="C53" s="7" t="str">
        <x:v>Muskuloskeletal &amp; Jaringan Lunak</x:v>
      </x:c>
      <x:c r="D53" s="8">
        <x:v>4</x:v>
      </x:c>
      <x:c r="E53" s="7" t="str">
        <x:v>Paripurna</x:v>
      </x:c>
      <x:c r="F53" s="8">
        <x:v>4</x:v>
      </x:c>
      <x:c r="G53" s="7" t="str">
        <x:v>Paripurna</x:v>
      </x:c>
      <x:c r="H53" s="8">
        <x:v>610</x:v>
      </x:c>
      <x:c r="I53" s="9">
        <x:v>16855405000</x:v>
      </x:c>
      <x:c r="J53" s="9">
        <x:v>15280325929.97</x:v>
      </x:c>
      <x:c r="K53" s="8">
        <x:v>148959</x:v>
      </x:c>
      <x:c r="L53" s="9">
        <x:v>508129811100</x:v>
      </x:c>
      <x:c r="M53" s="9">
        <x:v>521275416638.2401</x:v>
      </x:c>
      <x:c r="N53" s="11" t="n">
        <x:f>MAX(K53-H53,0)</x:f>
        <x:v>148349</x:v>
      </x:c>
      <x:c r="O53" s="12" t="n">
        <x:f>MAX(M53-J53,0)</x:f>
        <x:v>505995090708.27014</x:v>
      </x:c>
      <x:c r="P53" s="11" t="n">
        <x:f>'01B_Kompetitor_RS'!K14</x:f>
        <x:v>6</x:v>
      </x:c>
      <x:c r="Q53" s="11" t="n">
        <x:f>'01B_Kompetitor_RS'!M14</x:f>
        <x:v>6</x:v>
      </x:c>
      <x:c r="R53" s="5" t="str">
        <x:f>'01B_Kompetitor_RS'!N14</x:f>
        <x:v>RS Umum Pusat Dr. Hasan Sadikin (Paripurna); RS Orthopedi Prof. Dr. R. Soeharso (Paripurna); RS Umum Pusat Dr. Kariadi (Paripurna); RS Umum Daerah Dr. Soetomo (Paripurna); RSUP Prof. Dr. I.G.N.G. Ngoerah (Paripurna); RSUP Dr. Sardjito (Paripurna)</x:v>
      </x:c>
    </x:row>
    <x:row r="54">
      <x:c r="A54" s="8">
        <x:v>14</x:v>
      </x:c>
      <x:c r="B54" s="7" t="str">
        <x:v>NEONATUS</x:v>
      </x:c>
      <x:c r="C54" s="7" t="str">
        <x:v>Neonatus</x:v>
      </x:c>
      <x:c r="D54" s="8">
        <x:v>3</x:v>
      </x:c>
      <x:c r="E54" s="7" t="str">
        <x:v>Utama</x:v>
      </x:c>
      <x:c r="F54" s="8">
        <x:v>1</x:v>
      </x:c>
      <x:c r="G54" s="7" t="str">
        <x:v>Dasar</x:v>
      </x:c>
      <x:c r="H54" s="8">
        <x:v>181</x:v>
      </x:c>
      <x:c r="I54" s="9">
        <x:v>410487600</x:v>
      </x:c>
      <x:c r="J54" s="9">
        <x:v>320398145.07000005</x:v>
      </x:c>
      <x:c r="K54" s="8">
        <x:v>55414</x:v>
      </x:c>
      <x:c r="L54" s="9">
        <x:v>103825518400</x:v>
      </x:c>
      <x:c r="M54" s="9">
        <x:v>124031991191.08032</x:v>
      </x:c>
      <x:c r="N54" s="11" t="n">
        <x:f>MAX(K54-H54,0)</x:f>
        <x:v>55233</x:v>
      </x:c>
      <x:c r="O54" s="12" t="n">
        <x:f>MAX(M54-J54,0)</x:f>
        <x:v>123711593046.01031</x:v>
      </x:c>
      <x:c r="P54" s="11" t="n">
        <x:f>'01B_Kompetitor_RS'!E15</x:f>
        <x:v>964</x:v>
      </x:c>
      <x:c r="Q54" s="11" t="n">
        <x:f>'01B_Kompetitor_RS'!M15</x:f>
        <x:v>16</x:v>
      </x:c>
      <x:c r="R54" s="5" t="str">
        <x:f>'01B_Kompetitor_RS'!N15</x:f>
        <x: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x:v>
      </x:c>
    </x:row>
    <x:row r="55">
      <x:c r="A55" s="8">
        <x:v>14</x:v>
      </x:c>
      <x:c r="B55" s="7" t="str">
        <x:v>NEONATUS</x:v>
      </x:c>
      <x:c r="C55" s="7" t="str">
        <x:v>Neonatus</x:v>
      </x:c>
      <x:c r="D55" s="8">
        <x:v>3</x:v>
      </x:c>
      <x:c r="E55" s="7" t="str">
        <x:v>Utama</x:v>
      </x:c>
      <x:c r="F55" s="8">
        <x:v>2</x:v>
      </x:c>
      <x:c r="G55" s="7" t="str">
        <x:v>Madya</x:v>
      </x:c>
      <x:c r="H55" s="8">
        <x:v>539</x:v>
      </x:c>
      <x:c r="I55" s="9">
        <x:v>5593132200</x:v>
      </x:c>
      <x:c r="J55" s="9">
        <x:v>3705299443.2000003</x:v>
      </x:c>
      <x:c r="K55" s="8">
        <x:v>169086</x:v>
      </x:c>
      <x:c r="L55" s="9">
        <x:v>704478662805</x:v>
      </x:c>
      <x:c r="M55" s="9">
        <x:v>1057480507173.2388</x:v>
      </x:c>
      <x:c r="N55" s="11" t="n">
        <x:f>MAX(K55-H55,0)</x:f>
        <x:v>168547</x:v>
      </x:c>
      <x:c r="O55" s="12" t="n">
        <x:f>MAX(M55-J55,0)</x:f>
        <x:v>1053775207730.0388</x:v>
      </x:c>
      <x:c r="P55" s="11" t="n">
        <x:f>'01B_Kompetitor_RS'!G15</x:f>
        <x:v>280</x:v>
      </x:c>
      <x:c r="Q55" s="11" t="n">
        <x:f>'01B_Kompetitor_RS'!M15</x:f>
        <x:v>16</x:v>
      </x:c>
      <x:c r="R55" s="5" t="str">
        <x:f>'01B_Kompetitor_RS'!N15</x:f>
        <x: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x:v>
      </x:c>
    </x:row>
    <x:row r="56">
      <x:c r="A56" s="8">
        <x:v>14</x:v>
      </x:c>
      <x:c r="B56" s="7" t="str">
        <x:v>NEONATUS</x:v>
      </x:c>
      <x:c r="C56" s="7" t="str">
        <x:v>Neonatus</x:v>
      </x:c>
      <x:c r="D56" s="8">
        <x:v>3</x:v>
      </x:c>
      <x:c r="E56" s="7" t="str">
        <x:v>Utama</x:v>
      </x:c>
      <x:c r="F56" s="8">
        <x:v>3</x:v>
      </x:c>
      <x:c r="G56" s="7" t="str">
        <x:v>Utama</x:v>
      </x:c>
      <x:c r="H56" s="8">
        <x:v>286</x:v>
      </x:c>
      <x:c r="I56" s="9">
        <x:v>1810596600</x:v>
      </x:c>
      <x:c r="J56" s="9">
        <x:v>781569284.71</x:v>
      </x:c>
      <x:c r="K56" s="8">
        <x:v>58813</x:v>
      </x:c>
      <x:c r="L56" s="9">
        <x:v>106259247500</x:v>
      </x:c>
      <x:c r="M56" s="9">
        <x:v>118841198072.85022</x:v>
      </x:c>
      <x:c r="N56" s="11" t="n">
        <x:f>MAX(K56-H56,0)</x:f>
        <x:v>58527</x:v>
      </x:c>
      <x:c r="O56" s="12" t="n">
        <x:f>MAX(M56-J56,0)</x:f>
        <x:v>118059628788.14021</x:v>
      </x:c>
      <x:c r="P56" s="11" t="n">
        <x:f>'01B_Kompetitor_RS'!I15</x:f>
        <x:v>13</x:v>
      </x:c>
      <x:c r="Q56" s="11" t="n">
        <x:f>'01B_Kompetitor_RS'!M15</x:f>
        <x:v>16</x:v>
      </x:c>
      <x:c r="R56" s="5" t="str">
        <x:f>'01B_Kompetitor_RS'!N15</x:f>
        <x: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x:v>
      </x:c>
    </x:row>
    <x:row r="57">
      <x:c r="A57" s="8">
        <x:v>14</x:v>
      </x:c>
      <x:c r="B57" s="7" t="str">
        <x:v>NEONATUS</x:v>
      </x:c>
      <x:c r="C57" s="7" t="str">
        <x:v>Neonatus</x:v>
      </x:c>
      <x:c r="D57" s="8">
        <x:v>3</x:v>
      </x:c>
      <x:c r="E57" s="7" t="str">
        <x:v>Utama</x:v>
      </x:c>
      <x:c r="F57" s="8">
        <x:v>4</x:v>
      </x:c>
      <x:c r="G57" s="7" t="str">
        <x:v>Paripurna</x:v>
      </x:c>
      <x:c r="H57" s="8">
        <x:v>101</x:v>
      </x:c>
      <x:c r="I57" s="9">
        <x:v>143051600</x:v>
      </x:c>
      <x:c r="J57" s="9">
        <x:v>98761135.09</x:v>
      </x:c>
      <x:c r="K57" s="8">
        <x:v>13102</x:v>
      </x:c>
      <x:c r="L57" s="9">
        <x:v>26427632300</x:v>
      </x:c>
      <x:c r="M57" s="9">
        <x:v>30080964658.31993</x:v>
      </x:c>
      <x:c r="N57" s="11" t="n">
        <x:f>MAX(K57-H57,0)</x:f>
        <x:v>13001</x:v>
      </x:c>
      <x:c r="O57" s="12" t="n">
        <x:f>MAX(M57-J57,0)</x:f>
        <x:v>29982203523.22993</x:v>
      </x:c>
      <x:c r="P57" s="11" t="n">
        <x:f>'01B_Kompetitor_RS'!K15</x:f>
        <x:v>3</x:v>
      </x:c>
      <x:c r="Q57" s="11" t="n">
        <x:f>'01B_Kompetitor_RS'!M15</x:f>
        <x:v>16</x:v>
      </x:c>
      <x:c r="R57" s="5" t="str">
        <x:f>'01B_Kompetitor_RS'!N15</x:f>
        <x: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x:v>
      </x:c>
    </x:row>
    <x:row r="58">
      <x:c r="A58" s="8">
        <x:v>15</x:v>
      </x:c>
      <x:c r="B58" s="7" t="str">
        <x:v>NEOPLASMA</x:v>
      </x:c>
      <x:c r="C58" s="7" t="str">
        <x:v>Neoplasma</x:v>
      </x:c>
      <x:c r="D58" s="8">
        <x:v>3</x:v>
      </x:c>
      <x:c r="E58" s="7" t="str">
        <x:v>Utama</x:v>
      </x:c>
      <x:c r="F58" s="8">
        <x:v>1</x:v>
      </x:c>
      <x:c r="G58" s="7" t="str">
        <x:v>Dasar</x:v>
      </x:c>
      <x:c r="H58" s="8">
        <x:v>1943</x:v>
      </x:c>
      <x:c r="I58" s="9">
        <x:v>11803802900</x:v>
      </x:c>
      <x:c r="J58" s="9">
        <x:v>11529242065.05</x:v>
      </x:c>
      <x:c r="K58" s="8">
        <x:v>67189</x:v>
      </x:c>
      <x:c r="L58" s="9">
        <x:v>120648227000</x:v>
      </x:c>
      <x:c r="M58" s="9">
        <x:v>131188205386.88997</x:v>
      </x:c>
      <x:c r="N58" s="11" t="n">
        <x:f>MAX(K58-H58,0)</x:f>
        <x:v>65246</x:v>
      </x:c>
      <x:c r="O58" s="12" t="n">
        <x:f>MAX(M58-J58,0)</x:f>
        <x:v>119658963321.83997</x:v>
      </x:c>
      <x:c r="P58" s="11" t="n">
        <x:f>'01B_Kompetitor_RS'!E16</x:f>
        <x:v>1136</x:v>
      </x:c>
      <x:c r="Q58" s="11" t="n">
        <x:f>'01B_Kompetitor_RS'!M16</x:f>
        <x:v>7</x:v>
      </x:c>
      <x:c r="R58" s="5" t="str">
        <x:f>'01B_Kompetitor_RS'!N16</x:f>
        <x:v>RS Umum Pusat Dr. Hasan Sadikin (Paripurna); RS Primaya Bekasi Barat (Utama); RS Umum Daerah Prof Dr. Margono Soekarjo (Utama); RS Umum Pusat Dr. Kariadi (Utama); RS Umum Daerah Dr. Soetomo (Utama); RSUP Prof. Dr. I.G.N.G. Ngoerah (Utama); RSUP Dr. Sardjito (Paripurna)</x:v>
      </x:c>
    </x:row>
    <x:row r="59">
      <x:c r="A59" s="8">
        <x:v>15</x:v>
      </x:c>
      <x:c r="B59" s="7" t="str">
        <x:v>NEOPLASMA</x:v>
      </x:c>
      <x:c r="C59" s="7" t="str">
        <x:v>Neoplasma</x:v>
      </x:c>
      <x:c r="D59" s="8">
        <x:v>3</x:v>
      </x:c>
      <x:c r="E59" s="7" t="str">
        <x:v>Utama</x:v>
      </x:c>
      <x:c r="F59" s="8">
        <x:v>2</x:v>
      </x:c>
      <x:c r="G59" s="7" t="str">
        <x:v>Madya</x:v>
      </x:c>
      <x:c r="H59" s="8">
        <x:v>6239</x:v>
      </x:c>
      <x:c r="I59" s="9">
        <x:v>12979519100</x:v>
      </x:c>
      <x:c r="J59" s="9">
        <x:v>11013852823.85</x:v>
      </x:c>
      <x:c r="K59" s="8">
        <x:v>145629</x:v>
      </x:c>
      <x:c r="L59" s="9">
        <x:v>288452215800</x:v>
      </x:c>
      <x:c r="M59" s="9">
        <x:v>312857465508.5904</x:v>
      </x:c>
      <x:c r="N59" s="11" t="n">
        <x:f>MAX(K59-H59,0)</x:f>
        <x:v>139390</x:v>
      </x:c>
      <x:c r="O59" s="12" t="n">
        <x:f>MAX(M59-J59,0)</x:f>
        <x:v>301843612684.7404</x:v>
      </x:c>
      <x:c r="P59" s="11" t="n">
        <x:f>'01B_Kompetitor_RS'!G16</x:f>
        <x:v>47</x:v>
      </x:c>
      <x:c r="Q59" s="11" t="n">
        <x:f>'01B_Kompetitor_RS'!M16</x:f>
        <x:v>7</x:v>
      </x:c>
      <x:c r="R59" s="5" t="str">
        <x:f>'01B_Kompetitor_RS'!N16</x:f>
        <x:v>RS Umum Pusat Dr. Hasan Sadikin (Paripurna); RS Primaya Bekasi Barat (Utama); RS Umum Daerah Prof Dr. Margono Soekarjo (Utama); RS Umum Pusat Dr. Kariadi (Utama); RS Umum Daerah Dr. Soetomo (Utama); RSUP Prof. Dr. I.G.N.G. Ngoerah (Utama); RSUP Dr. Sardjito (Paripurna)</x:v>
      </x:c>
    </x:row>
    <x:row r="60">
      <x:c r="A60" s="8">
        <x:v>15</x:v>
      </x:c>
      <x:c r="B60" s="7" t="str">
        <x:v>NEOPLASMA</x:v>
      </x:c>
      <x:c r="C60" s="7" t="str">
        <x:v>Neoplasma</x:v>
      </x:c>
      <x:c r="D60" s="8">
        <x:v>3</x:v>
      </x:c>
      <x:c r="E60" s="7" t="str">
        <x:v>Utama</x:v>
      </x:c>
      <x:c r="F60" s="8">
        <x:v>3</x:v>
      </x:c>
      <x:c r="G60" s="7" t="str">
        <x:v>Utama</x:v>
      </x:c>
      <x:c r="H60" s="8">
        <x:v>18425</x:v>
      </x:c>
      <x:c r="I60" s="9">
        <x:v>44369419300</x:v>
      </x:c>
      <x:c r="J60" s="9">
        <x:v>42941268434.479996</x:v>
      </x:c>
      <x:c r="K60" s="8">
        <x:v>342048</x:v>
      </x:c>
      <x:c r="L60" s="9">
        <x:v>756413406000</x:v>
      </x:c>
      <x:c r="M60" s="9">
        <x:v>754576118177.1702</x:v>
      </x:c>
      <x:c r="N60" s="11" t="n">
        <x:f>MAX(K60-H60,0)</x:f>
        <x:v>323623</x:v>
      </x:c>
      <x:c r="O60" s="12" t="n">
        <x:f>MAX(M60-J60,0)</x:f>
        <x:v>711634849742.6902</x:v>
      </x:c>
      <x:c r="P60" s="11" t="n">
        <x:f>'01B_Kompetitor_RS'!I16</x:f>
        <x:v>5</x:v>
      </x:c>
      <x:c r="Q60" s="11" t="n">
        <x:f>'01B_Kompetitor_RS'!M16</x:f>
        <x:v>7</x:v>
      </x:c>
      <x:c r="R60" s="5" t="str">
        <x:f>'01B_Kompetitor_RS'!N16</x:f>
        <x:v>RS Umum Pusat Dr. Hasan Sadikin (Paripurna); RS Primaya Bekasi Barat (Utama); RS Umum Daerah Prof Dr. Margono Soekarjo (Utama); RS Umum Pusat Dr. Kariadi (Utama); RS Umum Daerah Dr. Soetomo (Utama); RSUP Prof. Dr. I.G.N.G. Ngoerah (Utama); RSUP Dr. Sardjito (Paripurna)</x:v>
      </x:c>
    </x:row>
    <x:row r="61">
      <x:c r="A61" s="8">
        <x:v>15</x:v>
      </x:c>
      <x:c r="B61" s="7" t="str">
        <x:v>NEOPLASMA</x:v>
      </x:c>
      <x:c r="C61" s="7" t="str">
        <x:v>Neoplasma</x:v>
      </x:c>
      <x:c r="D61" s="8">
        <x:v>3</x:v>
      </x:c>
      <x:c r="E61" s="7" t="str">
        <x:v>Utama</x:v>
      </x:c>
      <x:c r="F61" s="8">
        <x:v>4</x:v>
      </x:c>
      <x:c r="G61" s="7" t="str">
        <x:v>Paripurna</x:v>
      </x:c>
      <x:c r="H61" s="8">
        <x:v>14213</x:v>
      </x:c>
      <x:c r="I61" s="9">
        <x:v>20390360200</x:v>
      </x:c>
      <x:c r="J61" s="9">
        <x:v>19524315494.02</x:v>
      </x:c>
      <x:c r="K61" s="8">
        <x:v>363495</x:v>
      </x:c>
      <x:c r="L61" s="9">
        <x:v>471188313400</x:v>
      </x:c>
      <x:c r="M61" s="9">
        <x:v>493586895182.3102</x:v>
      </x:c>
      <x:c r="N61" s="11" t="n">
        <x:f>MAX(K61-H61,0)</x:f>
        <x:v>349282</x:v>
      </x:c>
      <x:c r="O61" s="12" t="n">
        <x:f>MAX(M61-J61,0)</x:f>
        <x:v>474062579688.29016</x:v>
      </x:c>
      <x:c r="P61" s="11" t="n">
        <x:f>'01B_Kompetitor_RS'!K16</x:f>
        <x:v>2</x:v>
      </x:c>
      <x:c r="Q61" s="11" t="n">
        <x:f>'01B_Kompetitor_RS'!M16</x:f>
        <x:v>7</x:v>
      </x:c>
      <x:c r="R61" s="5" t="str">
        <x:f>'01B_Kompetitor_RS'!N16</x:f>
        <x:v>RS Umum Pusat Dr. Hasan Sadikin (Paripurna); RS Primaya Bekasi Barat (Utama); RS Umum Daerah Prof Dr. Margono Soekarjo (Utama); RS Umum Pusat Dr. Kariadi (Utama); RS Umum Daerah Dr. Soetomo (Utama); RSUP Prof. Dr. I.G.N.G. Ngoerah (Utama); RSUP Dr. Sardjito (Paripurna)</x:v>
      </x:c>
    </x:row>
    <x:row r="62">
      <x:c r="A62" s="8">
        <x:v>16</x:v>
      </x:c>
      <x:c r="B62" s="7" t="str">
        <x:v>PARU DAN PERNAFASAN</x:v>
      </x:c>
      <x:c r="C62" s="7" t="str">
        <x:v>Paru &amp; Pernafasan</x:v>
      </x:c>
      <x:c r="D62" s="8">
        <x:v>3</x:v>
      </x:c>
      <x:c r="E62" s="7" t="str">
        <x:v>Utama</x:v>
      </x:c>
      <x:c r="F62" s="8">
        <x:v>1</x:v>
      </x:c>
      <x:c r="G62" s="7" t="str">
        <x:v>Dasar</x:v>
      </x:c>
      <x:c r="H62" s="8">
        <x:v>2315</x:v>
      </x:c>
      <x:c r="I62" s="9">
        <x:v>3366965400</x:v>
      </x:c>
      <x:c r="J62" s="9">
        <x:v>2594925509.77</x:v>
      </x:c>
      <x:c r="K62" s="8">
        <x:v>1702924</x:v>
      </x:c>
      <x:c r="L62" s="9">
        <x:v>807790946760</x:v>
      </x:c>
      <x:c r="M62" s="9">
        <x:v>903770861893.7896</x:v>
      </x:c>
      <x:c r="N62" s="11" t="n">
        <x:f>MAX(K62-H62,0)</x:f>
        <x:v>1700609</x:v>
      </x:c>
      <x:c r="O62" s="12" t="n">
        <x:f>MAX(M62-J62,0)</x:f>
        <x:v>901175936384.0195</x:v>
      </x:c>
      <x:c r="P62" s="11" t="n">
        <x:f>'01B_Kompetitor_RS'!E17</x:f>
        <x:v>920</x:v>
      </x:c>
      <x:c r="Q62" s="11" t="n">
        <x:f>'01B_Kompetitor_RS'!M17</x:f>
        <x:v>31</x:v>
      </x:c>
      <x:c r="R62" s="5" t="str">
        <x:f>'01B_Kompetitor_RS'!N17</x:f>
        <x: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x:v>
      </x:c>
    </x:row>
    <x:row r="63">
      <x:c r="A63" s="8">
        <x:v>16</x:v>
      </x:c>
      <x:c r="B63" s="7" t="str">
        <x:v>PARU DAN PERNAFASAN</x:v>
      </x:c>
      <x:c r="C63" s="7" t="str">
        <x:v>Paru &amp; Pernafasan</x:v>
      </x:c>
      <x:c r="D63" s="8">
        <x:v>3</x:v>
      </x:c>
      <x:c r="E63" s="7" t="str">
        <x:v>Utama</x:v>
      </x:c>
      <x:c r="F63" s="8">
        <x:v>2</x:v>
      </x:c>
      <x:c r="G63" s="7" t="str">
        <x:v>Madya</x:v>
      </x:c>
      <x:c r="H63" s="8">
        <x:v>2440</x:v>
      </x:c>
      <x:c r="I63" s="9">
        <x:v>10868538900</x:v>
      </x:c>
      <x:c r="J63" s="9">
        <x:v>8204187299.16</x:v>
      </x:c>
      <x:c r="K63" s="8">
        <x:v>1421392</x:v>
      </x:c>
      <x:c r="L63" s="9">
        <x:v>3387140617840</x:v>
      </x:c>
      <x:c r="M63" s="9">
        <x:v>3781163600908.8296</x:v>
      </x:c>
      <x:c r="N63" s="11" t="n">
        <x:f>MAX(K63-H63,0)</x:f>
        <x:v>1418952</x:v>
      </x:c>
      <x:c r="O63" s="12" t="n">
        <x:f>MAX(M63-J63,0)</x:f>
        <x:v>3772959413609.6694</x:v>
      </x:c>
      <x:c r="P63" s="11" t="n">
        <x:f>'01B_Kompetitor_RS'!G17</x:f>
        <x:v>272</x:v>
      </x:c>
      <x:c r="Q63" s="11" t="n">
        <x:f>'01B_Kompetitor_RS'!M17</x:f>
        <x:v>31</x:v>
      </x:c>
      <x:c r="R63" s="5" t="str">
        <x:f>'01B_Kompetitor_RS'!N17</x:f>
        <x: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x:v>
      </x:c>
    </x:row>
    <x:row r="64">
      <x:c r="A64" s="8">
        <x:v>16</x:v>
      </x:c>
      <x:c r="B64" s="7" t="str">
        <x:v>PARU DAN PERNAFASAN</x:v>
      </x:c>
      <x:c r="C64" s="7" t="str">
        <x:v>Paru &amp; Pernafasan</x:v>
      </x:c>
      <x:c r="D64" s="8">
        <x:v>3</x:v>
      </x:c>
      <x:c r="E64" s="7" t="str">
        <x:v>Utama</x:v>
      </x:c>
      <x:c r="F64" s="8">
        <x:v>3</x:v>
      </x:c>
      <x:c r="G64" s="7" t="str">
        <x:v>Utama</x:v>
      </x:c>
      <x:c r="H64" s="8">
        <x:v>4165</x:v>
      </x:c>
      <x:c r="I64" s="9">
        <x:v>59189038500</x:v>
      </x:c>
      <x:c r="J64" s="9">
        <x:v>48279279320.14</x:v>
      </x:c>
      <x:c r="K64" s="8">
        <x:v>928459</x:v>
      </x:c>
      <x:c r="L64" s="9">
        <x:v>3231315949945</x:v>
      </x:c>
      <x:c r="M64" s="9">
        <x:v>3595177490859.644</x:v>
      </x:c>
      <x:c r="N64" s="11" t="n">
        <x:f>MAX(K64-H64,0)</x:f>
        <x:v>924294</x:v>
      </x:c>
      <x:c r="O64" s="12" t="n">
        <x:f>MAX(M64-J64,0)</x:f>
        <x:v>3546898211539.504</x:v>
      </x:c>
      <x:c r="P64" s="11" t="n">
        <x:f>'01B_Kompetitor_RS'!I17</x:f>
        <x:v>27</x:v>
      </x:c>
      <x:c r="Q64" s="11" t="n">
        <x:f>'01B_Kompetitor_RS'!M17</x:f>
        <x:v>31</x:v>
      </x:c>
      <x:c r="R64" s="5" t="str">
        <x:f>'01B_Kompetitor_RS'!N17</x:f>
        <x: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x:v>
      </x:c>
    </x:row>
    <x:row r="65">
      <x:c r="A65" s="8">
        <x:v>16</x:v>
      </x:c>
      <x:c r="B65" s="7" t="str">
        <x:v>PARU DAN PERNAFASAN</x:v>
      </x:c>
      <x:c r="C65" s="7" t="str">
        <x:v>Paru &amp; Pernafasan</x:v>
      </x:c>
      <x:c r="D65" s="8">
        <x:v>3</x:v>
      </x:c>
      <x:c r="E65" s="7" t="str">
        <x:v>Utama</x:v>
      </x:c>
      <x:c r="F65" s="8">
        <x:v>4</x:v>
      </x:c>
      <x:c r="G65" s="7" t="str">
        <x:v>Paripurna</x:v>
      </x:c>
      <x:c r="H65" s="8">
        <x:v>1462</x:v>
      </x:c>
      <x:c r="I65" s="9">
        <x:v>22022550100</x:v>
      </x:c>
      <x:c r="J65" s="9">
        <x:v>20523513499.670002</x:v>
      </x:c>
      <x:c r="K65" s="8">
        <x:v>308525</x:v>
      </x:c>
      <x:c r="L65" s="9">
        <x:v>616381026900</x:v>
      </x:c>
      <x:c r="M65" s="9">
        <x:v>671919817534.851</x:v>
      </x:c>
      <x:c r="N65" s="11" t="n">
        <x:f>MAX(K65-H65,0)</x:f>
        <x:v>307063</x:v>
      </x:c>
      <x:c r="O65" s="12" t="n">
        <x:f>MAX(M65-J65,0)</x:f>
        <x:v>651396304035.1809</x:v>
      </x:c>
      <x:c r="P65" s="11" t="n">
        <x:f>'01B_Kompetitor_RS'!K17</x:f>
        <x:v>4</x:v>
      </x:c>
      <x:c r="Q65" s="11" t="n">
        <x:f>'01B_Kompetitor_RS'!M17</x:f>
        <x:v>31</x:v>
      </x:c>
      <x:c r="R65" s="5" t="str">
        <x:f>'01B_Kompetitor_RS'!N17</x:f>
        <x: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x:v>
      </x:c>
    </x:row>
    <x:row r="66">
      <x:c r="A66" s="8">
        <x:v>17</x:v>
      </x:c>
      <x:c r="B66" s="7" t="str">
        <x:v>PENCERNAAN DAN HEPATOBILIER</x:v>
      </x:c>
      <x:c r="C66" s="7" t="str">
        <x:v>Pencernaan &amp; Hepatobilier</x:v>
      </x:c>
      <x:c r="D66" s="8">
        <x:v>4</x:v>
      </x:c>
      <x:c r="E66" s="7" t="str">
        <x:v>Paripurna</x:v>
      </x:c>
      <x:c r="F66" s="8">
        <x:v>1</x:v>
      </x:c>
      <x:c r="G66" s="7" t="str">
        <x:v>Dasar</x:v>
      </x:c>
      <x:c r="H66" s="8">
        <x:v>4417</x:v>
      </x:c>
      <x:c r="I66" s="9">
        <x:v>4317606500</x:v>
      </x:c>
      <x:c r="J66" s="9">
        <x:v>3959005863.87</x:v>
      </x:c>
      <x:c r="K66" s="8">
        <x:v>1013612</x:v>
      </x:c>
      <x:c r="L66" s="9">
        <x:v>344926087900</x:v>
      </x:c>
      <x:c r="M66" s="9">
        <x:v>437555896571.79987</x:v>
      </x:c>
      <x:c r="N66" s="11" t="n">
        <x:f>MAX(K66-H66,0)</x:f>
        <x:v>1009195</x:v>
      </x:c>
      <x:c r="O66" s="12" t="n">
        <x:f>MAX(M66-J66,0)</x:f>
        <x:v>433596890707.9299</x:v>
      </x:c>
      <x:c r="P66" s="11" t="n">
        <x:f>'01B_Kompetitor_RS'!E18</x:f>
        <x:v>1148</x:v>
      </x:c>
      <x:c r="Q66" s="11" t="n">
        <x:f>'01B_Kompetitor_RS'!M18</x:f>
        <x:v>5</x:v>
      </x:c>
      <x:c r="R66" s="5" t="str">
        <x:f>'01B_Kompetitor_RS'!N18</x:f>
        <x:v>RS Umum Pusat Dr. Hasan Sadikin (Paripurna); RS Umum Pusat Dr. Kariadi (Paripurna); RS Umum Daerah Dr. Soetomo (Paripurna); RSUP Prof. Dr. I.G.N.G. Ngoerah (Paripurna); RSUP Dr. Sardjito (Paripurna)</x:v>
      </x:c>
    </x:row>
    <x:row r="67">
      <x:c r="A67" s="8">
        <x:v>17</x:v>
      </x:c>
      <x:c r="B67" s="7" t="str">
        <x:v>PENCERNAAN DAN HEPATOBILIER</x:v>
      </x:c>
      <x:c r="C67" s="7" t="str">
        <x:v>Pencernaan &amp; Hepatobilier</x:v>
      </x:c>
      <x:c r="D67" s="8">
        <x:v>4</x:v>
      </x:c>
      <x:c r="E67" s="7" t="str">
        <x:v>Paripurna</x:v>
      </x:c>
      <x:c r="F67" s="8">
        <x:v>2</x:v>
      </x:c>
      <x:c r="G67" s="7" t="str">
        <x:v>Madya</x:v>
      </x:c>
      <x:c r="H67" s="8">
        <x:v>17660</x:v>
      </x:c>
      <x:c r="I67" s="9">
        <x:v>16700904900</x:v>
      </x:c>
      <x:c r="J67" s="9">
        <x:v>12909305992.27</x:v>
      </x:c>
      <x:c r="K67" s="8">
        <x:v>2053577</x:v>
      </x:c>
      <x:c r="L67" s="9">
        <x:v>2305730534700</x:v>
      </x:c>
      <x:c r="M67" s="9">
        <x:v>2675063775106.589</x:v>
      </x:c>
      <x:c r="N67" s="11" t="n">
        <x:f>MAX(K67-H67,0)</x:f>
        <x:v>2035917</x:v>
      </x:c>
      <x:c r="O67" s="12" t="n">
        <x:f>MAX(M67-J67,0)</x:f>
        <x:v>2662154469114.319</x:v>
      </x:c>
      <x:c r="P67" s="11" t="n">
        <x:f>'01B_Kompetitor_RS'!G18</x:f>
        <x:v>185</x:v>
      </x:c>
      <x:c r="Q67" s="11" t="n">
        <x:f>'01B_Kompetitor_RS'!M18</x:f>
        <x:v>5</x:v>
      </x:c>
      <x:c r="R67" s="5" t="str">
        <x:f>'01B_Kompetitor_RS'!N18</x:f>
        <x:v>RS Umum Pusat Dr. Hasan Sadikin (Paripurna); RS Umum Pusat Dr. Kariadi (Paripurna); RS Umum Daerah Dr. Soetomo (Paripurna); RSUP Prof. Dr. I.G.N.G. Ngoerah (Paripurna); RSUP Dr. Sardjito (Paripurna)</x:v>
      </x:c>
    </x:row>
    <x:row r="68">
      <x:c r="A68" s="8">
        <x:v>17</x:v>
      </x:c>
      <x:c r="B68" s="7" t="str">
        <x:v>PENCERNAAN DAN HEPATOBILIER</x:v>
      </x:c>
      <x:c r="C68" s="7" t="str">
        <x:v>Pencernaan &amp; Hepatobilier</x:v>
      </x:c>
      <x:c r="D68" s="8">
        <x:v>4</x:v>
      </x:c>
      <x:c r="E68" s="7" t="str">
        <x:v>Paripurna</x:v>
      </x:c>
      <x:c r="F68" s="8">
        <x:v>3</x:v>
      </x:c>
      <x:c r="G68" s="7" t="str">
        <x:v>Utama</x:v>
      </x:c>
      <x:c r="H68" s="8">
        <x:v>11056</x:v>
      </x:c>
      <x:c r="I68" s="9">
        <x:v>39952167200</x:v>
      </x:c>
      <x:c r="J68" s="9">
        <x:v>36715617843.75</x:v>
      </x:c>
      <x:c r="K68" s="8">
        <x:v>610883</x:v>
      </x:c>
      <x:c r="L68" s="9">
        <x:v>1730756253500</x:v>
      </x:c>
      <x:c r="M68" s="9">
        <x:v>1907969648103.4468</x:v>
      </x:c>
      <x:c r="N68" s="11" t="n">
        <x:f>MAX(K68-H68,0)</x:f>
        <x:v>599827</x:v>
      </x:c>
      <x:c r="O68" s="12" t="n">
        <x:f>MAX(M68-J68,0)</x:f>
        <x:v>1871254030259.6968</x:v>
      </x:c>
      <x:c r="P68" s="11" t="n">
        <x:f>'01B_Kompetitor_RS'!I18</x:f>
        <x:v>15</x:v>
      </x:c>
      <x:c r="Q68" s="11" t="n">
        <x:f>'01B_Kompetitor_RS'!M18</x:f>
        <x:v>5</x:v>
      </x:c>
      <x:c r="R68" s="5" t="str">
        <x:f>'01B_Kompetitor_RS'!N18</x:f>
        <x:v>RS Umum Pusat Dr. Hasan Sadikin (Paripurna); RS Umum Pusat Dr. Kariadi (Paripurna); RS Umum Daerah Dr. Soetomo (Paripurna); RSUP Prof. Dr. I.G.N.G. Ngoerah (Paripurna); RSUP Dr. Sardjito (Paripurna)</x:v>
      </x:c>
    </x:row>
    <x:row r="69">
      <x:c r="A69" s="8">
        <x:v>17</x:v>
      </x:c>
      <x:c r="B69" s="7" t="str">
        <x:v>PENCERNAAN DAN HEPATOBILIER</x:v>
      </x:c>
      <x:c r="C69" s="7" t="str">
        <x:v>Pencernaan &amp; Hepatobilier</x:v>
      </x:c>
      <x:c r="D69" s="8">
        <x:v>4</x:v>
      </x:c>
      <x:c r="E69" s="7" t="str">
        <x:v>Paripurna</x:v>
      </x:c>
      <x:c r="F69" s="8">
        <x:v>4</x:v>
      </x:c>
      <x:c r="G69" s="7" t="str">
        <x:v>Paripurna</x:v>
      </x:c>
      <x:c r="H69" s="8">
        <x:v>839</x:v>
      </x:c>
      <x:c r="I69" s="9">
        <x:v>5727725800</x:v>
      </x:c>
      <x:c r="J69" s="9">
        <x:v>5300387712.66</x:v>
      </x:c>
      <x:c r="K69" s="8">
        <x:v>136793</x:v>
      </x:c>
      <x:c r="L69" s="9">
        <x:v>412241571100</x:v>
      </x:c>
      <x:c r="M69" s="9">
        <x:v>460080636783.2909</x:v>
      </x:c>
      <x:c r="N69" s="11" t="n">
        <x:f>MAX(K69-H69,0)</x:f>
        <x:v>135954</x:v>
      </x:c>
      <x:c r="O69" s="12" t="n">
        <x:f>MAX(M69-J69,0)</x:f>
        <x:v>454780249070.6309</x:v>
      </x:c>
      <x:c r="P69" s="11" t="n">
        <x:f>'01B_Kompetitor_RS'!K18</x:f>
        <x:v>5</x:v>
      </x:c>
      <x:c r="Q69" s="11" t="n">
        <x:f>'01B_Kompetitor_RS'!M18</x:f>
        <x:v>5</x:v>
      </x:c>
      <x:c r="R69" s="5" t="str">
        <x:f>'01B_Kompetitor_RS'!N18</x:f>
        <x:v>RS Umum Pusat Dr. Hasan Sadikin (Paripurna); RS Umum Pusat Dr. Kariadi (Paripurna); RS Umum Daerah Dr. Soetomo (Paripurna); RSUP Prof. Dr. I.G.N.G. Ngoerah (Paripurna); RSUP Dr. Sardjito (Paripurna)</x:v>
      </x:c>
    </x:row>
    <x:row r="70">
      <x:c r="A70" s="8">
        <x:v>18</x:v>
      </x:c>
      <x:c r="B70" s="7" t="str">
        <x:v>REHABILITASI</x:v>
      </x:c>
      <x:c r="C70" s="7" t="str">
        <x:v>Rehabilitasi</x:v>
      </x:c>
      <x:c r="D70" s="8">
        <x:v>4</x:v>
      </x:c>
      <x:c r="E70" s="7" t="str">
        <x:v>Paripurna</x:v>
      </x:c>
      <x:c r="F70" s="8">
        <x:v>1</x:v>
      </x:c>
      <x:c r="G70" s="7" t="str">
        <x:v>Dasar</x:v>
      </x:c>
      <x:c r="H70" s="8">
        <x:v>2432</x:v>
      </x:c>
      <x:c r="I70" s="9">
        <x:v>880604300</x:v>
      </x:c>
      <x:c r="J70" s="9">
        <x:v>661505818.0899999</x:v>
      </x:c>
      <x:c r="K70" s="8">
        <x:v>3807337</x:v>
      </x:c>
      <x:c r="L70" s="9">
        <x:v>694071648985</x:v>
      </x:c>
      <x:c r="M70" s="9">
        <x:v>775779165128.8115</x:v>
      </x:c>
      <x:c r="N70" s="11" t="n">
        <x:f>MAX(K70-H70,0)</x:f>
        <x:v>3804905</x:v>
      </x:c>
      <x:c r="O70" s="12" t="n">
        <x:f>MAX(M70-J70,0)</x:f>
        <x:v>775117659310.7216</x:v>
      </x:c>
      <x:c r="P70" s="11" t="n">
        <x:f>'01B_Kompetitor_RS'!E19</x:f>
        <x:v>802</x:v>
      </x:c>
      <x:c r="Q70" s="11" t="n">
        <x:f>'01B_Kompetitor_RS'!M19</x:f>
        <x:v>1</x:v>
      </x:c>
      <x:c r="R70" s="5" t="str">
        <x:f>'01B_Kompetitor_RS'!N19</x:f>
        <x:v>RS Umum Pusat Dr. Hasan Sadikin (Paripurna)</x:v>
      </x:c>
    </x:row>
    <x:row r="71">
      <x:c r="A71" s="8">
        <x:v>18</x:v>
      </x:c>
      <x:c r="B71" s="7" t="str">
        <x:v>REHABILITASI</x:v>
      </x:c>
      <x:c r="C71" s="7" t="str">
        <x:v>Rehabilitasi</x:v>
      </x:c>
      <x:c r="D71" s="8">
        <x:v>4</x:v>
      </x:c>
      <x:c r="E71" s="7" t="str">
        <x:v>Paripurna</x:v>
      </x:c>
      <x:c r="F71" s="8">
        <x:v>2</x:v>
      </x:c>
      <x:c r="G71" s="7" t="str">
        <x:v>Madya</x:v>
      </x:c>
      <x:c r="H71" s="8">
        <x:v>5712</x:v>
      </x:c>
      <x:c r="I71" s="9">
        <x:v>1355353400</x:v>
      </x:c>
      <x:c r="J71" s="9">
        <x:v>954176885.8199999</x:v>
      </x:c>
      <x:c r="K71" s="8">
        <x:v>2671161</x:v>
      </x:c>
      <x:c r="L71" s="9">
        <x:v>481032158620</x:v>
      </x:c>
      <x:c r="M71" s="9">
        <x:v>537045640296.0499</x:v>
      </x:c>
      <x:c r="N71" s="11" t="n">
        <x:f>MAX(K71-H71,0)</x:f>
        <x:v>2665449</x:v>
      </x:c>
      <x:c r="O71" s="12" t="n">
        <x:f>MAX(M71-J71,0)</x:f>
        <x:v>536091463410.2299</x:v>
      </x:c>
      <x:c r="P71" s="11" t="n">
        <x:f>'01B_Kompetitor_RS'!G19</x:f>
        <x:v>268</x:v>
      </x:c>
      <x:c r="Q71" s="11" t="n">
        <x:f>'01B_Kompetitor_RS'!M19</x:f>
        <x:v>1</x:v>
      </x:c>
      <x:c r="R71" s="5" t="str">
        <x:f>'01B_Kompetitor_RS'!N19</x:f>
        <x:v>RS Umum Pusat Dr. Hasan Sadikin (Paripurna)</x:v>
      </x:c>
    </x:row>
    <x:row r="72">
      <x:c r="A72" s="8">
        <x:v>18</x:v>
      </x:c>
      <x:c r="B72" s="7" t="str">
        <x:v>REHABILITASI</x:v>
      </x:c>
      <x:c r="C72" s="7" t="str">
        <x:v>Rehabilitasi</x:v>
      </x:c>
      <x:c r="D72" s="8">
        <x:v>4</x:v>
      </x:c>
      <x:c r="E72" s="7" t="str">
        <x:v>Paripurna</x:v>
      </x:c>
      <x:c r="F72" s="8">
        <x:v>3</x:v>
      </x:c>
      <x:c r="G72" s="7" t="str">
        <x:v>Utama</x:v>
      </x:c>
      <x:c r="H72" s="8">
        <x:v>1616</x:v>
      </x:c>
      <x:c r="I72" s="9">
        <x:v>429065000</x:v>
      </x:c>
      <x:c r="J72" s="9">
        <x:v>285473915.98</x:v>
      </x:c>
      <x:c r="K72" s="8">
        <x:v>956975</x:v>
      </x:c>
      <x:c r="L72" s="9">
        <x:v>177073180560</x:v>
      </x:c>
      <x:c r="M72" s="9">
        <x:v>189549642863.22964</x:v>
      </x:c>
      <x:c r="N72" s="11" t="n">
        <x:f>MAX(K72-H72,0)</x:f>
        <x:v>955359</x:v>
      </x:c>
      <x:c r="O72" s="12" t="n">
        <x:f>MAX(M72-J72,0)</x:f>
        <x:v>189264168947.24963</x:v>
      </x:c>
      <x:c r="P72" s="11" t="n">
        <x:f>'01B_Kompetitor_RS'!I19</x:f>
        <x:v>25</x:v>
      </x:c>
      <x:c r="Q72" s="11" t="n">
        <x:f>'01B_Kompetitor_RS'!M19</x:f>
        <x:v>1</x:v>
      </x:c>
      <x:c r="R72" s="5" t="str">
        <x:f>'01B_Kompetitor_RS'!N19</x:f>
        <x:v>RS Umum Pusat Dr. Hasan Sadikin (Paripurna)</x:v>
      </x:c>
    </x:row>
    <x:row r="73">
      <x:c r="A73" s="8">
        <x:v>18</x:v>
      </x:c>
      <x:c r="B73" s="7" t="str">
        <x:v>REHABILITASI</x:v>
      </x:c>
      <x:c r="C73" s="7" t="str">
        <x:v>Rehabilitasi</x:v>
      </x:c>
      <x:c r="D73" s="8">
        <x:v>4</x:v>
      </x:c>
      <x:c r="E73" s="7" t="str">
        <x:v>Paripurna</x:v>
      </x:c>
      <x:c r="F73" s="8">
        <x:v>4</x:v>
      </x:c>
      <x:c r="G73" s="7" t="str">
        <x:v>Paripurna</x:v>
      </x:c>
      <x:c r="H73" s="8">
        <x:v>2006</x:v>
      </x:c>
      <x:c r="I73" s="9">
        <x:v>413725700</x:v>
      </x:c>
      <x:c r="J73" s="9">
        <x:v>312450549.84</x:v>
      </x:c>
      <x:c r="K73" s="8">
        <x:v>1126260</x:v>
      </x:c>
      <x:c r="L73" s="9">
        <x:v>172418593025</x:v>
      </x:c>
      <x:c r="M73" s="9">
        <x:v>256985610274.30936</x:v>
      </x:c>
      <x:c r="N73" s="11" t="n">
        <x:f>MAX(K73-H73,0)</x:f>
        <x:v>1124254</x:v>
      </x:c>
      <x:c r="O73" s="12" t="n">
        <x:f>MAX(M73-J73,0)</x:f>
        <x:v>256673159724.46936</x:v>
      </x:c>
      <x:c r="P73" s="11" t="n">
        <x:f>'01B_Kompetitor_RS'!K19</x:f>
        <x:v>1</x:v>
      </x:c>
      <x:c r="Q73" s="11" t="n">
        <x:f>'01B_Kompetitor_RS'!M19</x:f>
        <x:v>1</x:v>
      </x:c>
      <x:c r="R73" s="5" t="str">
        <x:f>'01B_Kompetitor_RS'!N19</x:f>
        <x:v>RS Umum Pusat Dr. Hasan Sadikin (Paripurna)</x:v>
      </x:c>
    </x:row>
    <x:row r="74">
      <x:c r="A74" s="8">
        <x:v>19</x:v>
      </x:c>
      <x:c r="B74" s="7" t="str">
        <x:v>REKONSTRUKSI DAN ESTETIKA</x:v>
      </x:c>
      <x:c r="C74" s="7" t="str">
        <x:v>Rekonstruksi &amp; Estetika</x:v>
      </x:c>
      <x:c r="D74" s="8">
        <x:v>4</x:v>
      </x:c>
      <x:c r="E74" s="7" t="str">
        <x:v>Paripurna</x:v>
      </x:c>
      <x:c r="F74" s="8">
        <x:v>1</x:v>
      </x:c>
      <x:c r="G74" s="7" t="str">
        <x:v>Dasar</x:v>
      </x:c>
      <x:c r="H74" s="8">
        <x:v>375</x:v>
      </x:c>
      <x:c r="I74" s="9">
        <x:v>515121300</x:v>
      </x:c>
      <x:c r="J74" s="9">
        <x:v>498895498.67999995</x:v>
      </x:c>
      <x:c r="K74" s="8">
        <x:v>76301</x:v>
      </x:c>
      <x:c r="L74" s="9">
        <x:v>173450418300</x:v>
      </x:c>
      <x:c r="M74" s="9">
        <x:v>199018649557.5999</x:v>
      </x:c>
      <x:c r="N74" s="11" t="n">
        <x:f>MAX(K74-H74,0)</x:f>
        <x:v>75926</x:v>
      </x:c>
      <x:c r="O74" s="12" t="n">
        <x:f>MAX(M74-J74,0)</x:f>
        <x:v>198519754058.91992</x:v>
      </x:c>
      <x:c r="P74" s="11" t="n">
        <x:f>'01B_Kompetitor_RS'!E20</x:f>
        <x:v>1009</x:v>
      </x:c>
      <x:c r="Q74" s="11" t="n">
        <x:f>'01B_Kompetitor_RS'!M20</x:f>
        <x:v>9</x:v>
      </x:c>
      <x:c r="R74" s="5" t="str">
        <x:f>'01B_Kompetitor_RS'!N20</x:f>
        <x: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x:v>
      </x:c>
    </x:row>
    <x:row r="75">
      <x:c r="A75" s="8">
        <x:v>19</x:v>
      </x:c>
      <x:c r="B75" s="7" t="str">
        <x:v>REKONSTRUKSI DAN ESTETIKA</x:v>
      </x:c>
      <x:c r="C75" s="7" t="str">
        <x:v>Rekonstruksi &amp; Estetika</x:v>
      </x:c>
      <x:c r="D75" s="8">
        <x:v>4</x:v>
      </x:c>
      <x:c r="E75" s="7" t="str">
        <x:v>Paripurna</x:v>
      </x:c>
      <x:c r="F75" s="8">
        <x:v>2</x:v>
      </x:c>
      <x:c r="G75" s="7" t="str">
        <x:v>Madya</x:v>
      </x:c>
      <x:c r="H75" s="8">
        <x:v>751</x:v>
      </x:c>
      <x:c r="I75" s="9">
        <x:v>7474837600</x:v>
      </x:c>
      <x:c r="J75" s="9">
        <x:v>5595443761.860001</x:v>
      </x:c>
      <x:c r="K75" s="8">
        <x:v>114763</x:v>
      </x:c>
      <x:c r="L75" s="9">
        <x:v>592585469800</x:v>
      </x:c>
      <x:c r="M75" s="9">
        <x:v>652841135064.8008</x:v>
      </x:c>
      <x:c r="N75" s="11" t="n">
        <x:f>MAX(K75-H75,0)</x:f>
        <x:v>114012</x:v>
      </x:c>
      <x:c r="O75" s="12" t="n">
        <x:f>MAX(M75-J75,0)</x:f>
        <x:v>647245691302.9408</x:v>
      </x:c>
      <x:c r="P75" s="11" t="n">
        <x:f>'01B_Kompetitor_RS'!G20</x:f>
        <x:v>126</x:v>
      </x:c>
      <x:c r="Q75" s="11" t="n">
        <x:f>'01B_Kompetitor_RS'!M20</x:f>
        <x:v>9</x:v>
      </x:c>
      <x:c r="R75" s="5" t="str">
        <x:f>'01B_Kompetitor_RS'!N20</x:f>
        <x: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x:v>
      </x:c>
    </x:row>
    <x:row r="76">
      <x:c r="A76" s="8">
        <x:v>19</x:v>
      </x:c>
      <x:c r="B76" s="7" t="str">
        <x:v>REKONSTRUKSI DAN ESTETIKA</x:v>
      </x:c>
      <x:c r="C76" s="7" t="str">
        <x:v>Rekonstruksi &amp; Estetika</x:v>
      </x:c>
      <x:c r="D76" s="8">
        <x:v>4</x:v>
      </x:c>
      <x:c r="E76" s="7" t="str">
        <x:v>Paripurna</x:v>
      </x:c>
      <x:c r="F76" s="8">
        <x:v>3</x:v>
      </x:c>
      <x:c r="G76" s="7" t="str">
        <x:v>Utama</x:v>
      </x:c>
      <x:c r="H76" s="8">
        <x:v>395</x:v>
      </x:c>
      <x:c r="I76" s="9">
        <x:v>3923715100</x:v>
      </x:c>
      <x:c r="J76" s="9">
        <x:v>2951258828.38</x:v>
      </x:c>
      <x:c r="K76" s="8">
        <x:v>51127</x:v>
      </x:c>
      <x:c r="L76" s="9">
        <x:v>245206277200</x:v>
      </x:c>
      <x:c r="M76" s="9">
        <x:v>280030105565.9601</x:v>
      </x:c>
      <x:c r="N76" s="11" t="n">
        <x:f>MAX(K76-H76,0)</x:f>
        <x:v>50732</x:v>
      </x:c>
      <x:c r="O76" s="12" t="n">
        <x:f>MAX(M76-J76,0)</x:f>
        <x:v>277078846737.5801</x:v>
      </x:c>
      <x:c r="P76" s="11" t="n">
        <x:f>'01B_Kompetitor_RS'!I20</x:f>
        <x:v>39</x:v>
      </x:c>
      <x:c r="Q76" s="11" t="n">
        <x:f>'01B_Kompetitor_RS'!M20</x:f>
        <x:v>9</x:v>
      </x:c>
      <x:c r="R76" s="5" t="str">
        <x:f>'01B_Kompetitor_RS'!N20</x:f>
        <x: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x:v>
      </x:c>
    </x:row>
    <x:row r="77">
      <x:c r="A77" s="8">
        <x:v>19</x:v>
      </x:c>
      <x:c r="B77" s="7" t="str">
        <x:v>REKONSTRUKSI DAN ESTETIKA</x:v>
      </x:c>
      <x:c r="C77" s="7" t="str">
        <x:v>Rekonstruksi &amp; Estetika</x:v>
      </x:c>
      <x:c r="D77" s="8">
        <x:v>4</x:v>
      </x:c>
      <x:c r="E77" s="7" t="str">
        <x:v>Paripurna</x:v>
      </x:c>
      <x:c r="F77" s="8">
        <x:v>4</x:v>
      </x:c>
      <x:c r="G77" s="7" t="str">
        <x:v>Paripurna</x:v>
      </x:c>
      <x:c r="H77" s="8">
        <x:v>9</x:v>
      </x:c>
      <x:c r="I77" s="9">
        <x:v>229791900</x:v>
      </x:c>
      <x:c r="J77" s="9">
        <x:v>98364235.34</x:v>
      </x:c>
      <x:c r="K77" s="8">
        <x:v>2273</x:v>
      </x:c>
      <x:c r="L77" s="9">
        <x:v>15379857600</x:v>
      </x:c>
      <x:c r="M77" s="9">
        <x:v>16371984572.589973</x:v>
      </x:c>
      <x:c r="N77" s="11" t="n">
        <x:f>MAX(K77-H77,0)</x:f>
        <x:v>2264</x:v>
      </x:c>
      <x:c r="O77" s="12" t="n">
        <x:f>MAX(M77-J77,0)</x:f>
        <x:v>16273620337.249973</x:v>
      </x:c>
      <x:c r="P77" s="11" t="n">
        <x:f>'01B_Kompetitor_RS'!K20</x:f>
        <x:v>9</x:v>
      </x:c>
      <x:c r="Q77" s="11" t="n">
        <x:f>'01B_Kompetitor_RS'!M20</x:f>
        <x:v>9</x:v>
      </x:c>
      <x:c r="R77" s="5" t="str">
        <x:f>'01B_Kompetitor_RS'!N20</x:f>
        <x: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x:v>
      </x:c>
    </x:row>
    <x:row r="78">
      <x:c r="A78" s="8">
        <x:v>20</x:v>
      </x:c>
      <x:c r="B78" s="7" t="str">
        <x:v>SARAF/ NEUROSCIENCE</x:v>
      </x:c>
      <x:c r="C78" s="7" t="str">
        <x:v>Saraf / Neuroscience</x:v>
      </x:c>
      <x:c r="D78" s="8">
        <x:v>4</x:v>
      </x:c>
      <x:c r="E78" s="7" t="str">
        <x:v>Paripurna</x:v>
      </x:c>
      <x:c r="F78" s="8">
        <x:v>1</x:v>
      </x:c>
      <x:c r="G78" s="7" t="str">
        <x:v>Dasar</x:v>
      </x:c>
      <x:c r="H78" s="8">
        <x:v>6111</x:v>
      </x:c>
      <x:c r="I78" s="9">
        <x:v>3337614500</x:v>
      </x:c>
      <x:c r="J78" s="9">
        <x:v>2951125037.23</x:v>
      </x:c>
      <x:c r="K78" s="8">
        <x:v>1369603</x:v>
      </x:c>
      <x:c r="L78" s="9">
        <x:v>417070996400</x:v>
      </x:c>
      <x:c r="M78" s="9">
        <x:v>466107569975.7497</x:v>
      </x:c>
      <x:c r="N78" s="11" t="n">
        <x:f>MAX(K78-H78,0)</x:f>
        <x:v>1363492</x:v>
      </x:c>
      <x:c r="O78" s="12" t="n">
        <x:f>MAX(M78-J78,0)</x:f>
        <x:v>463156444938.5197</x:v>
      </x:c>
      <x:c r="P78" s="11" t="n">
        <x:f>'01B_Kompetitor_RS'!E21</x:f>
        <x:v>1170</x:v>
      </x:c>
      <x:c r="Q78" s="11" t="n">
        <x:f>'01B_Kompetitor_RS'!M21</x:f>
        <x:v>6</x:v>
      </x:c>
      <x:c r="R78" s="5" t="str">
        <x:f>'01B_Kompetitor_RS'!N21</x:f>
        <x:v>RSUP Dr. M. Djamil (Paripurna); RS Umum Pusat Dr. Hasan Sadikin (Paripurna); RS Umum Pusat Dr. Kariadi (Paripurna); RS Umum Daerah Dr. Soetomo (Paripurna); RSUP Prof. Dr. I.G.N.G. Ngoerah (Paripurna); RSUP Dr. Sardjito (Paripurna)</x:v>
      </x:c>
    </x:row>
    <x:row r="79">
      <x:c r="A79" s="8">
        <x:v>20</x:v>
      </x:c>
      <x:c r="B79" s="7" t="str">
        <x:v>SARAF/ NEUROSCIENCE</x:v>
      </x:c>
      <x:c r="C79" s="7" t="str">
        <x:v>Saraf / Neuroscience</x:v>
      </x:c>
      <x:c r="D79" s="8">
        <x:v>4</x:v>
      </x:c>
      <x:c r="E79" s="7" t="str">
        <x:v>Paripurna</x:v>
      </x:c>
      <x:c r="F79" s="8">
        <x:v>2</x:v>
      </x:c>
      <x:c r="G79" s="7" t="str">
        <x:v>Madya</x:v>
      </x:c>
      <x:c r="H79" s="8">
        <x:v>6296</x:v>
      </x:c>
      <x:c r="I79" s="9">
        <x:v>9592492900</x:v>
      </x:c>
      <x:c r="J79" s="9">
        <x:v>6240559750.650001</x:v>
      </x:c>
      <x:c r="K79" s="8">
        <x:v>3037725</x:v>
      </x:c>
      <x:c r="L79" s="9">
        <x:v>1216307380660</x:v>
      </x:c>
      <x:c r="M79" s="9">
        <x:v>1357288562456.523</x:v>
      </x:c>
      <x:c r="N79" s="11" t="n">
        <x:f>MAX(K79-H79,0)</x:f>
        <x:v>3031429</x:v>
      </x:c>
      <x:c r="O79" s="12" t="n">
        <x:f>MAX(M79-J79,0)</x:f>
        <x:v>1351048002705.873</x:v>
      </x:c>
      <x:c r="P79" s="11" t="n">
        <x:f>'01B_Kompetitor_RS'!G21</x:f>
        <x:v>50</x:v>
      </x:c>
      <x:c r="Q79" s="11" t="n">
        <x:f>'01B_Kompetitor_RS'!M21</x:f>
        <x:v>6</x:v>
      </x:c>
      <x:c r="R79" s="5" t="str">
        <x:f>'01B_Kompetitor_RS'!N21</x:f>
        <x:v>RSUP Dr. M. Djamil (Paripurna); RS Umum Pusat Dr. Hasan Sadikin (Paripurna); RS Umum Pusat Dr. Kariadi (Paripurna); RS Umum Daerah Dr. Soetomo (Paripurna); RSUP Prof. Dr. I.G.N.G. Ngoerah (Paripurna); RSUP Dr. Sardjito (Paripurna)</x:v>
      </x:c>
    </x:row>
    <x:row r="80">
      <x:c r="A80" s="8">
        <x:v>20</x:v>
      </x:c>
      <x:c r="B80" s="7" t="str">
        <x:v>SARAF/ NEUROSCIENCE</x:v>
      </x:c>
      <x:c r="C80" s="7" t="str">
        <x:v>Saraf / Neuroscience</x:v>
      </x:c>
      <x:c r="D80" s="8">
        <x:v>4</x:v>
      </x:c>
      <x:c r="E80" s="7" t="str">
        <x:v>Paripurna</x:v>
      </x:c>
      <x:c r="F80" s="8">
        <x:v>3</x:v>
      </x:c>
      <x:c r="G80" s="7" t="str">
        <x:v>Utama</x:v>
      </x:c>
      <x:c r="H80" s="8">
        <x:v>5241</x:v>
      </x:c>
      <x:c r="I80" s="9">
        <x:v>51240582100</x:v>
      </x:c>
      <x:c r="J80" s="9">
        <x:v>47173383855.72</x:v>
      </x:c>
      <x:c r="K80" s="8">
        <x:v>810453</x:v>
      </x:c>
      <x:c r="L80" s="9">
        <x:v>2528936697100</x:v>
      </x:c>
      <x:c r="M80" s="9">
        <x:v>2849523167976.174</x:v>
      </x:c>
      <x:c r="N80" s="11" t="n">
        <x:f>MAX(K80-H80,0)</x:f>
        <x:v>805212</x:v>
      </x:c>
      <x:c r="O80" s="12" t="n">
        <x:f>MAX(M80-J80,0)</x:f>
        <x:v>2802349784120.4536</x:v>
      </x:c>
      <x:c r="P80" s="11" t="n">
        <x:f>'01B_Kompetitor_RS'!I21</x:f>
        <x:v>21</x:v>
      </x:c>
      <x:c r="Q80" s="11" t="n">
        <x:f>'01B_Kompetitor_RS'!M21</x:f>
        <x:v>6</x:v>
      </x:c>
      <x:c r="R80" s="5" t="str">
        <x:f>'01B_Kompetitor_RS'!N21</x:f>
        <x:v>RSUP Dr. M. Djamil (Paripurna); RS Umum Pusat Dr. Hasan Sadikin (Paripurna); RS Umum Pusat Dr. Kariadi (Paripurna); RS Umum Daerah Dr. Soetomo (Paripurna); RSUP Prof. Dr. I.G.N.G. Ngoerah (Paripurna); RSUP Dr. Sardjito (Paripurna)</x:v>
      </x:c>
    </x:row>
    <x:row r="81">
      <x:c r="A81" s="8">
        <x:v>20</x:v>
      </x:c>
      <x:c r="B81" s="7" t="str">
        <x:v>SARAF/ NEUROSCIENCE</x:v>
      </x:c>
      <x:c r="C81" s="7" t="str">
        <x:v>Saraf / Neuroscience</x:v>
      </x:c>
      <x:c r="D81" s="8">
        <x:v>4</x:v>
      </x:c>
      <x:c r="E81" s="7" t="str">
        <x:v>Paripurna</x:v>
      </x:c>
      <x:c r="F81" s="8">
        <x:v>4</x:v>
      </x:c>
      <x:c r="G81" s="7" t="str">
        <x:v>Paripurna</x:v>
      </x:c>
      <x:c r="H81" s="8">
        <x:v>3247</x:v>
      </x:c>
      <x:c r="I81" s="9">
        <x:v>6517544300</x:v>
      </x:c>
      <x:c r="J81" s="9">
        <x:v>5401138338.55</x:v>
      </x:c>
      <x:c r="K81" s="8">
        <x:v>842277</x:v>
      </x:c>
      <x:c r="L81" s="9">
        <x:v>509104971395</x:v>
      </x:c>
      <x:c r="M81" s="9">
        <x:v>561375954826.4791</x:v>
      </x:c>
      <x:c r="N81" s="11" t="n">
        <x:f>MAX(K81-H81,0)</x:f>
        <x:v>839030</x:v>
      </x:c>
      <x:c r="O81" s="12" t="n">
        <x:f>MAX(M81-J81,0)</x:f>
        <x:v>555974816487.9291</x:v>
      </x:c>
      <x:c r="P81" s="11" t="n">
        <x:f>'01B_Kompetitor_RS'!K21</x:f>
        <x:v>6</x:v>
      </x:c>
      <x:c r="Q81" s="11" t="n">
        <x:f>'01B_Kompetitor_RS'!M21</x:f>
        <x:v>6</x:v>
      </x:c>
      <x:c r="R81" s="5" t="str">
        <x:f>'01B_Kompetitor_RS'!N21</x:f>
        <x:v>RSUP Dr. M. Djamil (Paripurna); RS Umum Pusat Dr. Hasan Sadikin (Paripurna); RS Umum Pusat Dr. Kariadi (Paripurna); RS Umum Daerah Dr. Soetomo (Paripurna); RSUP Prof. Dr. I.G.N.G. Ngoerah (Paripurna); RSUP Dr. Sardjito (Paripurna)</x:v>
      </x:c>
    </x:row>
    <x:row r="82">
      <x:c r="A82" s="8">
        <x:v>21</x:v>
      </x:c>
      <x:c r="B82" s="7" t="str">
        <x:v>THT</x:v>
      </x:c>
      <x:c r="C82" s="7" t="str">
        <x:v>Tht</x:v>
      </x:c>
      <x:c r="D82" s="8">
        <x:v>3</x:v>
      </x:c>
      <x:c r="E82" s="7" t="str">
        <x:v>Utama</x:v>
      </x:c>
      <x:c r="F82" s="8">
        <x:v>1</x:v>
      </x:c>
      <x:c r="G82" s="7" t="str">
        <x:v>Dasar</x:v>
      </x:c>
      <x:c r="H82" s="8">
        <x:v>5475</x:v>
      </x:c>
      <x:c r="I82" s="9">
        <x:v>3713030700</x:v>
      </x:c>
      <x:c r="J82" s="9">
        <x:v>3050945561.58</x:v>
      </x:c>
      <x:c r="K82" s="8">
        <x:v>1461142</x:v>
      </x:c>
      <x:c r="L82" s="9">
        <x:v>541636979400</x:v>
      </x:c>
      <x:c r="M82" s="9">
        <x:v>600326956956.3114</x:v>
      </x:c>
      <x:c r="N82" s="11" t="n">
        <x:f>MAX(K82-H82,0)</x:f>
        <x:v>1455667</x:v>
      </x:c>
      <x:c r="O82" s="12" t="n">
        <x:f>MAX(M82-J82,0)</x:f>
        <x:v>597276011394.7314</x:v>
      </x:c>
      <x:c r="P82" s="11" t="n">
        <x:f>'01B_Kompetitor_RS'!E22</x:f>
        <x:v>841</x:v>
      </x:c>
      <x:c r="Q82" s="11" t="n">
        <x:f>'01B_Kompetitor_RS'!M22</x:f>
        <x:v>11</x:v>
      </x:c>
      <x:c r="R82" s="5" t="str">
        <x:f>'01B_Kompetitor_RS'!N22</x:f>
        <x: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x:v>
      </x:c>
    </x:row>
    <x:row r="83">
      <x:c r="A83" s="8">
        <x:v>21</x:v>
      </x:c>
      <x:c r="B83" s="7" t="str">
        <x:v>THT</x:v>
      </x:c>
      <x:c r="C83" s="7" t="str">
        <x:v>Tht</x:v>
      </x:c>
      <x:c r="D83" s="8">
        <x:v>3</x:v>
      </x:c>
      <x:c r="E83" s="7" t="str">
        <x:v>Utama</x:v>
      </x:c>
      <x:c r="F83" s="8">
        <x:v>2</x:v>
      </x:c>
      <x:c r="G83" s="7" t="str">
        <x:v>Madya</x:v>
      </x:c>
      <x:c r="H83" s="8">
        <x:v>4603</x:v>
      </x:c>
      <x:c r="I83" s="9">
        <x:v>5106496500</x:v>
      </x:c>
      <x:c r="J83" s="9">
        <x:v>4255085703.8500004</x:v>
      </x:c>
      <x:c r="K83" s="8">
        <x:v>1264420</x:v>
      </x:c>
      <x:c r="L83" s="9">
        <x:v>785282927355</x:v>
      </x:c>
      <x:c r="M83" s="9">
        <x:v>909592316216.3704</x:v>
      </x:c>
      <x:c r="N83" s="11" t="n">
        <x:f>MAX(K83-H83,0)</x:f>
        <x:v>1259817</x:v>
      </x:c>
      <x:c r="O83" s="12" t="n">
        <x:f>MAX(M83-J83,0)</x:f>
        <x:v>905337230512.5204</x:v>
      </x:c>
      <x:c r="P83" s="11" t="n">
        <x:f>'01B_Kompetitor_RS'!G22</x:f>
        <x:v>177</x:v>
      </x:c>
      <x:c r="Q83" s="11" t="n">
        <x:f>'01B_Kompetitor_RS'!M22</x:f>
        <x:v>11</x:v>
      </x:c>
      <x:c r="R83" s="5" t="str">
        <x:f>'01B_Kompetitor_RS'!N22</x:f>
        <x: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x:v>
      </x:c>
    </x:row>
    <x:row r="84">
      <x:c r="A84" s="8">
        <x:v>21</x:v>
      </x:c>
      <x:c r="B84" s="7" t="str">
        <x:v>THT</x:v>
      </x:c>
      <x:c r="C84" s="7" t="str">
        <x:v>Tht</x:v>
      </x:c>
      <x:c r="D84" s="8">
        <x:v>3</x:v>
      </x:c>
      <x:c r="E84" s="7" t="str">
        <x:v>Utama</x:v>
      </x:c>
      <x:c r="F84" s="8">
        <x:v>3</x:v>
      </x:c>
      <x:c r="G84" s="7" t="str">
        <x:v>Utama</x:v>
      </x:c>
      <x:c r="H84" s="8">
        <x:v>3334</x:v>
      </x:c>
      <x:c r="I84" s="9">
        <x:v>9828023400</x:v>
      </x:c>
      <x:c r="J84" s="9">
        <x:v>7908668029.03</x:v>
      </x:c>
      <x:c r="K84" s="8">
        <x:v>165385</x:v>
      </x:c>
      <x:c r="L84" s="9">
        <x:v>353592074400</x:v>
      </x:c>
      <x:c r="M84" s="9">
        <x:v>387643863509.94037</x:v>
      </x:c>
      <x:c r="N84" s="11" t="n">
        <x:f>MAX(K84-H84,0)</x:f>
        <x:v>162051</x:v>
      </x:c>
      <x:c r="O84" s="12" t="n">
        <x:f>MAX(M84-J84,0)</x:f>
        <x:v>379735195480.91034</x:v>
      </x:c>
      <x:c r="P84" s="11" t="n">
        <x:f>'01B_Kompetitor_RS'!I22</x:f>
        <x:v>8</x:v>
      </x:c>
      <x:c r="Q84" s="11" t="n">
        <x:f>'01B_Kompetitor_RS'!M22</x:f>
        <x:v>11</x:v>
      </x:c>
      <x:c r="R84" s="5" t="str">
        <x:f>'01B_Kompetitor_RS'!N22</x:f>
        <x: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x:v>
      </x:c>
    </x:row>
    <x:row r="85">
      <x:c r="A85" s="8">
        <x:v>21</x:v>
      </x:c>
      <x:c r="B85" s="7" t="str">
        <x:v>THT</x:v>
      </x:c>
      <x:c r="C85" s="7" t="str">
        <x:v>Tht</x:v>
      </x:c>
      <x:c r="D85" s="8">
        <x:v>3</x:v>
      </x:c>
      <x:c r="E85" s="7" t="str">
        <x:v>Utama</x:v>
      </x:c>
      <x:c r="F85" s="8">
        <x:v>4</x:v>
      </x:c>
      <x:c r="G85" s="7" t="str">
        <x:v>Paripurna</x:v>
      </x:c>
      <x:c r="H85" s="8">
        <x:v>279</x:v>
      </x:c>
      <x:c r="I85" s="9">
        <x:v>1104007100</x:v>
      </x:c>
      <x:c r="J85" s="9">
        <x:v>1230889460.69</x:v>
      </x:c>
      <x:c r="K85" s="8">
        <x:v>30580</x:v>
      </x:c>
      <x:c r="L85" s="9">
        <x:v>44700903100</x:v>
      </x:c>
      <x:c r="M85" s="9">
        <x:v>54580667554.65997</x:v>
      </x:c>
      <x:c r="N85" s="11" t="n">
        <x:f>MAX(K85-H85,0)</x:f>
        <x:v>30301</x:v>
      </x:c>
      <x:c r="O85" s="12" t="n">
        <x:f>MAX(M85-J85,0)</x:f>
        <x:v>53349778093.96997</x:v>
      </x:c>
      <x:c r="P85" s="11" t="n">
        <x:f>'01B_Kompetitor_RS'!K22</x:f>
        <x:v>3</x:v>
      </x:c>
      <x:c r="Q85" s="11" t="n">
        <x:f>'01B_Kompetitor_RS'!M22</x:f>
        <x:v>11</x:v>
      </x:c>
      <x:c r="R85" s="5" t="str">
        <x:f>'01B_Kompetitor_RS'!N22</x:f>
        <x: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x:v>
      </x:c>
    </x:row>
    <x:row r="86">
      <x:c r="A86" s="8">
        <x:v>22</x:v>
      </x:c>
      <x:c r="B86" s="7" t="str">
        <x:v>TRAUMA</x:v>
      </x:c>
      <x:c r="C86" s="7" t="str">
        <x:v>Trauma</x:v>
      </x:c>
      <x:c r="D86" s="8">
        <x:v>4</x:v>
      </x:c>
      <x:c r="E86" s="7" t="str">
        <x:v>Paripurna</x:v>
      </x:c>
      <x:c r="F86" s="8">
        <x:v>1</x:v>
      </x:c>
      <x:c r="G86" s="7" t="str">
        <x:v>Dasar</x:v>
      </x:c>
      <x:c r="H86" s="8">
        <x:v>912</x:v>
      </x:c>
      <x:c r="I86" s="9">
        <x:v>520881000</x:v>
      </x:c>
      <x:c r="J86" s="9">
        <x:v>688893631.14</x:v>
      </x:c>
      <x:c r="K86" s="8">
        <x:v>130094</x:v>
      </x:c>
      <x:c r="L86" s="9">
        <x:v>48768656400</x:v>
      </x:c>
      <x:c r="M86" s="9">
        <x:v>78257446369.68971</x:v>
      </x:c>
      <x:c r="N86" s="11" t="n">
        <x:f>MAX(K86-H86,0)</x:f>
        <x:v>129182</x:v>
      </x:c>
      <x:c r="O86" s="12" t="n">
        <x:f>MAX(M86-J86,0)</x:f>
        <x:v>77568552738.54971</x:v>
      </x:c>
      <x:c r="P86" s="11" t="n">
        <x:f>'01B_Kompetitor_RS'!E23</x:f>
        <x:v>869</x:v>
      </x:c>
      <x:c r="Q86" s="11" t="n">
        <x:f>'01B_Kompetitor_RS'!M23</x:f>
        <x:v>7</x:v>
      </x:c>
      <x:c r="R86" s="5" t="str">
        <x:f>'01B_Kompetitor_RS'!N23</x:f>
        <x: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x:v>
      </x:c>
    </x:row>
    <x:row r="87">
      <x:c r="A87" s="8">
        <x:v>22</x:v>
      </x:c>
      <x:c r="B87" s="7" t="str">
        <x:v>TRAUMA</x:v>
      </x:c>
      <x:c r="C87" s="7" t="str">
        <x:v>Trauma</x:v>
      </x:c>
      <x:c r="D87" s="8">
        <x:v>4</x:v>
      </x:c>
      <x:c r="E87" s="7" t="str">
        <x:v>Paripurna</x:v>
      </x:c>
      <x:c r="F87" s="8">
        <x:v>2</x:v>
      </x:c>
      <x:c r="G87" s="7" t="str">
        <x:v>Madya</x:v>
      </x:c>
      <x:c r="H87" s="8">
        <x:v>612</x:v>
      </x:c>
      <x:c r="I87" s="9">
        <x:v>2395929300</x:v>
      </x:c>
      <x:c r="J87" s="9">
        <x:v>2248455984.46</x:v>
      </x:c>
      <x:c r="K87" s="8">
        <x:v>49545</x:v>
      </x:c>
      <x:c r="L87" s="9">
        <x:v>81196378400</x:v>
      </x:c>
      <x:c r="M87" s="9">
        <x:v>146037690058.02014</x:v>
      </x:c>
      <x:c r="N87" s="11" t="n">
        <x:f>MAX(K87-H87,0)</x:f>
        <x:v>48933</x:v>
      </x:c>
      <x:c r="O87" s="12" t="n">
        <x:f>MAX(M87-J87,0)</x:f>
        <x:v>143789234073.56015</x:v>
      </x:c>
      <x:c r="P87" s="11" t="n">
        <x:f>'01B_Kompetitor_RS'!G23</x:f>
        <x:v>200</x:v>
      </x:c>
      <x:c r="Q87" s="11" t="n">
        <x:f>'01B_Kompetitor_RS'!M23</x:f>
        <x:v>7</x:v>
      </x:c>
      <x:c r="R87" s="5" t="str">
        <x:f>'01B_Kompetitor_RS'!N23</x:f>
        <x: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x:v>
      </x:c>
    </x:row>
    <x:row r="88">
      <x:c r="A88" s="8">
        <x:v>22</x:v>
      </x:c>
      <x:c r="B88" s="7" t="str">
        <x:v>TRAUMA</x:v>
      </x:c>
      <x:c r="C88" s="7" t="str">
        <x:v>Trauma</x:v>
      </x:c>
      <x:c r="D88" s="8">
        <x:v>4</x:v>
      </x:c>
      <x:c r="E88" s="7" t="str">
        <x:v>Paripurna</x:v>
      </x:c>
      <x:c r="F88" s="8">
        <x:v>3</x:v>
      </x:c>
      <x:c r="G88" s="7" t="str">
        <x:v>Utama</x:v>
      </x:c>
      <x:c r="H88" s="8">
        <x:v>601</x:v>
      </x:c>
      <x:c r="I88" s="9">
        <x:v>9958322900</x:v>
      </x:c>
      <x:c r="J88" s="9">
        <x:v>10009499639.42</x:v>
      </x:c>
      <x:c r="K88" s="8">
        <x:v>30546</x:v>
      </x:c>
      <x:c r="L88" s="9">
        <x:v>273335317500</x:v>
      </x:c>
      <x:c r="M88" s="9">
        <x:v>466457744409.5807</x:v>
      </x:c>
      <x:c r="N88" s="11" t="n">
        <x:f>MAX(K88-H88,0)</x:f>
        <x:v>29945</x:v>
      </x:c>
      <x:c r="O88" s="12" t="n">
        <x:f>MAX(M88-J88,0)</x:f>
        <x:v>456448244770.1607</x:v>
      </x:c>
      <x:c r="P88" s="11" t="n">
        <x:f>'01B_Kompetitor_RS'!I23</x:f>
        <x:v>30</x:v>
      </x:c>
      <x:c r="Q88" s="11" t="n">
        <x:f>'01B_Kompetitor_RS'!M23</x:f>
        <x:v>7</x:v>
      </x:c>
      <x:c r="R88" s="5" t="str">
        <x:f>'01B_Kompetitor_RS'!N23</x:f>
        <x: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x:v>
      </x:c>
    </x:row>
    <x:row r="89">
      <x:c r="A89" s="8">
        <x:v>22</x:v>
      </x:c>
      <x:c r="B89" s="7" t="str">
        <x:v>TRAUMA</x:v>
      </x:c>
      <x:c r="C89" s="7" t="str">
        <x:v>Trauma</x:v>
      </x:c>
      <x:c r="D89" s="8">
        <x:v>4</x:v>
      </x:c>
      <x:c r="E89" s="7" t="str">
        <x:v>Paripurna</x:v>
      </x:c>
      <x:c r="F89" s="8">
        <x:v>4</x:v>
      </x:c>
      <x:c r="G89" s="7" t="str">
        <x:v>Paripurna</x:v>
      </x:c>
      <x:c r="H89" s="8">
        <x:v>231</x:v>
      </x:c>
      <x:c r="I89" s="9">
        <x:v>8092761900</x:v>
      </x:c>
      <x:c r="J89" s="9">
        <x:v>7517678895.719999</x:v>
      </x:c>
      <x:c r="K89" s="8">
        <x:v>4538</x:v>
      </x:c>
      <x:c r="L89" s="9">
        <x:v>80748189695</x:v>
      </x:c>
      <x:c r="M89" s="9">
        <x:v>102878586581.46994</x:v>
      </x:c>
      <x:c r="N89" s="11" t="n">
        <x:f>MAX(K89-H89,0)</x:f>
        <x:v>4307</x:v>
      </x:c>
      <x:c r="O89" s="12" t="n">
        <x:f>MAX(M89-J89,0)</x:f>
        <x:v>95360907685.74994</x:v>
      </x:c>
      <x:c r="P89" s="11" t="n">
        <x:f>'01B_Kompetitor_RS'!K23</x:f>
        <x:v>7</x:v>
      </x:c>
      <x:c r="Q89" s="11" t="n">
        <x:f>'01B_Kompetitor_RS'!M23</x:f>
        <x:v>7</x:v>
      </x:c>
      <x:c r="R89" s="5" t="str">
        <x:f>'01B_Kompetitor_RS'!N23</x:f>
        <x: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x:v>
      </x:c>
    </x:row>
    <x:row r="90">
      <x:c r="A90" s="8">
        <x:v>23</x:v>
      </x:c>
      <x:c r="B90" s="7" t="str">
        <x:v>URO NEFRO</x:v>
      </x:c>
      <x:c r="C90" s="7" t="str">
        <x:v>Uro Nefro</x:v>
      </x:c>
      <x:c r="D90" s="8">
        <x:v>4</x:v>
      </x:c>
      <x:c r="E90" s="7" t="str">
        <x:v>Paripurna</x:v>
      </x:c>
      <x:c r="F90" s="8">
        <x:v>1</x:v>
      </x:c>
      <x:c r="G90" s="7" t="str">
        <x:v>Dasar</x:v>
      </x:c>
      <x:c r="H90" s="8">
        <x:v>7278</x:v>
      </x:c>
      <x:c r="I90" s="9">
        <x:v>4702520700</x:v>
      </x:c>
      <x:c r="J90" s="9">
        <x:v>4010975363.84</x:v>
      </x:c>
      <x:c r="K90" s="8">
        <x:v>1033963</x:v>
      </x:c>
      <x:c r="L90" s="9">
        <x:v>396179970775</x:v>
      </x:c>
      <x:c r="M90" s="9">
        <x:v>446924170369.7389</x:v>
      </x:c>
      <x:c r="N90" s="11" t="n">
        <x:f>MAX(K90-H90,0)</x:f>
        <x:v>1026685</x:v>
      </x:c>
      <x:c r="O90" s="12" t="n">
        <x:f>MAX(M90-J90,0)</x:f>
        <x:v>442913195005.89886</x:v>
      </x:c>
      <x:c r="P90" s="11" t="n">
        <x:f>'01B_Kompetitor_RS'!E24</x:f>
        <x:v>1117</x:v>
      </x:c>
      <x:c r="Q90" s="11" t="n">
        <x:f>'01B_Kompetitor_RS'!M24</x:f>
        <x:v>7</x:v>
      </x:c>
      <x:c r="R90" s="5" t="str">
        <x:f>'01B_Kompetitor_RS'!N24</x:f>
        <x:v>RSUP Dr. M. Djamil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91">
      <x:c r="A91" s="8">
        <x:v>23</x:v>
      </x:c>
      <x:c r="B91" s="7" t="str">
        <x:v>URO NEFRO</x:v>
      </x:c>
      <x:c r="C91" s="7" t="str">
        <x:v>Uro Nefro</x:v>
      </x:c>
      <x:c r="D91" s="8">
        <x:v>4</x:v>
      </x:c>
      <x:c r="E91" s="7" t="str">
        <x:v>Paripurna</x:v>
      </x:c>
      <x:c r="F91" s="8">
        <x:v>2</x:v>
      </x:c>
      <x:c r="G91" s="7" t="str">
        <x:v>Madya</x:v>
      </x:c>
      <x:c r="H91" s="8">
        <x:v>24079</x:v>
      </x:c>
      <x:c r="I91" s="9">
        <x:v>46657517700</x:v>
      </x:c>
      <x:c r="J91" s="9">
        <x:v>37293019772.19</x:v>
      </x:c>
      <x:c r="K91" s="8">
        <x:v>4880237</x:v>
      </x:c>
      <x:c r="L91" s="9">
        <x:v>5584870871675</x:v>
      </x:c>
      <x:c r="M91" s="9">
        <x:v>5755336825770.928</x:v>
      </x:c>
      <x:c r="N91" s="11" t="n">
        <x:f>MAX(K91-H91,0)</x:f>
        <x:v>4856158</x:v>
      </x:c>
      <x:c r="O91" s="12" t="n">
        <x:f>MAX(M91-J91,0)</x:f>
        <x:v>5718043805998.737</x:v>
      </x:c>
      <x:c r="P91" s="11" t="n">
        <x:f>'01B_Kompetitor_RS'!G24</x:f>
        <x:v>239</x:v>
      </x:c>
      <x:c r="Q91" s="11" t="n">
        <x:f>'01B_Kompetitor_RS'!M24</x:f>
        <x:v>7</x:v>
      </x:c>
      <x:c r="R91" s="5" t="str">
        <x:f>'01B_Kompetitor_RS'!N24</x:f>
        <x:v>RSUP Dr. M. Djamil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92">
      <x:c r="A92" s="8">
        <x:v>23</x:v>
      </x:c>
      <x:c r="B92" s="7" t="str">
        <x:v>URO NEFRO</x:v>
      </x:c>
      <x:c r="C92" s="7" t="str">
        <x:v>Uro Nefro</x:v>
      </x:c>
      <x:c r="D92" s="8">
        <x:v>4</x:v>
      </x:c>
      <x:c r="E92" s="7" t="str">
        <x:v>Paripurna</x:v>
      </x:c>
      <x:c r="F92" s="8">
        <x:v>3</x:v>
      </x:c>
      <x:c r="G92" s="7" t="str">
        <x:v>Utama</x:v>
      </x:c>
      <x:c r="H92" s="8">
        <x:v>7430</x:v>
      </x:c>
      <x:c r="I92" s="9">
        <x:v>25012924800</x:v>
      </x:c>
      <x:c r="J92" s="9">
        <x:v>19114931569.48</x:v>
      </x:c>
      <x:c r="K92" s="8">
        <x:v>530833</x:v>
      </x:c>
      <x:c r="L92" s="9">
        <x:v>1531234518315</x:v>
      </x:c>
      <x:c r="M92" s="9">
        <x:v>1654894616528.6494</x:v>
      </x:c>
      <x:c r="N92" s="11" t="n">
        <x:f>MAX(K92-H92,0)</x:f>
        <x:v>523403</x:v>
      </x:c>
      <x:c r="O92" s="12" t="n">
        <x:f>MAX(M92-J92,0)</x:f>
        <x:v>1635779684959.1694</x:v>
      </x:c>
      <x:c r="P92" s="11" t="n">
        <x:f>'01B_Kompetitor_RS'!I24</x:f>
        <x:v>1</x:v>
      </x:c>
      <x:c r="Q92" s="11" t="n">
        <x:f>'01B_Kompetitor_RS'!M24</x:f>
        <x:v>7</x:v>
      </x:c>
      <x:c r="R92" s="5" t="str">
        <x:f>'01B_Kompetitor_RS'!N24</x:f>
        <x:v>RSUP Dr. M. Djamil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  <x:row r="93">
      <x:c r="A93" s="8">
        <x:v>23</x:v>
      </x:c>
      <x:c r="B93" s="7" t="str">
        <x:v>URO NEFRO</x:v>
      </x:c>
      <x:c r="C93" s="7" t="str">
        <x:v>Uro Nefro</x:v>
      </x:c>
      <x:c r="D93" s="8">
        <x:v>4</x:v>
      </x:c>
      <x:c r="E93" s="7" t="str">
        <x:v>Paripurna</x:v>
      </x:c>
      <x:c r="F93" s="8">
        <x:v>4</x:v>
      </x:c>
      <x:c r="G93" s="7" t="str">
        <x:v>Paripurna</x:v>
      </x:c>
      <x:c r="H93" s="8">
        <x:v>245</x:v>
      </x:c>
      <x:c r="I93" s="9">
        <x:v>1982200400</x:v>
      </x:c>
      <x:c r="J93" s="9">
        <x:v>1532753666.0700002</x:v>
      </x:c>
      <x:c r="K93" s="8">
        <x:v>74220</x:v>
      </x:c>
      <x:c r="L93" s="9">
        <x:v>132517705665</x:v>
      </x:c>
      <x:c r="M93" s="9">
        <x:v>111032417482.68025</x:v>
      </x:c>
      <x:c r="N93" s="11" t="n">
        <x:f>MAX(K93-H93,0)</x:f>
        <x:v>73975</x:v>
      </x:c>
      <x:c r="O93" s="12" t="n">
        <x:f>MAX(M93-J93,0)</x:f>
        <x:v>109499663816.61024</x:v>
      </x:c>
      <x:c r="P93" s="11" t="n">
        <x:f>'01B_Kompetitor_RS'!K24</x:f>
        <x:v>7</x:v>
      </x:c>
      <x:c r="Q93" s="11" t="n">
        <x:f>'01B_Kompetitor_RS'!M24</x:f>
        <x:v>7</x:v>
      </x:c>
      <x:c r="R93" s="5" t="str">
        <x:f>'01B_Kompetitor_RS'!N24</x:f>
        <x:v>RSUP Dr. M. Djamil (Paripurna); RS Umum Pusat Dr. Hasan Sadikin (Paripurna); RS Umum Pusat Dr. Kariadi (Paripurna); RS Umum Daerah Dr. Saiful Anwar (Paripurna); RS Umum Daerah Dr. Soetomo (Paripurna); RSUP Prof. Dr. I.G.N.G. Ngoerah (Paripurna); RSUP Dr. Sardjito (Paripurna)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30.83203125" customWidth="1"/>
    <x:col min="2" max="2" width="36.83203125" customWidth="1"/>
    <x:col min="3" max="3" width="18.83203125" customWidth="1"/>
    <x:col min="4" max="4" width="10.83203125" customWidth="1"/>
    <x:col min="5" max="5" width="16.83203125" customWidth="1"/>
    <x:col min="6" max="6" width="16.83203125" customWidth="1"/>
    <x:col min="7" max="7" width="16.83203125" customWidth="1"/>
    <x:col min="8" max="8" width="18.83203125" customWidth="1"/>
    <x:col min="9" max="9" width="16.83203125" customWidth="1"/>
    <x:col min="10" max="10" width="16.83203125" customWidth="1"/>
    <x:col min="11" max="11" width="16.83203125" customWidth="1"/>
    <x:col min="12" max="12" width="18.83203125" customWidth="1"/>
  </x:cols>
  <x:sheetData>
    <x:row r="1">
      <x:c r="A1" s="4" t="str">
        <x:v>Kode Layanan</x:v>
      </x:c>
      <x:c r="B1" s="4" t="str">
        <x:v>Nama Layanan</x:v>
      </x:c>
      <x:c r="C1" s="4" t="str">
        <x:v>Kompetensi</x:v>
      </x:c>
      <x:c r="D1" s="4" t="str">
        <x:v>Skenario</x:v>
      </x:c>
      <x:c r="E1" s="4" t="str">
        <x:v>% Tambah Dasar</x:v>
      </x:c>
      <x:c r="F1" s="4" t="str">
        <x:v>% Tambah Madya</x:v>
      </x:c>
      <x:c r="G1" s="4" t="str">
        <x:v>% Tambah Utama</x:v>
      </x:c>
      <x:c r="H1" s="4" t="str">
        <x:v>% Tambah Paripurna</x:v>
      </x:c>
      <x:c r="I1" s="4" t="str">
        <x:v>% Kurang Dasar</x:v>
      </x:c>
      <x:c r="J1" s="4" t="str">
        <x:v>% Kurang Madya</x:v>
      </x:c>
      <x:c r="K1" s="4" t="str">
        <x:v>% Kurang Utama</x:v>
      </x:c>
      <x:c r="L1" s="4" t="str">
        <x:v>% Kurang Paripurna</x:v>
      </x:c>
    </x:row>
    <x:row r="2">
      <x:c r="A2" s="7" t="str">
        <x:v>ALERGI IMUNOLOGI DAN RHEUMATOLOGI</x:v>
      </x:c>
      <x:c r="B2" s="7" t="str">
        <x:v>Alergi, Imunologi &amp; Rheumatologi</x:v>
      </x:c>
      <x:c r="C2" s="7" t="str">
        <x:v>Paripurna</x:v>
      </x:c>
      <x:c r="D2" s="8">
        <x:v>1</x:v>
      </x:c>
      <x:c r="E2" s="13">
        <x:v>0</x:v>
      </x:c>
      <x:c r="F2" s="13">
        <x:v>0</x:v>
      </x:c>
      <x:c r="G2" s="13">
        <x:v>0.053</x:v>
      </x:c>
      <x:c r="H2" s="13">
        <x:v>0.16699999999999998</x:v>
      </x:c>
      <x:c r="I2" s="13">
        <x:v>0.5</x:v>
      </x:c>
      <x:c r="J2" s="13">
        <x:v>0.5</x:v>
      </x:c>
      <x:c r="K2" s="13">
        <x:v>0</x:v>
      </x:c>
      <x:c r="L2" s="13">
        <x:v>0</x:v>
      </x:c>
    </x:row>
    <x:row r="3">
      <x:c r="A3" s="7" t="str">
        <x:v>ALERGI IMUNOLOGI DAN RHEUMATOLOGI</x:v>
      </x:c>
      <x:c r="B3" s="7" t="str">
        <x:v>Alergi, Imunologi &amp; Rheumatologi</x:v>
      </x:c>
      <x:c r="C3" s="7" t="str">
        <x:v>Paripurna</x:v>
      </x:c>
      <x:c r="D3" s="8">
        <x:v>2</x:v>
      </x:c>
      <x:c r="E3" s="13">
        <x:v>0</x:v>
      </x:c>
      <x:c r="F3" s="13">
        <x:v>0</x:v>
      </x:c>
      <x:c r="G3" s="13">
        <x:v>0.153</x:v>
      </x:c>
      <x:c r="H3" s="13">
        <x:v>0.267</x:v>
      </x:c>
      <x:c r="I3" s="13">
        <x:v>0.6</x:v>
      </x:c>
      <x:c r="J3" s="13">
        <x:v>0.6</x:v>
      </x:c>
      <x:c r="K3" s="13">
        <x:v>0</x:v>
      </x:c>
      <x:c r="L3" s="13">
        <x:v>0</x:v>
      </x:c>
    </x:row>
    <x:row r="4">
      <x:c r="A4" s="7" t="str">
        <x:v>ALERGI IMUNOLOGI DAN RHEUMATOLOGI</x:v>
      </x:c>
      <x:c r="B4" s="7" t="str">
        <x:v>Alergi, Imunologi &amp; Rheumatologi</x:v>
      </x:c>
      <x:c r="C4" s="7" t="str">
        <x:v>Paripurna</x:v>
      </x:c>
      <x:c r="D4" s="8">
        <x:v>3</x:v>
      </x:c>
      <x:c r="E4" s="13">
        <x:v>0</x:v>
      </x:c>
      <x:c r="F4" s="13">
        <x:v>0</x:v>
      </x:c>
      <x:c r="G4" s="13">
        <x:v>0.253</x:v>
      </x:c>
      <x:c r="H4" s="13">
        <x:v>0.36700000000000005</x:v>
      </x:c>
      <x:c r="I4" s="13">
        <x:v>0.7</x:v>
      </x:c>
      <x:c r="J4" s="13">
        <x:v>0.7</x:v>
      </x:c>
      <x:c r="K4" s="13">
        <x:v>0</x:v>
      </x:c>
      <x:c r="L4" s="13">
        <x:v>0</x:v>
      </x:c>
    </x:row>
    <x:row r="5">
      <x:c r="A5" s="7" t="str">
        <x:v>ALERGI IMUNOLOGI DAN RHEUMATOLOGI</x:v>
      </x:c>
      <x:c r="B5" s="7" t="str">
        <x:v>Alergi, Imunologi &amp; Rheumatologi</x:v>
      </x:c>
      <x:c r="C5" s="7" t="str">
        <x:v>Paripurna</x:v>
      </x:c>
      <x:c r="D5" s="8">
        <x:v>4</x:v>
      </x:c>
      <x:c r="E5" s="13">
        <x:v>0</x:v>
      </x:c>
      <x:c r="F5" s="13">
        <x:v>0</x:v>
      </x:c>
      <x:c r="G5" s="13">
        <x:v>0.353</x:v>
      </x:c>
      <x:c r="H5" s="13">
        <x:v>0.467</x:v>
      </x:c>
      <x:c r="I5" s="13">
        <x:v>0.8</x:v>
      </x:c>
      <x:c r="J5" s="13">
        <x:v>0.8</x:v>
      </x:c>
      <x:c r="K5" s="13">
        <x:v>0</x:v>
      </x:c>
      <x:c r="L5" s="13">
        <x:v>0</x:v>
      </x:c>
    </x:row>
    <x:row r="6">
      <x:c r="A6" s="7" t="str">
        <x:v>ALERGI IMUNOLOGI DAN RHEUMATOLOGI</x:v>
      </x:c>
      <x:c r="B6" s="7" t="str">
        <x:v>Alergi, Imunologi &amp; Rheumatologi</x:v>
      </x:c>
      <x:c r="C6" s="7" t="str">
        <x:v>Paripurna</x:v>
      </x:c>
      <x:c r="D6" s="8">
        <x:v>5</x:v>
      </x:c>
      <x:c r="E6" s="13">
        <x:v>0</x:v>
      </x:c>
      <x:c r="F6" s="13">
        <x:v>0</x:v>
      </x:c>
      <x:c r="G6" s="13">
        <x:v>0.45299999999999996</x:v>
      </x:c>
      <x:c r="H6" s="13">
        <x:v>0.5670000000000001</x:v>
      </x:c>
      <x:c r="I6" s="13">
        <x:v>0.9</x:v>
      </x:c>
      <x:c r="J6" s="13">
        <x:v>0.9</x:v>
      </x:c>
      <x:c r="K6" s="13">
        <x:v>0</x:v>
      </x:c>
      <x:c r="L6" s="13">
        <x:v>0</x:v>
      </x:c>
    </x:row>
    <x:row r="7">
      <x:c r="A7" s="7" t="str">
        <x:v>ALERGI IMUNOLOGI DAN RHEUMATOLOGI</x:v>
      </x:c>
      <x:c r="B7" s="7" t="str">
        <x:v>Alergi, Imunologi &amp; Rheumatologi</x:v>
      </x:c>
      <x:c r="C7" s="7" t="str">
        <x:v>Paripurna</x:v>
      </x:c>
      <x:c r="D7" s="8">
        <x:v>6</x:v>
      </x:c>
      <x:c r="E7" s="13">
        <x:v>0</x:v>
      </x:c>
      <x:c r="F7" s="13">
        <x:v>0</x:v>
      </x:c>
      <x:c r="G7" s="13">
        <x:v>0.5529999999999999</x:v>
      </x:c>
      <x:c r="H7" s="13">
        <x:v>0.667</x:v>
      </x:c>
      <x:c r="I7" s="13">
        <x:v>1</x:v>
      </x:c>
      <x:c r="J7" s="13">
        <x:v>1</x:v>
      </x:c>
      <x:c r="K7" s="13">
        <x:v>0</x:v>
      </x:c>
      <x:c r="L7" s="13">
        <x:v>0</x:v>
      </x:c>
    </x:row>
    <x:row r="8">
      <x:c r="A8" s="7" t="str">
        <x:v>ENDOKRIN, NUTRISI DAN METABOLIK</x:v>
      </x:c>
      <x:c r="B8" s="7" t="str">
        <x:v>Endokrin, Nutrisi &amp; Metabolik</x:v>
      </x:c>
      <x:c r="C8" s="7" t="str">
        <x:v>Paripurna</x:v>
      </x:c>
      <x:c r="D8" s="8">
        <x:v>1</x:v>
      </x:c>
      <x:c r="E8" s="13">
        <x:v>0</x:v>
      </x:c>
      <x:c r="F8" s="13">
        <x:v>0</x:v>
      </x:c>
      <x:c r="G8" s="13">
        <x:v>0.063</x:v>
      </x:c>
      <x:c r="H8" s="13">
        <x:v>0.16699999999999998</x:v>
      </x:c>
      <x:c r="I8" s="13">
        <x:v>0.5</x:v>
      </x:c>
      <x:c r="J8" s="13">
        <x:v>0.5</x:v>
      </x:c>
      <x:c r="K8" s="13">
        <x:v>0</x:v>
      </x:c>
      <x:c r="L8" s="13">
        <x:v>0</x:v>
      </x:c>
    </x:row>
    <x:row r="9">
      <x:c r="A9" s="7" t="str">
        <x:v>ENDOKRIN, NUTRISI DAN METABOLIK</x:v>
      </x:c>
      <x:c r="B9" s="7" t="str">
        <x:v>Endokrin, Nutrisi &amp; Metabolik</x:v>
      </x:c>
      <x:c r="C9" s="7" t="str">
        <x:v>Paripurna</x:v>
      </x:c>
      <x:c r="D9" s="8">
        <x:v>2</x:v>
      </x:c>
      <x:c r="E9" s="13">
        <x:v>0</x:v>
      </x:c>
      <x:c r="F9" s="13">
        <x:v>0</x:v>
      </x:c>
      <x:c r="G9" s="13">
        <x:v>0.163</x:v>
      </x:c>
      <x:c r="H9" s="13">
        <x:v>0.267</x:v>
      </x:c>
      <x:c r="I9" s="13">
        <x:v>0.6</x:v>
      </x:c>
      <x:c r="J9" s="13">
        <x:v>0.6</x:v>
      </x:c>
      <x:c r="K9" s="13">
        <x:v>0</x:v>
      </x:c>
      <x:c r="L9" s="13">
        <x:v>0</x:v>
      </x:c>
    </x:row>
    <x:row r="10">
      <x:c r="A10" s="7" t="str">
        <x:v>ENDOKRIN, NUTRISI DAN METABOLIK</x:v>
      </x:c>
      <x:c r="B10" s="7" t="str">
        <x:v>Endokrin, Nutrisi &amp; Metabolik</x:v>
      </x:c>
      <x:c r="C10" s="7" t="str">
        <x:v>Paripurna</x:v>
      </x:c>
      <x:c r="D10" s="8">
        <x:v>3</x:v>
      </x:c>
      <x:c r="E10" s="13">
        <x:v>0</x:v>
      </x:c>
      <x:c r="F10" s="13">
        <x:v>0</x:v>
      </x:c>
      <x:c r="G10" s="13">
        <x:v>0.263</x:v>
      </x:c>
      <x:c r="H10" s="13">
        <x:v>0.36700000000000005</x:v>
      </x:c>
      <x:c r="I10" s="13">
        <x:v>0.7</x:v>
      </x:c>
      <x:c r="J10" s="13">
        <x:v>0.7</x:v>
      </x:c>
      <x:c r="K10" s="13">
        <x:v>0</x:v>
      </x:c>
      <x:c r="L10" s="13">
        <x:v>0</x:v>
      </x:c>
    </x:row>
    <x:row r="11">
      <x:c r="A11" s="7" t="str">
        <x:v>ENDOKRIN, NUTRISI DAN METABOLIK</x:v>
      </x:c>
      <x:c r="B11" s="7" t="str">
        <x:v>Endokrin, Nutrisi &amp; Metabolik</x:v>
      </x:c>
      <x:c r="C11" s="7" t="str">
        <x:v>Paripurna</x:v>
      </x:c>
      <x:c r="D11" s="8">
        <x:v>4</x:v>
      </x:c>
      <x:c r="E11" s="13">
        <x:v>0</x:v>
      </x:c>
      <x:c r="F11" s="13">
        <x:v>0</x:v>
      </x:c>
      <x:c r="G11" s="13">
        <x:v>0.363</x:v>
      </x:c>
      <x:c r="H11" s="13">
        <x:v>0.467</x:v>
      </x:c>
      <x:c r="I11" s="13">
        <x:v>0.8</x:v>
      </x:c>
      <x:c r="J11" s="13">
        <x:v>0.8</x:v>
      </x:c>
      <x:c r="K11" s="13">
        <x:v>0</x:v>
      </x:c>
      <x:c r="L11" s="13">
        <x:v>0</x:v>
      </x:c>
    </x:row>
    <x:row r="12">
      <x:c r="A12" s="7" t="str">
        <x:v>ENDOKRIN, NUTRISI DAN METABOLIK</x:v>
      </x:c>
      <x:c r="B12" s="7" t="str">
        <x:v>Endokrin, Nutrisi &amp; Metabolik</x:v>
      </x:c>
      <x:c r="C12" s="7" t="str">
        <x:v>Paripurna</x:v>
      </x:c>
      <x:c r="D12" s="8">
        <x:v>5</x:v>
      </x:c>
      <x:c r="E12" s="13">
        <x:v>0</x:v>
      </x:c>
      <x:c r="F12" s="13">
        <x:v>0</x:v>
      </x:c>
      <x:c r="G12" s="13">
        <x:v>0.46299999999999997</x:v>
      </x:c>
      <x:c r="H12" s="13">
        <x:v>0.5670000000000001</x:v>
      </x:c>
      <x:c r="I12" s="13">
        <x:v>0.9</x:v>
      </x:c>
      <x:c r="J12" s="13">
        <x:v>0.9</x:v>
      </x:c>
      <x:c r="K12" s="13">
        <x:v>0</x:v>
      </x:c>
      <x:c r="L12" s="13">
        <x:v>0</x:v>
      </x:c>
    </x:row>
    <x:row r="13">
      <x:c r="A13" s="7" t="str">
        <x:v>ENDOKRIN, NUTRISI DAN METABOLIK</x:v>
      </x:c>
      <x:c r="B13" s="7" t="str">
        <x:v>Endokrin, Nutrisi &amp; Metabolik</x:v>
      </x:c>
      <x:c r="C13" s="7" t="str">
        <x:v>Paripurna</x:v>
      </x:c>
      <x:c r="D13" s="8">
        <x:v>6</x:v>
      </x:c>
      <x:c r="E13" s="13">
        <x:v>0</x:v>
      </x:c>
      <x:c r="F13" s="13">
        <x:v>0</x:v>
      </x:c>
      <x:c r="G13" s="13">
        <x:v>0.563</x:v>
      </x:c>
      <x:c r="H13" s="13">
        <x:v>0.667</x:v>
      </x:c>
      <x:c r="I13" s="13">
        <x:v>1</x:v>
      </x:c>
      <x:c r="J13" s="13">
        <x:v>1</x:v>
      </x:c>
      <x:c r="K13" s="13">
        <x:v>0</x:v>
      </x:c>
      <x:c r="L13" s="13">
        <x:v>0</x:v>
      </x:c>
    </x:row>
    <x:row r="14">
      <x:c r="A14" s="7" t="str">
        <x:v>GIGI DAN MULUT</x:v>
      </x:c>
      <x:c r="B14" s="7" t="str">
        <x:v>Gigi &amp; Mulut</x:v>
      </x:c>
      <x:c r="C14" s="7" t="str">
        <x:v>Utama</x:v>
      </x:c>
      <x:c r="D14" s="8">
        <x:v>1</x:v>
      </x:c>
      <x:c r="E14" s="13">
        <x:v>0</x:v>
      </x:c>
      <x:c r="F14" s="13">
        <x:v>0.005</x:v>
      </x:c>
      <x:c r="G14" s="13">
        <x:v>0.055999999999999994</x:v>
      </x:c>
      <x:c r="H14" s="13">
        <x:v>0</x:v>
      </x:c>
      <x:c r="I14" s="13">
        <x:v>0.5</x:v>
      </x:c>
      <x:c r="J14" s="13">
        <x:v>0</x:v>
      </x:c>
      <x:c r="K14" s="13">
        <x:v>0</x:v>
      </x:c>
      <x:c r="L14" s="13">
        <x:v>1</x:v>
      </x:c>
    </x:row>
    <x:row r="15">
      <x:c r="A15" s="7" t="str">
        <x:v>GIGI DAN MULUT</x:v>
      </x:c>
      <x:c r="B15" s="7" t="str">
        <x:v>Gigi &amp; Mulut</x:v>
      </x:c>
      <x:c r="C15" s="7" t="str">
        <x:v>Utama</x:v>
      </x:c>
      <x:c r="D15" s="8">
        <x:v>2</x:v>
      </x:c>
      <x:c r="E15" s="13">
        <x:v>0</x:v>
      </x:c>
      <x:c r="F15" s="13">
        <x:v>0.105</x:v>
      </x:c>
      <x:c r="G15" s="13">
        <x:v>0.156</x:v>
      </x:c>
      <x:c r="H15" s="13">
        <x:v>0</x:v>
      </x:c>
      <x:c r="I15" s="13">
        <x:v>0.6</x:v>
      </x:c>
      <x:c r="J15" s="13">
        <x:v>0</x:v>
      </x:c>
      <x:c r="K15" s="13">
        <x:v>0</x:v>
      </x:c>
      <x:c r="L15" s="13">
        <x:v>1</x:v>
      </x:c>
    </x:row>
    <x:row r="16">
      <x:c r="A16" s="7" t="str">
        <x:v>GIGI DAN MULUT</x:v>
      </x:c>
      <x:c r="B16" s="7" t="str">
        <x:v>Gigi &amp; Mulut</x:v>
      </x:c>
      <x:c r="C16" s="7" t="str">
        <x:v>Utama</x:v>
      </x:c>
      <x:c r="D16" s="8">
        <x:v>3</x:v>
      </x:c>
      <x:c r="E16" s="13">
        <x:v>0</x:v>
      </x:c>
      <x:c r="F16" s="13">
        <x:v>0.205</x:v>
      </x:c>
      <x:c r="G16" s="13">
        <x:v>0.256</x:v>
      </x:c>
      <x:c r="H16" s="13">
        <x:v>0</x:v>
      </x:c>
      <x:c r="I16" s="13">
        <x:v>0.7</x:v>
      </x:c>
      <x:c r="J16" s="13">
        <x:v>0</x:v>
      </x:c>
      <x:c r="K16" s="13">
        <x:v>0</x:v>
      </x:c>
      <x:c r="L16" s="13">
        <x:v>1</x:v>
      </x:c>
    </x:row>
    <x:row r="17">
      <x:c r="A17" s="7" t="str">
        <x:v>GIGI DAN MULUT</x:v>
      </x:c>
      <x:c r="B17" s="7" t="str">
        <x:v>Gigi &amp; Mulut</x:v>
      </x:c>
      <x:c r="C17" s="7" t="str">
        <x:v>Utama</x:v>
      </x:c>
      <x:c r="D17" s="8">
        <x:v>4</x:v>
      </x:c>
      <x:c r="E17" s="13">
        <x:v>0</x:v>
      </x:c>
      <x:c r="F17" s="13">
        <x:v>0.305</x:v>
      </x:c>
      <x:c r="G17" s="13">
        <x:v>0.35600000000000004</x:v>
      </x:c>
      <x:c r="H17" s="13">
        <x:v>0</x:v>
      </x:c>
      <x:c r="I17" s="13">
        <x:v>0.8</x:v>
      </x:c>
      <x:c r="J17" s="13">
        <x:v>0</x:v>
      </x:c>
      <x:c r="K17" s="13">
        <x:v>0</x:v>
      </x:c>
      <x:c r="L17" s="13">
        <x:v>1</x:v>
      </x:c>
    </x:row>
    <x:row r="18">
      <x:c r="A18" s="7" t="str">
        <x:v>GIGI DAN MULUT</x:v>
      </x:c>
      <x:c r="B18" s="7" t="str">
        <x:v>Gigi &amp; Mulut</x:v>
      </x:c>
      <x:c r="C18" s="7" t="str">
        <x:v>Utama</x:v>
      </x:c>
      <x:c r="D18" s="8">
        <x:v>5</x:v>
      </x:c>
      <x:c r="E18" s="13">
        <x:v>0</x:v>
      </x:c>
      <x:c r="F18" s="13">
        <x:v>0.405</x:v>
      </x:c>
      <x:c r="G18" s="13">
        <x:v>0.456</x:v>
      </x:c>
      <x:c r="H18" s="13">
        <x:v>0</x:v>
      </x:c>
      <x:c r="I18" s="13">
        <x:v>0.9</x:v>
      </x:c>
      <x:c r="J18" s="13">
        <x:v>0</x:v>
      </x:c>
      <x:c r="K18" s="13">
        <x:v>0</x:v>
      </x:c>
      <x:c r="L18" s="13">
        <x:v>1</x:v>
      </x:c>
    </x:row>
    <x:row r="19">
      <x:c r="A19" s="7" t="str">
        <x:v>GIGI DAN MULUT</x:v>
      </x:c>
      <x:c r="B19" s="7" t="str">
        <x:v>Gigi &amp; Mulut</x:v>
      </x:c>
      <x:c r="C19" s="7" t="str">
        <x:v>Utama</x:v>
      </x:c>
      <x:c r="D19" s="8">
        <x:v>6</x:v>
      </x:c>
      <x:c r="E19" s="13">
        <x:v>0</x:v>
      </x:c>
      <x:c r="F19" s="13">
        <x:v>0.505</x:v>
      </x:c>
      <x:c r="G19" s="13">
        <x:v>0.556</x:v>
      </x:c>
      <x:c r="H19" s="13">
        <x:v>0</x:v>
      </x:c>
      <x:c r="I19" s="13">
        <x:v>1</x:v>
      </x:c>
      <x:c r="J19" s="13">
        <x:v>0</x:v>
      </x:c>
      <x:c r="K19" s="13">
        <x:v>0</x:v>
      </x:c>
      <x:c r="L19" s="13">
        <x:v>1</x:v>
      </x:c>
    </x:row>
    <x:row r="20">
      <x:c r="A20" s="7" t="str">
        <x:v>HEMATOLOGI</x:v>
      </x:c>
      <x:c r="B20" s="7" t="str">
        <x:v>Hematologi</x:v>
      </x:c>
      <x:c r="C20" s="7" t="str">
        <x:v>Utama</x:v>
      </x:c>
      <x:c r="D20" s="8">
        <x:v>1</x:v>
      </x:c>
      <x:c r="E20" s="13">
        <x:v>0</x:v>
      </x:c>
      <x:c r="F20" s="13">
        <x:v>0.003</x:v>
      </x:c>
      <x:c r="G20" s="13">
        <x:v>0.05</x:v>
      </x:c>
      <x:c r="H20" s="13">
        <x:v>0</x:v>
      </x:c>
      <x:c r="I20" s="13">
        <x:v>0.5</x:v>
      </x:c>
      <x:c r="J20" s="13">
        <x:v>0</x:v>
      </x:c>
      <x:c r="K20" s="13">
        <x:v>0</x:v>
      </x:c>
      <x:c r="L20" s="13">
        <x:v>1</x:v>
      </x:c>
    </x:row>
    <x:row r="21">
      <x:c r="A21" s="7" t="str">
        <x:v>HEMATOLOGI</x:v>
      </x:c>
      <x:c r="B21" s="7" t="str">
        <x:v>Hematologi</x:v>
      </x:c>
      <x:c r="C21" s="7" t="str">
        <x:v>Utama</x:v>
      </x:c>
      <x:c r="D21" s="8">
        <x:v>2</x:v>
      </x:c>
      <x:c r="E21" s="13">
        <x:v>0</x:v>
      </x:c>
      <x:c r="F21" s="13">
        <x:v>0.10300000000000001</x:v>
      </x:c>
      <x:c r="G21" s="13">
        <x:v>0.15</x:v>
      </x:c>
      <x:c r="H21" s="13">
        <x:v>0</x:v>
      </x:c>
      <x:c r="I21" s="13">
        <x:v>0.6</x:v>
      </x:c>
      <x:c r="J21" s="13">
        <x:v>0</x:v>
      </x:c>
      <x:c r="K21" s="13">
        <x:v>0</x:v>
      </x:c>
      <x:c r="L21" s="13">
        <x:v>1</x:v>
      </x:c>
    </x:row>
    <x:row r="22">
      <x:c r="A22" s="7" t="str">
        <x:v>HEMATOLOGI</x:v>
      </x:c>
      <x:c r="B22" s="7" t="str">
        <x:v>Hematologi</x:v>
      </x:c>
      <x:c r="C22" s="7" t="str">
        <x:v>Utama</x:v>
      </x:c>
      <x:c r="D22" s="8">
        <x:v>3</x:v>
      </x:c>
      <x:c r="E22" s="13">
        <x:v>0</x:v>
      </x:c>
      <x:c r="F22" s="13">
        <x:v>0.203</x:v>
      </x:c>
      <x:c r="G22" s="13">
        <x:v>0.25</x:v>
      </x:c>
      <x:c r="H22" s="13">
        <x:v>0</x:v>
      </x:c>
      <x:c r="I22" s="13">
        <x:v>0.7</x:v>
      </x:c>
      <x:c r="J22" s="13">
        <x:v>0</x:v>
      </x:c>
      <x:c r="K22" s="13">
        <x:v>0</x:v>
      </x:c>
      <x:c r="L22" s="13">
        <x:v>1</x:v>
      </x:c>
    </x:row>
    <x:row r="23">
      <x:c r="A23" s="7" t="str">
        <x:v>HEMATOLOGI</x:v>
      </x:c>
      <x:c r="B23" s="7" t="str">
        <x:v>Hematologi</x:v>
      </x:c>
      <x:c r="C23" s="7" t="str">
        <x:v>Utama</x:v>
      </x:c>
      <x:c r="D23" s="8">
        <x:v>4</x:v>
      </x:c>
      <x:c r="E23" s="13">
        <x:v>0</x:v>
      </x:c>
      <x:c r="F23" s="13">
        <x:v>0.303</x:v>
      </x:c>
      <x:c r="G23" s="13">
        <x:v>0.35</x:v>
      </x:c>
      <x:c r="H23" s="13">
        <x:v>0</x:v>
      </x:c>
      <x:c r="I23" s="13">
        <x:v>0.8</x:v>
      </x:c>
      <x:c r="J23" s="13">
        <x:v>0</x:v>
      </x:c>
      <x:c r="K23" s="13">
        <x:v>0</x:v>
      </x:c>
      <x:c r="L23" s="13">
        <x:v>1</x:v>
      </x:c>
    </x:row>
    <x:row r="24">
      <x:c r="A24" s="7" t="str">
        <x:v>HEMATOLOGI</x:v>
      </x:c>
      <x:c r="B24" s="7" t="str">
        <x:v>Hematologi</x:v>
      </x:c>
      <x:c r="C24" s="7" t="str">
        <x:v>Utama</x:v>
      </x:c>
      <x:c r="D24" s="8">
        <x:v>5</x:v>
      </x:c>
      <x:c r="E24" s="13">
        <x:v>0</x:v>
      </x:c>
      <x:c r="F24" s="13">
        <x:v>0.40299999999999997</x:v>
      </x:c>
      <x:c r="G24" s="13">
        <x:v>0.45</x:v>
      </x:c>
      <x:c r="H24" s="13">
        <x:v>0</x:v>
      </x:c>
      <x:c r="I24" s="13">
        <x:v>0.9</x:v>
      </x:c>
      <x:c r="J24" s="13">
        <x:v>0</x:v>
      </x:c>
      <x:c r="K24" s="13">
        <x:v>0</x:v>
      </x:c>
      <x:c r="L24" s="13">
        <x:v>1</x:v>
      </x:c>
    </x:row>
    <x:row r="25">
      <x:c r="A25" s="7" t="str">
        <x:v>HEMATOLOGI</x:v>
      </x:c>
      <x:c r="B25" s="7" t="str">
        <x:v>Hematologi</x:v>
      </x:c>
      <x:c r="C25" s="7" t="str">
        <x:v>Utama</x:v>
      </x:c>
      <x:c r="D25" s="8">
        <x:v>6</x:v>
      </x:c>
      <x:c r="E25" s="13">
        <x:v>0</x:v>
      </x:c>
      <x:c r="F25" s="13">
        <x:v>0.503</x:v>
      </x:c>
      <x:c r="G25" s="13">
        <x:v>0.55</x:v>
      </x:c>
      <x:c r="H25" s="13">
        <x:v>0</x:v>
      </x:c>
      <x:c r="I25" s="13">
        <x:v>1</x:v>
      </x:c>
      <x:c r="J25" s="13">
        <x:v>0</x:v>
      </x:c>
      <x:c r="K25" s="13">
        <x:v>0</x:v>
      </x:c>
      <x:c r="L25" s="13">
        <x:v>1</x:v>
      </x:c>
    </x:row>
    <x:row r="26">
      <x:c r="A26" s="7" t="str">
        <x:v>IBU DAN GINEKOLOGI</x:v>
      </x:c>
      <x:c r="B26" s="7" t="str">
        <x:v>Ibu &amp; Ginekologi</x:v>
      </x:c>
      <x:c r="C26" s="7" t="str">
        <x:v>Paripurna</x:v>
      </x:c>
      <x:c r="D26" s="8">
        <x:v>1</x:v>
      </x:c>
      <x:c r="E26" s="13">
        <x:v>0</x:v>
      </x:c>
      <x:c r="F26" s="13">
        <x:v>0</x:v>
      </x:c>
      <x:c r="G26" s="13">
        <x:v>0.043</x:v>
      </x:c>
      <x:c r="H26" s="13">
        <x:v>0.111</x:v>
      </x:c>
      <x:c r="I26" s="13">
        <x:v>0.5</x:v>
      </x:c>
      <x:c r="J26" s="13">
        <x:v>0.5</x:v>
      </x:c>
      <x:c r="K26" s="13">
        <x:v>0</x:v>
      </x:c>
      <x:c r="L26" s="13">
        <x:v>0</x:v>
      </x:c>
    </x:row>
    <x:row r="27">
      <x:c r="A27" s="7" t="str">
        <x:v>IBU DAN GINEKOLOGI</x:v>
      </x:c>
      <x:c r="B27" s="7" t="str">
        <x:v>Ibu &amp; Ginekologi</x:v>
      </x:c>
      <x:c r="C27" s="7" t="str">
        <x:v>Paripurna</x:v>
      </x:c>
      <x:c r="D27" s="8">
        <x:v>2</x:v>
      </x:c>
      <x:c r="E27" s="13">
        <x:v>0</x:v>
      </x:c>
      <x:c r="F27" s="13">
        <x:v>0</x:v>
      </x:c>
      <x:c r="G27" s="13">
        <x:v>0.14300000000000002</x:v>
      </x:c>
      <x:c r="H27" s="13">
        <x:v>0.21100000000000002</x:v>
      </x:c>
      <x:c r="I27" s="13">
        <x:v>0.6</x:v>
      </x:c>
      <x:c r="J27" s="13">
        <x:v>0.6</x:v>
      </x:c>
      <x:c r="K27" s="13">
        <x:v>0</x:v>
      </x:c>
      <x:c r="L27" s="13">
        <x:v>0</x:v>
      </x:c>
    </x:row>
    <x:row r="28">
      <x:c r="A28" s="7" t="str">
        <x:v>IBU DAN GINEKOLOGI</x:v>
      </x:c>
      <x:c r="B28" s="7" t="str">
        <x:v>Ibu &amp; Ginekologi</x:v>
      </x:c>
      <x:c r="C28" s="7" t="str">
        <x:v>Paripurna</x:v>
      </x:c>
      <x:c r="D28" s="8">
        <x:v>3</x:v>
      </x:c>
      <x:c r="E28" s="13">
        <x:v>0</x:v>
      </x:c>
      <x:c r="F28" s="13">
        <x:v>0</x:v>
      </x:c>
      <x:c r="G28" s="13">
        <x:v>0.243</x:v>
      </x:c>
      <x:c r="H28" s="13">
        <x:v>0.311</x:v>
      </x:c>
      <x:c r="I28" s="13">
        <x:v>0.7</x:v>
      </x:c>
      <x:c r="J28" s="13">
        <x:v>0.7</x:v>
      </x:c>
      <x:c r="K28" s="13">
        <x:v>0</x:v>
      </x:c>
      <x:c r="L28" s="13">
        <x:v>0</x:v>
      </x:c>
    </x:row>
    <x:row r="29">
      <x:c r="A29" s="7" t="str">
        <x:v>IBU DAN GINEKOLOGI</x:v>
      </x:c>
      <x:c r="B29" s="7" t="str">
        <x:v>Ibu &amp; Ginekologi</x:v>
      </x:c>
      <x:c r="C29" s="7" t="str">
        <x:v>Paripurna</x:v>
      </x:c>
      <x:c r="D29" s="8">
        <x:v>4</x:v>
      </x:c>
      <x:c r="E29" s="13">
        <x:v>0</x:v>
      </x:c>
      <x:c r="F29" s="13">
        <x:v>0</x:v>
      </x:c>
      <x:c r="G29" s="13">
        <x:v>0.34299999999999997</x:v>
      </x:c>
      <x:c r="H29" s="13">
        <x:v>0.41100000000000003</x:v>
      </x:c>
      <x:c r="I29" s="13">
        <x:v>0.8</x:v>
      </x:c>
      <x:c r="J29" s="13">
        <x:v>0.8</x:v>
      </x:c>
      <x:c r="K29" s="13">
        <x:v>0</x:v>
      </x:c>
      <x:c r="L29" s="13">
        <x:v>0</x:v>
      </x:c>
    </x:row>
    <x:row r="30">
      <x:c r="A30" s="7" t="str">
        <x:v>IBU DAN GINEKOLOGI</x:v>
      </x:c>
      <x:c r="B30" s="7" t="str">
        <x:v>Ibu &amp; Ginekologi</x:v>
      </x:c>
      <x:c r="C30" s="7" t="str">
        <x:v>Paripurna</x:v>
      </x:c>
      <x:c r="D30" s="8">
        <x:v>5</x:v>
      </x:c>
      <x:c r="E30" s="13">
        <x:v>0</x:v>
      </x:c>
      <x:c r="F30" s="13">
        <x:v>0</x:v>
      </x:c>
      <x:c r="G30" s="13">
        <x:v>0.44299999999999995</x:v>
      </x:c>
      <x:c r="H30" s="13">
        <x:v>0.511</x:v>
      </x:c>
      <x:c r="I30" s="13">
        <x:v>0.9</x:v>
      </x:c>
      <x:c r="J30" s="13">
        <x:v>0.9</x:v>
      </x:c>
      <x:c r="K30" s="13">
        <x:v>0</x:v>
      </x:c>
      <x:c r="L30" s="13">
        <x:v>0</x:v>
      </x:c>
    </x:row>
    <x:row r="31">
      <x:c r="A31" s="7" t="str">
        <x:v>IBU DAN GINEKOLOGI</x:v>
      </x:c>
      <x:c r="B31" s="7" t="str">
        <x:v>Ibu &amp; Ginekologi</x:v>
      </x:c>
      <x:c r="C31" s="7" t="str">
        <x:v>Paripurna</x:v>
      </x:c>
      <x:c r="D31" s="8">
        <x:v>6</x:v>
      </x:c>
      <x:c r="E31" s="13">
        <x:v>0</x:v>
      </x:c>
      <x:c r="F31" s="13">
        <x:v>0</x:v>
      </x:c>
      <x:c r="G31" s="13">
        <x:v>0.5429999999999999</x:v>
      </x:c>
      <x:c r="H31" s="13">
        <x:v>0.611</x:v>
      </x:c>
      <x:c r="I31" s="13">
        <x:v>1</x:v>
      </x:c>
      <x:c r="J31" s="13">
        <x:v>1</x:v>
      </x:c>
      <x:c r="K31" s="13">
        <x:v>0</x:v>
      </x:c>
      <x:c r="L31" s="13">
        <x:v>0</x:v>
      </x:c>
    </x:row>
    <x:row r="32">
      <x:c r="A32" s="7" t="str">
        <x:v>INFEKSI DAN PARASIT</x:v>
      </x:c>
      <x:c r="B32" s="7" t="str">
        <x:v>Infeksi &amp; Parasit</x:v>
      </x:c>
      <x:c r="C32" s="7" t="str">
        <x:v>Paripurna</x:v>
      </x:c>
      <x:c r="D32" s="8">
        <x:v>1</x:v>
      </x:c>
      <x:c r="E32" s="13">
        <x:v>0</x:v>
      </x:c>
      <x:c r="F32" s="13">
        <x:v>0</x:v>
      </x:c>
      <x:c r="G32" s="13">
        <x:v>0.091</x:v>
      </x:c>
      <x:c r="H32" s="13">
        <x:v>0.14300000000000002</x:v>
      </x:c>
      <x:c r="I32" s="13">
        <x:v>0.5</x:v>
      </x:c>
      <x:c r="J32" s="13">
        <x:v>0.5</x:v>
      </x:c>
      <x:c r="K32" s="13">
        <x:v>0</x:v>
      </x:c>
      <x:c r="L32" s="13">
        <x:v>0</x:v>
      </x:c>
    </x:row>
    <x:row r="33">
      <x:c r="A33" s="7" t="str">
        <x:v>INFEKSI DAN PARASIT</x:v>
      </x:c>
      <x:c r="B33" s="7" t="str">
        <x:v>Infeksi &amp; Parasit</x:v>
      </x:c>
      <x:c r="C33" s="7" t="str">
        <x:v>Paripurna</x:v>
      </x:c>
      <x:c r="D33" s="8">
        <x:v>2</x:v>
      </x:c>
      <x:c r="E33" s="13">
        <x:v>0</x:v>
      </x:c>
      <x:c r="F33" s="13">
        <x:v>0</x:v>
      </x:c>
      <x:c r="G33" s="13">
        <x:v>0.191</x:v>
      </x:c>
      <x:c r="H33" s="13">
        <x:v>0.243</x:v>
      </x:c>
      <x:c r="I33" s="13">
        <x:v>0.6</x:v>
      </x:c>
      <x:c r="J33" s="13">
        <x:v>0.6</x:v>
      </x:c>
      <x:c r="K33" s="13">
        <x:v>0</x:v>
      </x:c>
      <x:c r="L33" s="13">
        <x:v>0</x:v>
      </x:c>
    </x:row>
    <x:row r="34">
      <x:c r="A34" s="7" t="str">
        <x:v>INFEKSI DAN PARASIT</x:v>
      </x:c>
      <x:c r="B34" s="7" t="str">
        <x:v>Infeksi &amp; Parasit</x:v>
      </x:c>
      <x:c r="C34" s="7" t="str">
        <x:v>Paripurna</x:v>
      </x:c>
      <x:c r="D34" s="8">
        <x:v>3</x:v>
      </x:c>
      <x:c r="E34" s="13">
        <x:v>0</x:v>
      </x:c>
      <x:c r="F34" s="13">
        <x:v>0</x:v>
      </x:c>
      <x:c r="G34" s="13">
        <x:v>0.29100000000000004</x:v>
      </x:c>
      <x:c r="H34" s="13">
        <x:v>0.34299999999999997</x:v>
      </x:c>
      <x:c r="I34" s="13">
        <x:v>0.7</x:v>
      </x:c>
      <x:c r="J34" s="13">
        <x:v>0.7</x:v>
      </x:c>
      <x:c r="K34" s="13">
        <x:v>0</x:v>
      </x:c>
      <x:c r="L34" s="13">
        <x:v>0</x:v>
      </x:c>
    </x:row>
    <x:row r="35">
      <x:c r="A35" s="7" t="str">
        <x:v>INFEKSI DAN PARASIT</x:v>
      </x:c>
      <x:c r="B35" s="7" t="str">
        <x:v>Infeksi &amp; Parasit</x:v>
      </x:c>
      <x:c r="C35" s="7" t="str">
        <x:v>Paripurna</x:v>
      </x:c>
      <x:c r="D35" s="8">
        <x:v>4</x:v>
      </x:c>
      <x:c r="E35" s="13">
        <x:v>0</x:v>
      </x:c>
      <x:c r="F35" s="13">
        <x:v>0</x:v>
      </x:c>
      <x:c r="G35" s="13">
        <x:v>0.391</x:v>
      </x:c>
      <x:c r="H35" s="13">
        <x:v>0.44299999999999995</x:v>
      </x:c>
      <x:c r="I35" s="13">
        <x:v>0.8</x:v>
      </x:c>
      <x:c r="J35" s="13">
        <x:v>0.8</x:v>
      </x:c>
      <x:c r="K35" s="13">
        <x:v>0</x:v>
      </x:c>
      <x:c r="L35" s="13">
        <x:v>0</x:v>
      </x:c>
    </x:row>
    <x:row r="36">
      <x:c r="A36" s="7" t="str">
        <x:v>INFEKSI DAN PARASIT</x:v>
      </x:c>
      <x:c r="B36" s="7" t="str">
        <x:v>Infeksi &amp; Parasit</x:v>
      </x:c>
      <x:c r="C36" s="7" t="str">
        <x:v>Paripurna</x:v>
      </x:c>
      <x:c r="D36" s="8">
        <x:v>5</x:v>
      </x:c>
      <x:c r="E36" s="13">
        <x:v>0</x:v>
      </x:c>
      <x:c r="F36" s="13">
        <x:v>0</x:v>
      </x:c>
      <x:c r="G36" s="13">
        <x:v>0.491</x:v>
      </x:c>
      <x:c r="H36" s="13">
        <x:v>0.5429999999999999</x:v>
      </x:c>
      <x:c r="I36" s="13">
        <x:v>0.9</x:v>
      </x:c>
      <x:c r="J36" s="13">
        <x:v>0.9</x:v>
      </x:c>
      <x:c r="K36" s="13">
        <x:v>0</x:v>
      </x:c>
      <x:c r="L36" s="13">
        <x:v>0</x:v>
      </x:c>
    </x:row>
    <x:row r="37">
      <x:c r="A37" s="7" t="str">
        <x:v>INFEKSI DAN PARASIT</x:v>
      </x:c>
      <x:c r="B37" s="7" t="str">
        <x:v>Infeksi &amp; Parasit</x:v>
      </x:c>
      <x:c r="C37" s="7" t="str">
        <x:v>Paripurna</x:v>
      </x:c>
      <x:c r="D37" s="8">
        <x:v>6</x:v>
      </x:c>
      <x:c r="E37" s="13">
        <x:v>0</x:v>
      </x:c>
      <x:c r="F37" s="13">
        <x:v>0</x:v>
      </x:c>
      <x:c r="G37" s="13">
        <x:v>0.591</x:v>
      </x:c>
      <x:c r="H37" s="13">
        <x:v>0.643</x:v>
      </x:c>
      <x:c r="I37" s="13">
        <x:v>1</x:v>
      </x:c>
      <x:c r="J37" s="13">
        <x:v>1</x:v>
      </x:c>
      <x:c r="K37" s="13">
        <x:v>0</x:v>
      </x:c>
      <x:c r="L37" s="13">
        <x:v>0</x:v>
      </x:c>
    </x:row>
    <x:row r="38">
      <x:c r="A38" s="7" t="str">
        <x:v>JANTUNG DAN PEMBULUH DARAH</x:v>
      </x:c>
      <x:c r="B38" s="7" t="str">
        <x:v>Jantung &amp; Pembuluh Darah</x:v>
      </x:c>
      <x:c r="C38" s="7" t="str">
        <x:v>Utama</x:v>
      </x:c>
      <x:c r="D38" s="8">
        <x:v>1</x:v>
      </x:c>
      <x:c r="E38" s="13">
        <x:v>0</x:v>
      </x:c>
      <x:c r="F38" s="13">
        <x:v>0.006999999999999999</x:v>
      </x:c>
      <x:c r="G38" s="13">
        <x:v>0.059000000000000004</x:v>
      </x:c>
      <x:c r="H38" s="13">
        <x:v>0</x:v>
      </x:c>
      <x:c r="I38" s="13">
        <x:v>0.5</x:v>
      </x:c>
      <x:c r="J38" s="13">
        <x:v>0</x:v>
      </x:c>
      <x:c r="K38" s="13">
        <x:v>0</x:v>
      </x:c>
      <x:c r="L38" s="13">
        <x:v>1</x:v>
      </x:c>
    </x:row>
    <x:row r="39">
      <x:c r="A39" s="7" t="str">
        <x:v>JANTUNG DAN PEMBULUH DARAH</x:v>
      </x:c>
      <x:c r="B39" s="7" t="str">
        <x:v>Jantung &amp; Pembuluh Darah</x:v>
      </x:c>
      <x:c r="C39" s="7" t="str">
        <x:v>Utama</x:v>
      </x:c>
      <x:c r="D39" s="8">
        <x:v>2</x:v>
      </x:c>
      <x:c r="E39" s="13">
        <x:v>0</x:v>
      </x:c>
      <x:c r="F39" s="13">
        <x:v>0.107</x:v>
      </x:c>
      <x:c r="G39" s="13">
        <x:v>0.159</x:v>
      </x:c>
      <x:c r="H39" s="13">
        <x:v>0</x:v>
      </x:c>
      <x:c r="I39" s="13">
        <x:v>0.6</x:v>
      </x:c>
      <x:c r="J39" s="13">
        <x:v>0</x:v>
      </x:c>
      <x:c r="K39" s="13">
        <x:v>0</x:v>
      </x:c>
      <x:c r="L39" s="13">
        <x:v>1</x:v>
      </x:c>
    </x:row>
    <x:row r="40">
      <x:c r="A40" s="7" t="str">
        <x:v>JANTUNG DAN PEMBULUH DARAH</x:v>
      </x:c>
      <x:c r="B40" s="7" t="str">
        <x:v>Jantung &amp; Pembuluh Darah</x:v>
      </x:c>
      <x:c r="C40" s="7" t="str">
        <x:v>Utama</x:v>
      </x:c>
      <x:c r="D40" s="8">
        <x:v>3</x:v>
      </x:c>
      <x:c r="E40" s="13">
        <x:v>0</x:v>
      </x:c>
      <x:c r="F40" s="13">
        <x:v>0.207</x:v>
      </x:c>
      <x:c r="G40" s="13">
        <x:v>0.259</x:v>
      </x:c>
      <x:c r="H40" s="13">
        <x:v>0</x:v>
      </x:c>
      <x:c r="I40" s="13">
        <x:v>0.7</x:v>
      </x:c>
      <x:c r="J40" s="13">
        <x:v>0</x:v>
      </x:c>
      <x:c r="K40" s="13">
        <x:v>0</x:v>
      </x:c>
      <x:c r="L40" s="13">
        <x:v>1</x:v>
      </x:c>
    </x:row>
    <x:row r="41">
      <x:c r="A41" s="7" t="str">
        <x:v>JANTUNG DAN PEMBULUH DARAH</x:v>
      </x:c>
      <x:c r="B41" s="7" t="str">
        <x:v>Jantung &amp; Pembuluh Darah</x:v>
      </x:c>
      <x:c r="C41" s="7" t="str">
        <x:v>Utama</x:v>
      </x:c>
      <x:c r="D41" s="8">
        <x:v>4</x:v>
      </x:c>
      <x:c r="E41" s="13">
        <x:v>0</x:v>
      </x:c>
      <x:c r="F41" s="13">
        <x:v>0.307</x:v>
      </x:c>
      <x:c r="G41" s="13">
        <x:v>0.359</x:v>
      </x:c>
      <x:c r="H41" s="13">
        <x:v>0</x:v>
      </x:c>
      <x:c r="I41" s="13">
        <x:v>0.8</x:v>
      </x:c>
      <x:c r="J41" s="13">
        <x:v>0</x:v>
      </x:c>
      <x:c r="K41" s="13">
        <x:v>0</x:v>
      </x:c>
      <x:c r="L41" s="13">
        <x:v>1</x:v>
      </x:c>
    </x:row>
    <x:row r="42">
      <x:c r="A42" s="7" t="str">
        <x:v>JANTUNG DAN PEMBULUH DARAH</x:v>
      </x:c>
      <x:c r="B42" s="7" t="str">
        <x:v>Jantung &amp; Pembuluh Darah</x:v>
      </x:c>
      <x:c r="C42" s="7" t="str">
        <x:v>Utama</x:v>
      </x:c>
      <x:c r="D42" s="8">
        <x:v>5</x:v>
      </x:c>
      <x:c r="E42" s="13">
        <x:v>0</x:v>
      </x:c>
      <x:c r="F42" s="13">
        <x:v>0.40700000000000003</x:v>
      </x:c>
      <x:c r="G42" s="13">
        <x:v>0.45899999999999996</x:v>
      </x:c>
      <x:c r="H42" s="13">
        <x:v>0</x:v>
      </x:c>
      <x:c r="I42" s="13">
        <x:v>0.9</x:v>
      </x:c>
      <x:c r="J42" s="13">
        <x:v>0</x:v>
      </x:c>
      <x:c r="K42" s="13">
        <x:v>0</x:v>
      </x:c>
      <x:c r="L42" s="13">
        <x:v>1</x:v>
      </x:c>
    </x:row>
    <x:row r="43">
      <x:c r="A43" s="7" t="str">
        <x:v>JANTUNG DAN PEMBULUH DARAH</x:v>
      </x:c>
      <x:c r="B43" s="7" t="str">
        <x:v>Jantung &amp; Pembuluh Darah</x:v>
      </x:c>
      <x:c r="C43" s="7" t="str">
        <x:v>Utama</x:v>
      </x:c>
      <x:c r="D43" s="8">
        <x:v>6</x:v>
      </x:c>
      <x:c r="E43" s="13">
        <x:v>0</x:v>
      </x:c>
      <x:c r="F43" s="13">
        <x:v>0.507</x:v>
      </x:c>
      <x:c r="G43" s="13">
        <x:v>0.5589999999999999</x:v>
      </x:c>
      <x:c r="H43" s="13">
        <x:v>0</x:v>
      </x:c>
      <x:c r="I43" s="13">
        <x:v>1</x:v>
      </x:c>
      <x:c r="J43" s="13">
        <x:v>0</x:v>
      </x:c>
      <x:c r="K43" s="13">
        <x:v>0</x:v>
      </x:c>
      <x:c r="L43" s="13">
        <x:v>1</x:v>
      </x:c>
    </x:row>
    <x:row r="44">
      <x:c r="A44" s="7" t="str">
        <x:v>JIWA</x:v>
      </x:c>
      <x:c r="B44" s="7" t="str">
        <x:v>Jiwa</x:v>
      </x:c>
      <x:c r="C44" s="7" t="str">
        <x:v>Paripurna</x:v>
      </x:c>
      <x:c r="D44" s="8">
        <x:v>1</x:v>
      </x:c>
      <x:c r="E44" s="13">
        <x:v>0</x:v>
      </x:c>
      <x:c r="F44" s="13">
        <x:v>0</x:v>
      </x:c>
      <x:c r="G44" s="13">
        <x:v>0.053</x:v>
      </x:c>
      <x:c r="H44" s="13">
        <x:v>0.111</x:v>
      </x:c>
      <x:c r="I44" s="13">
        <x:v>0.5</x:v>
      </x:c>
      <x:c r="J44" s="13">
        <x:v>0.5</x:v>
      </x:c>
      <x:c r="K44" s="13">
        <x:v>0</x:v>
      </x:c>
      <x:c r="L44" s="13">
        <x:v>0</x:v>
      </x:c>
    </x:row>
    <x:row r="45">
      <x:c r="A45" s="7" t="str">
        <x:v>JIWA</x:v>
      </x:c>
      <x:c r="B45" s="7" t="str">
        <x:v>Jiwa</x:v>
      </x:c>
      <x:c r="C45" s="7" t="str">
        <x:v>Paripurna</x:v>
      </x:c>
      <x:c r="D45" s="8">
        <x:v>2</x:v>
      </x:c>
      <x:c r="E45" s="13">
        <x:v>0</x:v>
      </x:c>
      <x:c r="F45" s="13">
        <x:v>0</x:v>
      </x:c>
      <x:c r="G45" s="13">
        <x:v>0.153</x:v>
      </x:c>
      <x:c r="H45" s="13">
        <x:v>0.21100000000000002</x:v>
      </x:c>
      <x:c r="I45" s="13">
        <x:v>0.6</x:v>
      </x:c>
      <x:c r="J45" s="13">
        <x:v>0.6</x:v>
      </x:c>
      <x:c r="K45" s="13">
        <x:v>0</x:v>
      </x:c>
      <x:c r="L45" s="13">
        <x:v>0</x:v>
      </x:c>
    </x:row>
    <x:row r="46">
      <x:c r="A46" s="7" t="str">
        <x:v>JIWA</x:v>
      </x:c>
      <x:c r="B46" s="7" t="str">
        <x:v>Jiwa</x:v>
      </x:c>
      <x:c r="C46" s="7" t="str">
        <x:v>Paripurna</x:v>
      </x:c>
      <x:c r="D46" s="8">
        <x:v>3</x:v>
      </x:c>
      <x:c r="E46" s="13">
        <x:v>0</x:v>
      </x:c>
      <x:c r="F46" s="13">
        <x:v>0</x:v>
      </x:c>
      <x:c r="G46" s="13">
        <x:v>0.253</x:v>
      </x:c>
      <x:c r="H46" s="13">
        <x:v>0.311</x:v>
      </x:c>
      <x:c r="I46" s="13">
        <x:v>0.7</x:v>
      </x:c>
      <x:c r="J46" s="13">
        <x:v>0.7</x:v>
      </x:c>
      <x:c r="K46" s="13">
        <x:v>0</x:v>
      </x:c>
      <x:c r="L46" s="13">
        <x:v>0</x:v>
      </x:c>
    </x:row>
    <x:row r="47">
      <x:c r="A47" s="7" t="str">
        <x:v>JIWA</x:v>
      </x:c>
      <x:c r="B47" s="7" t="str">
        <x:v>Jiwa</x:v>
      </x:c>
      <x:c r="C47" s="7" t="str">
        <x:v>Paripurna</x:v>
      </x:c>
      <x:c r="D47" s="8">
        <x:v>4</x:v>
      </x:c>
      <x:c r="E47" s="13">
        <x:v>0</x:v>
      </x:c>
      <x:c r="F47" s="13">
        <x:v>0</x:v>
      </x:c>
      <x:c r="G47" s="13">
        <x:v>0.353</x:v>
      </x:c>
      <x:c r="H47" s="13">
        <x:v>0.41100000000000003</x:v>
      </x:c>
      <x:c r="I47" s="13">
        <x:v>0.8</x:v>
      </x:c>
      <x:c r="J47" s="13">
        <x:v>0.8</x:v>
      </x:c>
      <x:c r="K47" s="13">
        <x:v>0</x:v>
      </x:c>
      <x:c r="L47" s="13">
        <x:v>0</x:v>
      </x:c>
    </x:row>
    <x:row r="48">
      <x:c r="A48" s="7" t="str">
        <x:v>JIWA</x:v>
      </x:c>
      <x:c r="B48" s="7" t="str">
        <x:v>Jiwa</x:v>
      </x:c>
      <x:c r="C48" s="7" t="str">
        <x:v>Paripurna</x:v>
      </x:c>
      <x:c r="D48" s="8">
        <x:v>5</x:v>
      </x:c>
      <x:c r="E48" s="13">
        <x:v>0</x:v>
      </x:c>
      <x:c r="F48" s="13">
        <x:v>0</x:v>
      </x:c>
      <x:c r="G48" s="13">
        <x:v>0.45299999999999996</x:v>
      </x:c>
      <x:c r="H48" s="13">
        <x:v>0.511</x:v>
      </x:c>
      <x:c r="I48" s="13">
        <x:v>0.9</x:v>
      </x:c>
      <x:c r="J48" s="13">
        <x:v>0.9</x:v>
      </x:c>
      <x:c r="K48" s="13">
        <x:v>0</x:v>
      </x:c>
      <x:c r="L48" s="13">
        <x:v>0</x:v>
      </x:c>
    </x:row>
    <x:row r="49">
      <x:c r="A49" s="7" t="str">
        <x:v>JIWA</x:v>
      </x:c>
      <x:c r="B49" s="7" t="str">
        <x:v>Jiwa</x:v>
      </x:c>
      <x:c r="C49" s="7" t="str">
        <x:v>Paripurna</x:v>
      </x:c>
      <x:c r="D49" s="8">
        <x:v>6</x:v>
      </x:c>
      <x:c r="E49" s="13">
        <x:v>0</x:v>
      </x:c>
      <x:c r="F49" s="13">
        <x:v>0</x:v>
      </x:c>
      <x:c r="G49" s="13">
        <x:v>0.5529999999999999</x:v>
      </x:c>
      <x:c r="H49" s="13">
        <x:v>0.611</x:v>
      </x:c>
      <x:c r="I49" s="13">
        <x:v>1</x:v>
      </x:c>
      <x:c r="J49" s="13">
        <x:v>1</x:v>
      </x:c>
      <x:c r="K49" s="13">
        <x:v>0</x:v>
      </x:c>
      <x:c r="L49" s="13">
        <x:v>0</x:v>
      </x:c>
    </x:row>
    <x:row r="50">
      <x:c r="A50" s="7" t="str">
        <x:v>KERACUNAN</x:v>
      </x:c>
      <x:c r="B50" s="7" t="str">
        <x:v>Keracunan</x:v>
      </x:c>
      <x:c r="C50" s="7" t="str">
        <x:v>Paripurna</x:v>
      </x:c>
      <x:c r="D50" s="8">
        <x:v>1</x:v>
      </x:c>
      <x:c r="E50" s="13">
        <x:v>0</x:v>
      </x:c>
      <x:c r="F50" s="13">
        <x:v>0</x:v>
      </x:c>
      <x:c r="G50" s="13">
        <x:v>0.012</x:v>
      </x:c>
      <x:c r="H50" s="13">
        <x:v>0.125</x:v>
      </x:c>
      <x:c r="I50" s="13">
        <x:v>0.5</x:v>
      </x:c>
      <x:c r="J50" s="13">
        <x:v>0.5</x:v>
      </x:c>
      <x:c r="K50" s="13">
        <x:v>0</x:v>
      </x:c>
      <x:c r="L50" s="13">
        <x:v>0</x:v>
      </x:c>
    </x:row>
    <x:row r="51">
      <x:c r="A51" s="7" t="str">
        <x:v>KERACUNAN</x:v>
      </x:c>
      <x:c r="B51" s="7" t="str">
        <x:v>Keracunan</x:v>
      </x:c>
      <x:c r="C51" s="7" t="str">
        <x:v>Paripurna</x:v>
      </x:c>
      <x:c r="D51" s="8">
        <x:v>2</x:v>
      </x:c>
      <x:c r="E51" s="13">
        <x:v>0</x:v>
      </x:c>
      <x:c r="F51" s="13">
        <x:v>0</x:v>
      </x:c>
      <x:c r="G51" s="13">
        <x:v>0.11199999999999999</x:v>
      </x:c>
      <x:c r="H51" s="13">
        <x:v>0.225</x:v>
      </x:c>
      <x:c r="I51" s="13">
        <x:v>0.6</x:v>
      </x:c>
      <x:c r="J51" s="13">
        <x:v>0.6</x:v>
      </x:c>
      <x:c r="K51" s="13">
        <x:v>0</x:v>
      </x:c>
      <x:c r="L51" s="13">
        <x:v>0</x:v>
      </x:c>
    </x:row>
    <x:row r="52">
      <x:c r="A52" s="7" t="str">
        <x:v>KERACUNAN</x:v>
      </x:c>
      <x:c r="B52" s="7" t="str">
        <x:v>Keracunan</x:v>
      </x:c>
      <x:c r="C52" s="7" t="str">
        <x:v>Paripurna</x:v>
      </x:c>
      <x:c r="D52" s="8">
        <x:v>3</x:v>
      </x:c>
      <x:c r="E52" s="13">
        <x:v>0</x:v>
      </x:c>
      <x:c r="F52" s="13">
        <x:v>0</x:v>
      </x:c>
      <x:c r="G52" s="13">
        <x:v>0.212</x:v>
      </x:c>
      <x:c r="H52" s="13">
        <x:v>0.325</x:v>
      </x:c>
      <x:c r="I52" s="13">
        <x:v>0.7</x:v>
      </x:c>
      <x:c r="J52" s="13">
        <x:v>0.7</x:v>
      </x:c>
      <x:c r="K52" s="13">
        <x:v>0</x:v>
      </x:c>
      <x:c r="L52" s="13">
        <x:v>0</x:v>
      </x:c>
    </x:row>
    <x:row r="53">
      <x:c r="A53" s="7" t="str">
        <x:v>KERACUNAN</x:v>
      </x:c>
      <x:c r="B53" s="7" t="str">
        <x:v>Keracunan</x:v>
      </x:c>
      <x:c r="C53" s="7" t="str">
        <x:v>Paripurna</x:v>
      </x:c>
      <x:c r="D53" s="8">
        <x:v>4</x:v>
      </x:c>
      <x:c r="E53" s="13">
        <x:v>0</x:v>
      </x:c>
      <x:c r="F53" s="13">
        <x:v>0</x:v>
      </x:c>
      <x:c r="G53" s="13">
        <x:v>0.312</x:v>
      </x:c>
      <x:c r="H53" s="13">
        <x:v>0.425</x:v>
      </x:c>
      <x:c r="I53" s="13">
        <x:v>0.8</x:v>
      </x:c>
      <x:c r="J53" s="13">
        <x:v>0.8</x:v>
      </x:c>
      <x:c r="K53" s="13">
        <x:v>0</x:v>
      </x:c>
      <x:c r="L53" s="13">
        <x:v>0</x:v>
      </x:c>
    </x:row>
    <x:row r="54">
      <x:c r="A54" s="7" t="str">
        <x:v>KERACUNAN</x:v>
      </x:c>
      <x:c r="B54" s="7" t="str">
        <x:v>Keracunan</x:v>
      </x:c>
      <x:c r="C54" s="7" t="str">
        <x:v>Paripurna</x:v>
      </x:c>
      <x:c r="D54" s="8">
        <x:v>5</x:v>
      </x:c>
      <x:c r="E54" s="13">
        <x:v>0</x:v>
      </x:c>
      <x:c r="F54" s="13">
        <x:v>0</x:v>
      </x:c>
      <x:c r="G54" s="13">
        <x:v>0.41200000000000003</x:v>
      </x:c>
      <x:c r="H54" s="13">
        <x:v>0.525</x:v>
      </x:c>
      <x:c r="I54" s="13">
        <x:v>0.9</x:v>
      </x:c>
      <x:c r="J54" s="13">
        <x:v>0.9</x:v>
      </x:c>
      <x:c r="K54" s="13">
        <x:v>0</x:v>
      </x:c>
      <x:c r="L54" s="13">
        <x:v>0</x:v>
      </x:c>
    </x:row>
    <x:row r="55">
      <x:c r="A55" s="7" t="str">
        <x:v>KERACUNAN</x:v>
      </x:c>
      <x:c r="B55" s="7" t="str">
        <x:v>Keracunan</x:v>
      </x:c>
      <x:c r="C55" s="7" t="str">
        <x:v>Paripurna</x:v>
      </x:c>
      <x:c r="D55" s="8">
        <x:v>6</x:v>
      </x:c>
      <x:c r="E55" s="13">
        <x:v>0</x:v>
      </x:c>
      <x:c r="F55" s="13">
        <x:v>0</x:v>
      </x:c>
      <x:c r="G55" s="13">
        <x:v>0.512</x:v>
      </x:c>
      <x:c r="H55" s="13">
        <x:v>0.625</x:v>
      </x:c>
      <x:c r="I55" s="13">
        <x:v>1</x:v>
      </x:c>
      <x:c r="J55" s="13">
        <x:v>1</x:v>
      </x:c>
      <x:c r="K55" s="13">
        <x:v>0</x:v>
      </x:c>
      <x:c r="L55" s="13">
        <x:v>0</x:v>
      </x:c>
    </x:row>
    <x:row r="56">
      <x:c r="A56" s="7" t="str">
        <x:v>KULIT &amp; PENYAKIT KELAMIN</x:v>
      </x:c>
      <x:c r="B56" s="7" t="str">
        <x:v>Kulit &amp; Penyakit Kelamin</x:v>
      </x:c>
      <x:c r="C56" s="7" t="str">
        <x:v>Paripurna</x:v>
      </x:c>
      <x:c r="D56" s="8">
        <x:v>1</x:v>
      </x:c>
      <x:c r="E56" s="13">
        <x:v>0</x:v>
      </x:c>
      <x:c r="F56" s="13">
        <x:v>0</x:v>
      </x:c>
      <x:c r="G56" s="13">
        <x:v>0.111</x:v>
      </x:c>
      <x:c r="H56" s="13">
        <x:v>0.2</x:v>
      </x:c>
      <x:c r="I56" s="13">
        <x:v>0.5</x:v>
      </x:c>
      <x:c r="J56" s="13">
        <x:v>0.5</x:v>
      </x:c>
      <x:c r="K56" s="13">
        <x:v>0</x:v>
      </x:c>
      <x:c r="L56" s="13">
        <x:v>0</x:v>
      </x:c>
    </x:row>
    <x:row r="57">
      <x:c r="A57" s="7" t="str">
        <x:v>KULIT &amp; PENYAKIT KELAMIN</x:v>
      </x:c>
      <x:c r="B57" s="7" t="str">
        <x:v>Kulit &amp; Penyakit Kelamin</x:v>
      </x:c>
      <x:c r="C57" s="7" t="str">
        <x:v>Paripurna</x:v>
      </x:c>
      <x:c r="D57" s="8">
        <x:v>2</x:v>
      </x:c>
      <x:c r="E57" s="13">
        <x:v>0</x:v>
      </x:c>
      <x:c r="F57" s="13">
        <x:v>0</x:v>
      </x:c>
      <x:c r="G57" s="13">
        <x:v>0.21100000000000002</x:v>
      </x:c>
      <x:c r="H57" s="13">
        <x:v>0.3</x:v>
      </x:c>
      <x:c r="I57" s="13">
        <x:v>0.6</x:v>
      </x:c>
      <x:c r="J57" s="13">
        <x:v>0.6</x:v>
      </x:c>
      <x:c r="K57" s="13">
        <x:v>0</x:v>
      </x:c>
      <x:c r="L57" s="13">
        <x:v>0</x:v>
      </x:c>
    </x:row>
    <x:row r="58">
      <x:c r="A58" s="7" t="str">
        <x:v>KULIT &amp; PENYAKIT KELAMIN</x:v>
      </x:c>
      <x:c r="B58" s="7" t="str">
        <x:v>Kulit &amp; Penyakit Kelamin</x:v>
      </x:c>
      <x:c r="C58" s="7" t="str">
        <x:v>Paripurna</x:v>
      </x:c>
      <x:c r="D58" s="8">
        <x:v>3</x:v>
      </x:c>
      <x:c r="E58" s="13">
        <x:v>0</x:v>
      </x:c>
      <x:c r="F58" s="13">
        <x:v>0</x:v>
      </x:c>
      <x:c r="G58" s="13">
        <x:v>0.311</x:v>
      </x:c>
      <x:c r="H58" s="13">
        <x:v>0.4</x:v>
      </x:c>
      <x:c r="I58" s="13">
        <x:v>0.7</x:v>
      </x:c>
      <x:c r="J58" s="13">
        <x:v>0.7</x:v>
      </x:c>
      <x:c r="K58" s="13">
        <x:v>0</x:v>
      </x:c>
      <x:c r="L58" s="13">
        <x:v>0</x:v>
      </x:c>
    </x:row>
    <x:row r="59">
      <x:c r="A59" s="7" t="str">
        <x:v>KULIT &amp; PENYAKIT KELAMIN</x:v>
      </x:c>
      <x:c r="B59" s="7" t="str">
        <x:v>Kulit &amp; Penyakit Kelamin</x:v>
      </x:c>
      <x:c r="C59" s="7" t="str">
        <x:v>Paripurna</x:v>
      </x:c>
      <x:c r="D59" s="8">
        <x:v>4</x:v>
      </x:c>
      <x:c r="E59" s="13">
        <x:v>0</x:v>
      </x:c>
      <x:c r="F59" s="13">
        <x:v>0</x:v>
      </x:c>
      <x:c r="G59" s="13">
        <x:v>0.41100000000000003</x:v>
      </x:c>
      <x:c r="H59" s="13">
        <x:v>0.5</x:v>
      </x:c>
      <x:c r="I59" s="13">
        <x:v>0.8</x:v>
      </x:c>
      <x:c r="J59" s="13">
        <x:v>0.8</x:v>
      </x:c>
      <x:c r="K59" s="13">
        <x:v>0</x:v>
      </x:c>
      <x:c r="L59" s="13">
        <x:v>0</x:v>
      </x:c>
    </x:row>
    <x:row r="60">
      <x:c r="A60" s="7" t="str">
        <x:v>KULIT &amp; PENYAKIT KELAMIN</x:v>
      </x:c>
      <x:c r="B60" s="7" t="str">
        <x:v>Kulit &amp; Penyakit Kelamin</x:v>
      </x:c>
      <x:c r="C60" s="7" t="str">
        <x:v>Paripurna</x:v>
      </x:c>
      <x:c r="D60" s="8">
        <x:v>5</x:v>
      </x:c>
      <x:c r="E60" s="13">
        <x:v>0</x:v>
      </x:c>
      <x:c r="F60" s="13">
        <x:v>0</x:v>
      </x:c>
      <x:c r="G60" s="13">
        <x:v>0.511</x:v>
      </x:c>
      <x:c r="H60" s="13">
        <x:v>0.6</x:v>
      </x:c>
      <x:c r="I60" s="13">
        <x:v>0.9</x:v>
      </x:c>
      <x:c r="J60" s="13">
        <x:v>0.9</x:v>
      </x:c>
      <x:c r="K60" s="13">
        <x:v>0</x:v>
      </x:c>
      <x:c r="L60" s="13">
        <x:v>0</x:v>
      </x:c>
    </x:row>
    <x:row r="61">
      <x:c r="A61" s="7" t="str">
        <x:v>KULIT &amp; PENYAKIT KELAMIN</x:v>
      </x:c>
      <x:c r="B61" s="7" t="str">
        <x:v>Kulit &amp; Penyakit Kelamin</x:v>
      </x:c>
      <x:c r="C61" s="7" t="str">
        <x:v>Paripurna</x:v>
      </x:c>
      <x:c r="D61" s="8">
        <x:v>6</x:v>
      </x:c>
      <x:c r="E61" s="13">
        <x:v>0</x:v>
      </x:c>
      <x:c r="F61" s="13">
        <x:v>0</x:v>
      </x:c>
      <x:c r="G61" s="13">
        <x:v>0.611</x:v>
      </x:c>
      <x:c r="H61" s="13">
        <x:v>0.7</x:v>
      </x:c>
      <x:c r="I61" s="13">
        <x:v>1</x:v>
      </x:c>
      <x:c r="J61" s="13">
        <x:v>1</x:v>
      </x:c>
      <x:c r="K61" s="13">
        <x:v>0</x:v>
      </x:c>
      <x:c r="L61" s="13">
        <x:v>0</x:v>
      </x:c>
    </x:row>
    <x:row r="62">
      <x:c r="A62" s="7" t="str">
        <x:v>LUKA BAKAR</x:v>
      </x:c>
      <x:c r="B62" s="7" t="str">
        <x:v>Luka Bakar</x:v>
      </x:c>
      <x:c r="C62" s="7" t="str">
        <x:v>Paripurna</x:v>
      </x:c>
      <x:c r="D62" s="8">
        <x:v>1</x:v>
      </x:c>
      <x:c r="E62" s="13">
        <x:v>0</x:v>
      </x:c>
      <x:c r="F62" s="13">
        <x:v>0</x:v>
      </x:c>
      <x:c r="G62" s="13">
        <x:v>0.026000000000000002</x:v>
      </x:c>
      <x:c r="H62" s="13">
        <x:v>0.091</x:v>
      </x:c>
      <x:c r="I62" s="13">
        <x:v>0.5</x:v>
      </x:c>
      <x:c r="J62" s="13">
        <x:v>0.5</x:v>
      </x:c>
      <x:c r="K62" s="13">
        <x:v>0</x:v>
      </x:c>
      <x:c r="L62" s="13">
        <x:v>0</x:v>
      </x:c>
    </x:row>
    <x:row r="63">
      <x:c r="A63" s="7" t="str">
        <x:v>LUKA BAKAR</x:v>
      </x:c>
      <x:c r="B63" s="7" t="str">
        <x:v>Luka Bakar</x:v>
      </x:c>
      <x:c r="C63" s="7" t="str">
        <x:v>Paripurna</x:v>
      </x:c>
      <x:c r="D63" s="8">
        <x:v>2</x:v>
      </x:c>
      <x:c r="E63" s="13">
        <x:v>0</x:v>
      </x:c>
      <x:c r="F63" s="13">
        <x:v>0</x:v>
      </x:c>
      <x:c r="G63" s="13">
        <x:v>0.126</x:v>
      </x:c>
      <x:c r="H63" s="13">
        <x:v>0.191</x:v>
      </x:c>
      <x:c r="I63" s="13">
        <x:v>0.6</x:v>
      </x:c>
      <x:c r="J63" s="13">
        <x:v>0.6</x:v>
      </x:c>
      <x:c r="K63" s="13">
        <x:v>0</x:v>
      </x:c>
      <x:c r="L63" s="13">
        <x:v>0</x:v>
      </x:c>
    </x:row>
    <x:row r="64">
      <x:c r="A64" s="7" t="str">
        <x:v>LUKA BAKAR</x:v>
      </x:c>
      <x:c r="B64" s="7" t="str">
        <x:v>Luka Bakar</x:v>
      </x:c>
      <x:c r="C64" s="7" t="str">
        <x:v>Paripurna</x:v>
      </x:c>
      <x:c r="D64" s="8">
        <x:v>3</x:v>
      </x:c>
      <x:c r="E64" s="13">
        <x:v>0</x:v>
      </x:c>
      <x:c r="F64" s="13">
        <x:v>0</x:v>
      </x:c>
      <x:c r="G64" s="13">
        <x:v>0.226</x:v>
      </x:c>
      <x:c r="H64" s="13">
        <x:v>0.29100000000000004</x:v>
      </x:c>
      <x:c r="I64" s="13">
        <x:v>0.7</x:v>
      </x:c>
      <x:c r="J64" s="13">
        <x:v>0.7</x:v>
      </x:c>
      <x:c r="K64" s="13">
        <x:v>0</x:v>
      </x:c>
      <x:c r="L64" s="13">
        <x:v>0</x:v>
      </x:c>
    </x:row>
    <x:row r="65">
      <x:c r="A65" s="7" t="str">
        <x:v>LUKA BAKAR</x:v>
      </x:c>
      <x:c r="B65" s="7" t="str">
        <x:v>Luka Bakar</x:v>
      </x:c>
      <x:c r="C65" s="7" t="str">
        <x:v>Paripurna</x:v>
      </x:c>
      <x:c r="D65" s="8">
        <x:v>4</x:v>
      </x:c>
      <x:c r="E65" s="13">
        <x:v>0</x:v>
      </x:c>
      <x:c r="F65" s="13">
        <x:v>0</x:v>
      </x:c>
      <x:c r="G65" s="13">
        <x:v>0.326</x:v>
      </x:c>
      <x:c r="H65" s="13">
        <x:v>0.391</x:v>
      </x:c>
      <x:c r="I65" s="13">
        <x:v>0.8</x:v>
      </x:c>
      <x:c r="J65" s="13">
        <x:v>0.8</x:v>
      </x:c>
      <x:c r="K65" s="13">
        <x:v>0</x:v>
      </x:c>
      <x:c r="L65" s="13">
        <x:v>0</x:v>
      </x:c>
    </x:row>
    <x:row r="66">
      <x:c r="A66" s="7" t="str">
        <x:v>LUKA BAKAR</x:v>
      </x:c>
      <x:c r="B66" s="7" t="str">
        <x:v>Luka Bakar</x:v>
      </x:c>
      <x:c r="C66" s="7" t="str">
        <x:v>Paripurna</x:v>
      </x:c>
      <x:c r="D66" s="8">
        <x:v>5</x:v>
      </x:c>
      <x:c r="E66" s="13">
        <x:v>0</x:v>
      </x:c>
      <x:c r="F66" s="13">
        <x:v>0</x:v>
      </x:c>
      <x:c r="G66" s="13">
        <x:v>0.426</x:v>
      </x:c>
      <x:c r="H66" s="13">
        <x:v>0.491</x:v>
      </x:c>
      <x:c r="I66" s="13">
        <x:v>0.9</x:v>
      </x:c>
      <x:c r="J66" s="13">
        <x:v>0.9</x:v>
      </x:c>
      <x:c r="K66" s="13">
        <x:v>0</x:v>
      </x:c>
      <x:c r="L66" s="13">
        <x:v>0</x:v>
      </x:c>
    </x:row>
    <x:row r="67">
      <x:c r="A67" s="7" t="str">
        <x:v>LUKA BAKAR</x:v>
      </x:c>
      <x:c r="B67" s="7" t="str">
        <x:v>Luka Bakar</x:v>
      </x:c>
      <x:c r="C67" s="7" t="str">
        <x:v>Paripurna</x:v>
      </x:c>
      <x:c r="D67" s="8">
        <x:v>6</x:v>
      </x:c>
      <x:c r="E67" s="13">
        <x:v>0</x:v>
      </x:c>
      <x:c r="F67" s="13">
        <x:v>0</x:v>
      </x:c>
      <x:c r="G67" s="13">
        <x:v>0.526</x:v>
      </x:c>
      <x:c r="H67" s="13">
        <x:v>0.591</x:v>
      </x:c>
      <x:c r="I67" s="13">
        <x:v>1</x:v>
      </x:c>
      <x:c r="J67" s="13">
        <x:v>1</x:v>
      </x:c>
      <x:c r="K67" s="13">
        <x:v>0</x:v>
      </x:c>
      <x:c r="L67" s="13">
        <x:v>0</x:v>
      </x:c>
    </x:row>
    <x:row r="68">
      <x:c r="A68" s="7" t="str">
        <x:v>MATA</x:v>
      </x:c>
      <x:c r="B68" s="7" t="str">
        <x:v>Mata</x:v>
      </x:c>
      <x:c r="C68" s="7" t="str">
        <x:v>Utama</x:v>
      </x:c>
      <x:c r="D68" s="8">
        <x:v>1</x:v>
      </x:c>
      <x:c r="E68" s="13">
        <x:v>0</x:v>
      </x:c>
      <x:c r="F68" s="13">
        <x:v>0.002</x:v>
      </x:c>
      <x:c r="G68" s="13">
        <x:v>0.055999999999999994</x:v>
      </x:c>
      <x:c r="H68" s="13">
        <x:v>0</x:v>
      </x:c>
      <x:c r="I68" s="13">
        <x:v>0.5</x:v>
      </x:c>
      <x:c r="J68" s="13">
        <x:v>0</x:v>
      </x:c>
      <x:c r="K68" s="13">
        <x:v>0</x:v>
      </x:c>
      <x:c r="L68" s="13">
        <x:v>1</x:v>
      </x:c>
    </x:row>
    <x:row r="69">
      <x:c r="A69" s="7" t="str">
        <x:v>MATA</x:v>
      </x:c>
      <x:c r="B69" s="7" t="str">
        <x:v>Mata</x:v>
      </x:c>
      <x:c r="C69" s="7" t="str">
        <x:v>Utama</x:v>
      </x:c>
      <x:c r="D69" s="8">
        <x:v>2</x:v>
      </x:c>
      <x:c r="E69" s="13">
        <x:v>0</x:v>
      </x:c>
      <x:c r="F69" s="13">
        <x:v>0.102</x:v>
      </x:c>
      <x:c r="G69" s="13">
        <x:v>0.156</x:v>
      </x:c>
      <x:c r="H69" s="13">
        <x:v>0</x:v>
      </x:c>
      <x:c r="I69" s="13">
        <x:v>0.6</x:v>
      </x:c>
      <x:c r="J69" s="13">
        <x:v>0</x:v>
      </x:c>
      <x:c r="K69" s="13">
        <x:v>0</x:v>
      </x:c>
      <x:c r="L69" s="13">
        <x:v>1</x:v>
      </x:c>
    </x:row>
    <x:row r="70">
      <x:c r="A70" s="7" t="str">
        <x:v>MATA</x:v>
      </x:c>
      <x:c r="B70" s="7" t="str">
        <x:v>Mata</x:v>
      </x:c>
      <x:c r="C70" s="7" t="str">
        <x:v>Utama</x:v>
      </x:c>
      <x:c r="D70" s="8">
        <x:v>3</x:v>
      </x:c>
      <x:c r="E70" s="13">
        <x:v>0</x:v>
      </x:c>
      <x:c r="F70" s="13">
        <x:v>0.20199999999999999</x:v>
      </x:c>
      <x:c r="G70" s="13">
        <x:v>0.256</x:v>
      </x:c>
      <x:c r="H70" s="13">
        <x:v>0</x:v>
      </x:c>
      <x:c r="I70" s="13">
        <x:v>0.7</x:v>
      </x:c>
      <x:c r="J70" s="13">
        <x:v>0</x:v>
      </x:c>
      <x:c r="K70" s="13">
        <x:v>0</x:v>
      </x:c>
      <x:c r="L70" s="13">
        <x:v>1</x:v>
      </x:c>
    </x:row>
    <x:row r="71">
      <x:c r="A71" s="7" t="str">
        <x:v>MATA</x:v>
      </x:c>
      <x:c r="B71" s="7" t="str">
        <x:v>Mata</x:v>
      </x:c>
      <x:c r="C71" s="7" t="str">
        <x:v>Utama</x:v>
      </x:c>
      <x:c r="D71" s="8">
        <x:v>4</x:v>
      </x:c>
      <x:c r="E71" s="13">
        <x:v>0</x:v>
      </x:c>
      <x:c r="F71" s="13">
        <x:v>0.302</x:v>
      </x:c>
      <x:c r="G71" s="13">
        <x:v>0.35600000000000004</x:v>
      </x:c>
      <x:c r="H71" s="13">
        <x:v>0</x:v>
      </x:c>
      <x:c r="I71" s="13">
        <x:v>0.8</x:v>
      </x:c>
      <x:c r="J71" s="13">
        <x:v>0</x:v>
      </x:c>
      <x:c r="K71" s="13">
        <x:v>0</x:v>
      </x:c>
      <x:c r="L71" s="13">
        <x:v>1</x:v>
      </x:c>
    </x:row>
    <x:row r="72">
      <x:c r="A72" s="7" t="str">
        <x:v>MATA</x:v>
      </x:c>
      <x:c r="B72" s="7" t="str">
        <x:v>Mata</x:v>
      </x:c>
      <x:c r="C72" s="7" t="str">
        <x:v>Utama</x:v>
      </x:c>
      <x:c r="D72" s="8">
        <x:v>5</x:v>
      </x:c>
      <x:c r="E72" s="13">
        <x:v>0</x:v>
      </x:c>
      <x:c r="F72" s="13">
        <x:v>0.402</x:v>
      </x:c>
      <x:c r="G72" s="13">
        <x:v>0.456</x:v>
      </x:c>
      <x:c r="H72" s="13">
        <x:v>0</x:v>
      </x:c>
      <x:c r="I72" s="13">
        <x:v>0.9</x:v>
      </x:c>
      <x:c r="J72" s="13">
        <x:v>0</x:v>
      </x:c>
      <x:c r="K72" s="13">
        <x:v>0</x:v>
      </x:c>
      <x:c r="L72" s="13">
        <x:v>1</x:v>
      </x:c>
    </x:row>
    <x:row r="73">
      <x:c r="A73" s="7" t="str">
        <x:v>MATA</x:v>
      </x:c>
      <x:c r="B73" s="7" t="str">
        <x:v>Mata</x:v>
      </x:c>
      <x:c r="C73" s="7" t="str">
        <x:v>Utama</x:v>
      </x:c>
      <x:c r="D73" s="8">
        <x:v>6</x:v>
      </x:c>
      <x:c r="E73" s="13">
        <x:v>0</x:v>
      </x:c>
      <x:c r="F73" s="13">
        <x:v>0.502</x:v>
      </x:c>
      <x:c r="G73" s="13">
        <x:v>0.556</x:v>
      </x:c>
      <x:c r="H73" s="13">
        <x:v>0</x:v>
      </x:c>
      <x:c r="I73" s="13">
        <x:v>1</x:v>
      </x:c>
      <x:c r="J73" s="13">
        <x:v>0</x:v>
      </x:c>
      <x:c r="K73" s="13">
        <x:v>0</x:v>
      </x:c>
      <x:c r="L73" s="13">
        <x:v>1</x:v>
      </x:c>
    </x:row>
    <x:row r="74">
      <x:c r="A74" s="7" t="str">
        <x:v>MUSCULOSKELETAL DAN JARINGAN LUNAK</x:v>
      </x:c>
      <x:c r="B74" s="7" t="str">
        <x:v>Muskuloskeletal &amp; Jaringan Lunak</x:v>
      </x:c>
      <x:c r="C74" s="7" t="str">
        <x:v>Paripurna</x:v>
      </x:c>
      <x:c r="D74" s="8">
        <x:v>1</x:v>
      </x:c>
      <x:c r="E74" s="13">
        <x:v>0</x:v>
      </x:c>
      <x:c r="F74" s="13">
        <x:v>0</x:v>
      </x:c>
      <x:c r="G74" s="13">
        <x:v>0.043</x:v>
      </x:c>
      <x:c r="H74" s="13">
        <x:v>0.14300000000000002</x:v>
      </x:c>
      <x:c r="I74" s="13">
        <x:v>0.5</x:v>
      </x:c>
      <x:c r="J74" s="13">
        <x:v>0.5</x:v>
      </x:c>
      <x:c r="K74" s="13">
        <x:v>0</x:v>
      </x:c>
      <x:c r="L74" s="13">
        <x:v>0</x:v>
      </x:c>
    </x:row>
    <x:row r="75">
      <x:c r="A75" s="7" t="str">
        <x:v>MUSCULOSKELETAL DAN JARINGAN LUNAK</x:v>
      </x:c>
      <x:c r="B75" s="7" t="str">
        <x:v>Muskuloskeletal &amp; Jaringan Lunak</x:v>
      </x:c>
      <x:c r="C75" s="7" t="str">
        <x:v>Paripurna</x:v>
      </x:c>
      <x:c r="D75" s="8">
        <x:v>2</x:v>
      </x:c>
      <x:c r="E75" s="13">
        <x:v>0</x:v>
      </x:c>
      <x:c r="F75" s="13">
        <x:v>0</x:v>
      </x:c>
      <x:c r="G75" s="13">
        <x:v>0.14300000000000002</x:v>
      </x:c>
      <x:c r="H75" s="13">
        <x:v>0.243</x:v>
      </x:c>
      <x:c r="I75" s="13">
        <x:v>0.6</x:v>
      </x:c>
      <x:c r="J75" s="13">
        <x:v>0.6</x:v>
      </x:c>
      <x:c r="K75" s="13">
        <x:v>0</x:v>
      </x:c>
      <x:c r="L75" s="13">
        <x:v>0</x:v>
      </x:c>
    </x:row>
    <x:row r="76">
      <x:c r="A76" s="7" t="str">
        <x:v>MUSCULOSKELETAL DAN JARINGAN LUNAK</x:v>
      </x:c>
      <x:c r="B76" s="7" t="str">
        <x:v>Muskuloskeletal &amp; Jaringan Lunak</x:v>
      </x:c>
      <x:c r="C76" s="7" t="str">
        <x:v>Paripurna</x:v>
      </x:c>
      <x:c r="D76" s="8">
        <x:v>3</x:v>
      </x:c>
      <x:c r="E76" s="13">
        <x:v>0</x:v>
      </x:c>
      <x:c r="F76" s="13">
        <x:v>0</x:v>
      </x:c>
      <x:c r="G76" s="13">
        <x:v>0.243</x:v>
      </x:c>
      <x:c r="H76" s="13">
        <x:v>0.34299999999999997</x:v>
      </x:c>
      <x:c r="I76" s="13">
        <x:v>0.7</x:v>
      </x:c>
      <x:c r="J76" s="13">
        <x:v>0.7</x:v>
      </x:c>
      <x:c r="K76" s="13">
        <x:v>0</x:v>
      </x:c>
      <x:c r="L76" s="13">
        <x:v>0</x:v>
      </x:c>
    </x:row>
    <x:row r="77">
      <x:c r="A77" s="7" t="str">
        <x:v>MUSCULOSKELETAL DAN JARINGAN LUNAK</x:v>
      </x:c>
      <x:c r="B77" s="7" t="str">
        <x:v>Muskuloskeletal &amp; Jaringan Lunak</x:v>
      </x:c>
      <x:c r="C77" s="7" t="str">
        <x:v>Paripurna</x:v>
      </x:c>
      <x:c r="D77" s="8">
        <x:v>4</x:v>
      </x:c>
      <x:c r="E77" s="13">
        <x:v>0</x:v>
      </x:c>
      <x:c r="F77" s="13">
        <x:v>0</x:v>
      </x:c>
      <x:c r="G77" s="13">
        <x:v>0.34299999999999997</x:v>
      </x:c>
      <x:c r="H77" s="13">
        <x:v>0.44299999999999995</x:v>
      </x:c>
      <x:c r="I77" s="13">
        <x:v>0.8</x:v>
      </x:c>
      <x:c r="J77" s="13">
        <x:v>0.8</x:v>
      </x:c>
      <x:c r="K77" s="13">
        <x:v>0</x:v>
      </x:c>
      <x:c r="L77" s="13">
        <x:v>0</x:v>
      </x:c>
    </x:row>
    <x:row r="78">
      <x:c r="A78" s="7" t="str">
        <x:v>MUSCULOSKELETAL DAN JARINGAN LUNAK</x:v>
      </x:c>
      <x:c r="B78" s="7" t="str">
        <x:v>Muskuloskeletal &amp; Jaringan Lunak</x:v>
      </x:c>
      <x:c r="C78" s="7" t="str">
        <x:v>Paripurna</x:v>
      </x:c>
      <x:c r="D78" s="8">
        <x:v>5</x:v>
      </x:c>
      <x:c r="E78" s="13">
        <x:v>0</x:v>
      </x:c>
      <x:c r="F78" s="13">
        <x:v>0</x:v>
      </x:c>
      <x:c r="G78" s="13">
        <x:v>0.44299999999999995</x:v>
      </x:c>
      <x:c r="H78" s="13">
        <x:v>0.5429999999999999</x:v>
      </x:c>
      <x:c r="I78" s="13">
        <x:v>0.9</x:v>
      </x:c>
      <x:c r="J78" s="13">
        <x:v>0.9</x:v>
      </x:c>
      <x:c r="K78" s="13">
        <x:v>0</x:v>
      </x:c>
      <x:c r="L78" s="13">
        <x:v>0</x:v>
      </x:c>
    </x:row>
    <x:row r="79">
      <x:c r="A79" s="7" t="str">
        <x:v>MUSCULOSKELETAL DAN JARINGAN LUNAK</x:v>
      </x:c>
      <x:c r="B79" s="7" t="str">
        <x:v>Muskuloskeletal &amp; Jaringan Lunak</x:v>
      </x:c>
      <x:c r="C79" s="7" t="str">
        <x:v>Paripurna</x:v>
      </x:c>
      <x:c r="D79" s="8">
        <x:v>6</x:v>
      </x:c>
      <x:c r="E79" s="13">
        <x:v>0</x:v>
      </x:c>
      <x:c r="F79" s="13">
        <x:v>0</x:v>
      </x:c>
      <x:c r="G79" s="13">
        <x:v>0.5429999999999999</x:v>
      </x:c>
      <x:c r="H79" s="13">
        <x:v>0.643</x:v>
      </x:c>
      <x:c r="I79" s="13">
        <x:v>1</x:v>
      </x:c>
      <x:c r="J79" s="13">
        <x:v>1</x:v>
      </x:c>
      <x:c r="K79" s="13">
        <x:v>0</x:v>
      </x:c>
      <x:c r="L79" s="13">
        <x:v>0</x:v>
      </x:c>
    </x:row>
    <x:row r="80">
      <x:c r="A80" s="7" t="str">
        <x:v>NEONATUS</x:v>
      </x:c>
      <x:c r="B80" s="7" t="str">
        <x:v>Neonatus</x:v>
      </x:c>
      <x:c r="C80" s="7" t="str">
        <x:v>Utama</x:v>
      </x:c>
      <x:c r="D80" s="8">
        <x:v>1</x:v>
      </x:c>
      <x:c r="E80" s="13">
        <x:v>0</x:v>
      </x:c>
      <x:c r="F80" s="13">
        <x:v>0.003</x:v>
      </x:c>
      <x:c r="G80" s="13">
        <x:v>0.059000000000000004</x:v>
      </x:c>
      <x:c r="H80" s="13">
        <x:v>0</x:v>
      </x:c>
      <x:c r="I80" s="13">
        <x:v>0.5</x:v>
      </x:c>
      <x:c r="J80" s="13">
        <x:v>0</x:v>
      </x:c>
      <x:c r="K80" s="13">
        <x:v>0</x:v>
      </x:c>
      <x:c r="L80" s="13">
        <x:v>1</x:v>
      </x:c>
    </x:row>
    <x:row r="81">
      <x:c r="A81" s="7" t="str">
        <x:v>NEONATUS</x:v>
      </x:c>
      <x:c r="B81" s="7" t="str">
        <x:v>Neonatus</x:v>
      </x:c>
      <x:c r="C81" s="7" t="str">
        <x:v>Utama</x:v>
      </x:c>
      <x:c r="D81" s="8">
        <x:v>2</x:v>
      </x:c>
      <x:c r="E81" s="13">
        <x:v>0</x:v>
      </x:c>
      <x:c r="F81" s="13">
        <x:v>0.10300000000000001</x:v>
      </x:c>
      <x:c r="G81" s="13">
        <x:v>0.159</x:v>
      </x:c>
      <x:c r="H81" s="13">
        <x:v>0</x:v>
      </x:c>
      <x:c r="I81" s="13">
        <x:v>0.6</x:v>
      </x:c>
      <x:c r="J81" s="13">
        <x:v>0</x:v>
      </x:c>
      <x:c r="K81" s="13">
        <x:v>0</x:v>
      </x:c>
      <x:c r="L81" s="13">
        <x:v>1</x:v>
      </x:c>
    </x:row>
    <x:row r="82">
      <x:c r="A82" s="7" t="str">
        <x:v>NEONATUS</x:v>
      </x:c>
      <x:c r="B82" s="7" t="str">
        <x:v>Neonatus</x:v>
      </x:c>
      <x:c r="C82" s="7" t="str">
        <x:v>Utama</x:v>
      </x:c>
      <x:c r="D82" s="8">
        <x:v>3</x:v>
      </x:c>
      <x:c r="E82" s="13">
        <x:v>0</x:v>
      </x:c>
      <x:c r="F82" s="13">
        <x:v>0.203</x:v>
      </x:c>
      <x:c r="G82" s="13">
        <x:v>0.259</x:v>
      </x:c>
      <x:c r="H82" s="13">
        <x:v>0</x:v>
      </x:c>
      <x:c r="I82" s="13">
        <x:v>0.7</x:v>
      </x:c>
      <x:c r="J82" s="13">
        <x:v>0</x:v>
      </x:c>
      <x:c r="K82" s="13">
        <x:v>0</x:v>
      </x:c>
      <x:c r="L82" s="13">
        <x:v>1</x:v>
      </x:c>
    </x:row>
    <x:row r="83">
      <x:c r="A83" s="7" t="str">
        <x:v>NEONATUS</x:v>
      </x:c>
      <x:c r="B83" s="7" t="str">
        <x:v>Neonatus</x:v>
      </x:c>
      <x:c r="C83" s="7" t="str">
        <x:v>Utama</x:v>
      </x:c>
      <x:c r="D83" s="8">
        <x:v>4</x:v>
      </x:c>
      <x:c r="E83" s="13">
        <x:v>0</x:v>
      </x:c>
      <x:c r="F83" s="13">
        <x:v>0.303</x:v>
      </x:c>
      <x:c r="G83" s="13">
        <x:v>0.359</x:v>
      </x:c>
      <x:c r="H83" s="13">
        <x:v>0</x:v>
      </x:c>
      <x:c r="I83" s="13">
        <x:v>0.8</x:v>
      </x:c>
      <x:c r="J83" s="13">
        <x:v>0</x:v>
      </x:c>
      <x:c r="K83" s="13">
        <x:v>0</x:v>
      </x:c>
      <x:c r="L83" s="13">
        <x:v>1</x:v>
      </x:c>
    </x:row>
    <x:row r="84">
      <x:c r="A84" s="7" t="str">
        <x:v>NEONATUS</x:v>
      </x:c>
      <x:c r="B84" s="7" t="str">
        <x:v>Neonatus</x:v>
      </x:c>
      <x:c r="C84" s="7" t="str">
        <x:v>Utama</x:v>
      </x:c>
      <x:c r="D84" s="8">
        <x:v>5</x:v>
      </x:c>
      <x:c r="E84" s="13">
        <x:v>0</x:v>
      </x:c>
      <x:c r="F84" s="13">
        <x:v>0.40299999999999997</x:v>
      </x:c>
      <x:c r="G84" s="13">
        <x:v>0.45899999999999996</x:v>
      </x:c>
      <x:c r="H84" s="13">
        <x:v>0</x:v>
      </x:c>
      <x:c r="I84" s="13">
        <x:v>0.9</x:v>
      </x:c>
      <x:c r="J84" s="13">
        <x:v>0</x:v>
      </x:c>
      <x:c r="K84" s="13">
        <x:v>0</x:v>
      </x:c>
      <x:c r="L84" s="13">
        <x:v>1</x:v>
      </x:c>
    </x:row>
    <x:row r="85">
      <x:c r="A85" s="7" t="str">
        <x:v>NEONATUS</x:v>
      </x:c>
      <x:c r="B85" s="7" t="str">
        <x:v>Neonatus</x:v>
      </x:c>
      <x:c r="C85" s="7" t="str">
        <x:v>Utama</x:v>
      </x:c>
      <x:c r="D85" s="8">
        <x:v>6</x:v>
      </x:c>
      <x:c r="E85" s="13">
        <x:v>0</x:v>
      </x:c>
      <x:c r="F85" s="13">
        <x:v>0.503</x:v>
      </x:c>
      <x:c r="G85" s="13">
        <x:v>0.5589999999999999</x:v>
      </x:c>
      <x:c r="H85" s="13">
        <x:v>0</x:v>
      </x:c>
      <x:c r="I85" s="13">
        <x:v>1</x:v>
      </x:c>
      <x:c r="J85" s="13">
        <x:v>0</x:v>
      </x:c>
      <x:c r="K85" s="13">
        <x:v>0</x:v>
      </x:c>
      <x:c r="L85" s="13">
        <x:v>1</x:v>
      </x:c>
    </x:row>
    <x:row r="86">
      <x:c r="A86" s="7" t="str">
        <x:v>NEOPLASMA</x:v>
      </x:c>
      <x:c r="B86" s="7" t="str">
        <x:v>Neoplasma</x:v>
      </x:c>
      <x:c r="C86" s="7" t="str">
        <x:v>Utama</x:v>
      </x:c>
      <x:c r="D86" s="8">
        <x:v>1</x:v>
      </x:c>
      <x:c r="E86" s="13">
        <x:v>0</x:v>
      </x:c>
      <x:c r="F86" s="13">
        <x:v>0.018000000000000002</x:v>
      </x:c>
      <x:c r="G86" s="13">
        <x:v>0.125</x:v>
      </x:c>
      <x:c r="H86" s="13">
        <x:v>0</x:v>
      </x:c>
      <x:c r="I86" s="13">
        <x:v>0.5</x:v>
      </x:c>
      <x:c r="J86" s="13">
        <x:v>0</x:v>
      </x:c>
      <x:c r="K86" s="13">
        <x:v>0</x:v>
      </x:c>
      <x:c r="L86" s="13">
        <x:v>1</x:v>
      </x:c>
    </x:row>
    <x:row r="87">
      <x:c r="A87" s="7" t="str">
        <x:v>NEOPLASMA</x:v>
      </x:c>
      <x:c r="B87" s="7" t="str">
        <x:v>Neoplasma</x:v>
      </x:c>
      <x:c r="C87" s="7" t="str">
        <x:v>Utama</x:v>
      </x:c>
      <x:c r="D87" s="8">
        <x:v>2</x:v>
      </x:c>
      <x:c r="E87" s="13">
        <x:v>0</x:v>
      </x:c>
      <x:c r="F87" s="13">
        <x:v>0.11800000000000001</x:v>
      </x:c>
      <x:c r="G87" s="13">
        <x:v>0.225</x:v>
      </x:c>
      <x:c r="H87" s="13">
        <x:v>0</x:v>
      </x:c>
      <x:c r="I87" s="13">
        <x:v>0.6</x:v>
      </x:c>
      <x:c r="J87" s="13">
        <x:v>0</x:v>
      </x:c>
      <x:c r="K87" s="13">
        <x:v>0</x:v>
      </x:c>
      <x:c r="L87" s="13">
        <x:v>1</x:v>
      </x:c>
    </x:row>
    <x:row r="88">
      <x:c r="A88" s="7" t="str">
        <x:v>NEOPLASMA</x:v>
      </x:c>
      <x:c r="B88" s="7" t="str">
        <x:v>Neoplasma</x:v>
      </x:c>
      <x:c r="C88" s="7" t="str">
        <x:v>Utama</x:v>
      </x:c>
      <x:c r="D88" s="8">
        <x:v>3</x:v>
      </x:c>
      <x:c r="E88" s="13">
        <x:v>0</x:v>
      </x:c>
      <x:c r="F88" s="13">
        <x:v>0.218</x:v>
      </x:c>
      <x:c r="G88" s="13">
        <x:v>0.325</x:v>
      </x:c>
      <x:c r="H88" s="13">
        <x:v>0</x:v>
      </x:c>
      <x:c r="I88" s="13">
        <x:v>0.7</x:v>
      </x:c>
      <x:c r="J88" s="13">
        <x:v>0</x:v>
      </x:c>
      <x:c r="K88" s="13">
        <x:v>0</x:v>
      </x:c>
      <x:c r="L88" s="13">
        <x:v>1</x:v>
      </x:c>
    </x:row>
    <x:row r="89">
      <x:c r="A89" s="7" t="str">
        <x:v>NEOPLASMA</x:v>
      </x:c>
      <x:c r="B89" s="7" t="str">
        <x:v>Neoplasma</x:v>
      </x:c>
      <x:c r="C89" s="7" t="str">
        <x:v>Utama</x:v>
      </x:c>
      <x:c r="D89" s="8">
        <x:v>4</x:v>
      </x:c>
      <x:c r="E89" s="13">
        <x:v>0</x:v>
      </x:c>
      <x:c r="F89" s="13">
        <x:v>0.318</x:v>
      </x:c>
      <x:c r="G89" s="13">
        <x:v>0.425</x:v>
      </x:c>
      <x:c r="H89" s="13">
        <x:v>0</x:v>
      </x:c>
      <x:c r="I89" s="13">
        <x:v>0.8</x:v>
      </x:c>
      <x:c r="J89" s="13">
        <x:v>0</x:v>
      </x:c>
      <x:c r="K89" s="13">
        <x:v>0</x:v>
      </x:c>
      <x:c r="L89" s="13">
        <x:v>1</x:v>
      </x:c>
    </x:row>
    <x:row r="90">
      <x:c r="A90" s="7" t="str">
        <x:v>NEOPLASMA</x:v>
      </x:c>
      <x:c r="B90" s="7" t="str">
        <x:v>Neoplasma</x:v>
      </x:c>
      <x:c r="C90" s="7" t="str">
        <x:v>Utama</x:v>
      </x:c>
      <x:c r="D90" s="8">
        <x:v>5</x:v>
      </x:c>
      <x:c r="E90" s="13">
        <x:v>0</x:v>
      </x:c>
      <x:c r="F90" s="13">
        <x:v>0.418</x:v>
      </x:c>
      <x:c r="G90" s="13">
        <x:v>0.525</x:v>
      </x:c>
      <x:c r="H90" s="13">
        <x:v>0</x:v>
      </x:c>
      <x:c r="I90" s="13">
        <x:v>0.9</x:v>
      </x:c>
      <x:c r="J90" s="13">
        <x:v>0</x:v>
      </x:c>
      <x:c r="K90" s="13">
        <x:v>0</x:v>
      </x:c>
      <x:c r="L90" s="13">
        <x:v>1</x:v>
      </x:c>
    </x:row>
    <x:row r="91">
      <x:c r="A91" s="7" t="str">
        <x:v>NEOPLASMA</x:v>
      </x:c>
      <x:c r="B91" s="7" t="str">
        <x:v>Neoplasma</x:v>
      </x:c>
      <x:c r="C91" s="7" t="str">
        <x:v>Utama</x:v>
      </x:c>
      <x:c r="D91" s="8">
        <x:v>6</x:v>
      </x:c>
      <x:c r="E91" s="13">
        <x:v>0</x:v>
      </x:c>
      <x:c r="F91" s="13">
        <x:v>0.518</x:v>
      </x:c>
      <x:c r="G91" s="13">
        <x:v>0.625</x:v>
      </x:c>
      <x:c r="H91" s="13">
        <x:v>0</x:v>
      </x:c>
      <x:c r="I91" s="13">
        <x:v>1</x:v>
      </x:c>
      <x:c r="J91" s="13">
        <x:v>0</x:v>
      </x:c>
      <x:c r="K91" s="13">
        <x:v>0</x:v>
      </x:c>
      <x:c r="L91" s="13">
        <x:v>1</x:v>
      </x:c>
    </x:row>
    <x:row r="92">
      <x:c r="A92" s="7" t="str">
        <x:v>PARU DAN PERNAFASAN</x:v>
      </x:c>
      <x:c r="B92" s="7" t="str">
        <x:v>Paru &amp; Pernafasan</x:v>
      </x:c>
      <x:c r="C92" s="7" t="str">
        <x:v>Utama</x:v>
      </x:c>
      <x:c r="D92" s="8">
        <x:v>1</x:v>
      </x:c>
      <x:c r="E92" s="13">
        <x:v>0</x:v>
      </x:c>
      <x:c r="F92" s="13">
        <x:v>0.003</x:v>
      </x:c>
      <x:c r="G92" s="13">
        <x:v>0.031</x:v>
      </x:c>
      <x:c r="H92" s="13">
        <x:v>0</x:v>
      </x:c>
      <x:c r="I92" s="13">
        <x:v>0.5</x:v>
      </x:c>
      <x:c r="J92" s="13">
        <x:v>0</x:v>
      </x:c>
      <x:c r="K92" s="13">
        <x:v>0</x:v>
      </x:c>
      <x:c r="L92" s="13">
        <x:v>1</x:v>
      </x:c>
    </x:row>
    <x:row r="93">
      <x:c r="A93" s="7" t="str">
        <x:v>PARU DAN PERNAFASAN</x:v>
      </x:c>
      <x:c r="B93" s="7" t="str">
        <x:v>Paru &amp; Pernafasan</x:v>
      </x:c>
      <x:c r="C93" s="7" t="str">
        <x:v>Utama</x:v>
      </x:c>
      <x:c r="D93" s="8">
        <x:v>2</x:v>
      </x:c>
      <x:c r="E93" s="13">
        <x:v>0</x:v>
      </x:c>
      <x:c r="F93" s="13">
        <x:v>0.10300000000000001</x:v>
      </x:c>
      <x:c r="G93" s="13">
        <x:v>0.131</x:v>
      </x:c>
      <x:c r="H93" s="13">
        <x:v>0</x:v>
      </x:c>
      <x:c r="I93" s="13">
        <x:v>0.6</x:v>
      </x:c>
      <x:c r="J93" s="13">
        <x:v>0</x:v>
      </x:c>
      <x:c r="K93" s="13">
        <x:v>0</x:v>
      </x:c>
      <x:c r="L93" s="13">
        <x:v>1</x:v>
      </x:c>
    </x:row>
    <x:row r="94">
      <x:c r="A94" s="7" t="str">
        <x:v>PARU DAN PERNAFASAN</x:v>
      </x:c>
      <x:c r="B94" s="7" t="str">
        <x:v>Paru &amp; Pernafasan</x:v>
      </x:c>
      <x:c r="C94" s="7" t="str">
        <x:v>Utama</x:v>
      </x:c>
      <x:c r="D94" s="8">
        <x:v>3</x:v>
      </x:c>
      <x:c r="E94" s="13">
        <x:v>0</x:v>
      </x:c>
      <x:c r="F94" s="13">
        <x:v>0.203</x:v>
      </x:c>
      <x:c r="G94" s="13">
        <x:v>0.231</x:v>
      </x:c>
      <x:c r="H94" s="13">
        <x:v>0</x:v>
      </x:c>
      <x:c r="I94" s="13">
        <x:v>0.7</x:v>
      </x:c>
      <x:c r="J94" s="13">
        <x:v>0</x:v>
      </x:c>
      <x:c r="K94" s="13">
        <x:v>0</x:v>
      </x:c>
      <x:c r="L94" s="13">
        <x:v>1</x:v>
      </x:c>
    </x:row>
    <x:row r="95">
      <x:c r="A95" s="7" t="str">
        <x:v>PARU DAN PERNAFASAN</x:v>
      </x:c>
      <x:c r="B95" s="7" t="str">
        <x:v>Paru &amp; Pernafasan</x:v>
      </x:c>
      <x:c r="C95" s="7" t="str">
        <x:v>Utama</x:v>
      </x:c>
      <x:c r="D95" s="8">
        <x:v>4</x:v>
      </x:c>
      <x:c r="E95" s="13">
        <x:v>0</x:v>
      </x:c>
      <x:c r="F95" s="13">
        <x:v>0.303</x:v>
      </x:c>
      <x:c r="G95" s="13">
        <x:v>0.331</x:v>
      </x:c>
      <x:c r="H95" s="13">
        <x:v>0</x:v>
      </x:c>
      <x:c r="I95" s="13">
        <x:v>0.8</x:v>
      </x:c>
      <x:c r="J95" s="13">
        <x:v>0</x:v>
      </x:c>
      <x:c r="K95" s="13">
        <x:v>0</x:v>
      </x:c>
      <x:c r="L95" s="13">
        <x:v>1</x:v>
      </x:c>
    </x:row>
    <x:row r="96">
      <x:c r="A96" s="7" t="str">
        <x:v>PARU DAN PERNAFASAN</x:v>
      </x:c>
      <x:c r="B96" s="7" t="str">
        <x:v>Paru &amp; Pernafasan</x:v>
      </x:c>
      <x:c r="C96" s="7" t="str">
        <x:v>Utama</x:v>
      </x:c>
      <x:c r="D96" s="8">
        <x:v>5</x:v>
      </x:c>
      <x:c r="E96" s="13">
        <x:v>0</x:v>
      </x:c>
      <x:c r="F96" s="13">
        <x:v>0.40299999999999997</x:v>
      </x:c>
      <x:c r="G96" s="13">
        <x:v>0.431</x:v>
      </x:c>
      <x:c r="H96" s="13">
        <x:v>0</x:v>
      </x:c>
      <x:c r="I96" s="13">
        <x:v>0.9</x:v>
      </x:c>
      <x:c r="J96" s="13">
        <x:v>0</x:v>
      </x:c>
      <x:c r="K96" s="13">
        <x:v>0</x:v>
      </x:c>
      <x:c r="L96" s="13">
        <x:v>1</x:v>
      </x:c>
    </x:row>
    <x:row r="97">
      <x:c r="A97" s="7" t="str">
        <x:v>PARU DAN PERNAFASAN</x:v>
      </x:c>
      <x:c r="B97" s="7" t="str">
        <x:v>Paru &amp; Pernafasan</x:v>
      </x:c>
      <x:c r="C97" s="7" t="str">
        <x:v>Utama</x:v>
      </x:c>
      <x:c r="D97" s="8">
        <x:v>6</x:v>
      </x:c>
      <x:c r="E97" s="13">
        <x:v>0</x:v>
      </x:c>
      <x:c r="F97" s="13">
        <x:v>0.503</x:v>
      </x:c>
      <x:c r="G97" s="13">
        <x:v>0.531</x:v>
      </x:c>
      <x:c r="H97" s="13">
        <x:v>0</x:v>
      </x:c>
      <x:c r="I97" s="13">
        <x:v>1</x:v>
      </x:c>
      <x:c r="J97" s="13">
        <x:v>0</x:v>
      </x:c>
      <x:c r="K97" s="13">
        <x:v>0</x:v>
      </x:c>
      <x:c r="L97" s="13">
        <x:v>1</x:v>
      </x:c>
    </x:row>
    <x:row r="98">
      <x:c r="A98" s="7" t="str">
        <x:v>PENCERNAAN DAN HEPATOBILIER</x:v>
      </x:c>
      <x:c r="B98" s="7" t="str">
        <x:v>Pencernaan &amp; Hepatobilier</x:v>
      </x:c>
      <x:c r="C98" s="7" t="str">
        <x:v>Paripurna</x:v>
      </x:c>
      <x:c r="D98" s="8">
        <x:v>1</x:v>
      </x:c>
      <x:c r="E98" s="13">
        <x:v>0</x:v>
      </x:c>
      <x:c r="F98" s="13">
        <x:v>0</x:v>
      </x:c>
      <x:c r="G98" s="13">
        <x:v>0.048</x:v>
      </x:c>
      <x:c r="H98" s="13">
        <x:v>0.16699999999999998</x:v>
      </x:c>
      <x:c r="I98" s="13">
        <x:v>0.5</x:v>
      </x:c>
      <x:c r="J98" s="13">
        <x:v>0.5</x:v>
      </x:c>
      <x:c r="K98" s="13">
        <x:v>0</x:v>
      </x:c>
      <x:c r="L98" s="13">
        <x:v>0</x:v>
      </x:c>
    </x:row>
    <x:row r="99">
      <x:c r="A99" s="7" t="str">
        <x:v>PENCERNAAN DAN HEPATOBILIER</x:v>
      </x:c>
      <x:c r="B99" s="7" t="str">
        <x:v>Pencernaan &amp; Hepatobilier</x:v>
      </x:c>
      <x:c r="C99" s="7" t="str">
        <x:v>Paripurna</x:v>
      </x:c>
      <x:c r="D99" s="8">
        <x:v>2</x:v>
      </x:c>
      <x:c r="E99" s="13">
        <x:v>0</x:v>
      </x:c>
      <x:c r="F99" s="13">
        <x:v>0</x:v>
      </x:c>
      <x:c r="G99" s="13">
        <x:v>0.14800000000000002</x:v>
      </x:c>
      <x:c r="H99" s="13">
        <x:v>0.267</x:v>
      </x:c>
      <x:c r="I99" s="13">
        <x:v>0.6</x:v>
      </x:c>
      <x:c r="J99" s="13">
        <x:v>0.6</x:v>
      </x:c>
      <x:c r="K99" s="13">
        <x:v>0</x:v>
      </x:c>
      <x:c r="L99" s="13">
        <x:v>0</x:v>
      </x:c>
    </x:row>
    <x:row r="100">
      <x:c r="A100" s="7" t="str">
        <x:v>PENCERNAAN DAN HEPATOBILIER</x:v>
      </x:c>
      <x:c r="B100" s="7" t="str">
        <x:v>Pencernaan &amp; Hepatobilier</x:v>
      </x:c>
      <x:c r="C100" s="7" t="str">
        <x:v>Paripurna</x:v>
      </x:c>
      <x:c r="D100" s="8">
        <x:v>3</x:v>
      </x:c>
      <x:c r="E100" s="13">
        <x:v>0</x:v>
      </x:c>
      <x:c r="F100" s="13">
        <x:v>0</x:v>
      </x:c>
      <x:c r="G100" s="13">
        <x:v>0.248</x:v>
      </x:c>
      <x:c r="H100" s="13">
        <x:v>0.36700000000000005</x:v>
      </x:c>
      <x:c r="I100" s="13">
        <x:v>0.7</x:v>
      </x:c>
      <x:c r="J100" s="13">
        <x:v>0.7</x:v>
      </x:c>
      <x:c r="K100" s="13">
        <x:v>0</x:v>
      </x:c>
      <x:c r="L100" s="13">
        <x:v>0</x:v>
      </x:c>
    </x:row>
    <x:row r="101">
      <x:c r="A101" s="7" t="str">
        <x:v>PENCERNAAN DAN HEPATOBILIER</x:v>
      </x:c>
      <x:c r="B101" s="7" t="str">
        <x:v>Pencernaan &amp; Hepatobilier</x:v>
      </x:c>
      <x:c r="C101" s="7" t="str">
        <x:v>Paripurna</x:v>
      </x:c>
      <x:c r="D101" s="8">
        <x:v>4</x:v>
      </x:c>
      <x:c r="E101" s="13">
        <x:v>0</x:v>
      </x:c>
      <x:c r="F101" s="13">
        <x:v>0</x:v>
      </x:c>
      <x:c r="G101" s="13">
        <x:v>0.348</x:v>
      </x:c>
      <x:c r="H101" s="13">
        <x:v>0.467</x:v>
      </x:c>
      <x:c r="I101" s="13">
        <x:v>0.8</x:v>
      </x:c>
      <x:c r="J101" s="13">
        <x:v>0.8</x:v>
      </x:c>
      <x:c r="K101" s="13">
        <x:v>0</x:v>
      </x:c>
      <x:c r="L101" s="13">
        <x:v>0</x:v>
      </x:c>
    </x:row>
    <x:row r="102">
      <x:c r="A102" s="7" t="str">
        <x:v>PENCERNAAN DAN HEPATOBILIER</x:v>
      </x:c>
      <x:c r="B102" s="7" t="str">
        <x:v>Pencernaan &amp; Hepatobilier</x:v>
      </x:c>
      <x:c r="C102" s="7" t="str">
        <x:v>Paripurna</x:v>
      </x:c>
      <x:c r="D102" s="8">
        <x:v>5</x:v>
      </x:c>
      <x:c r="E102" s="13">
        <x:v>0</x:v>
      </x:c>
      <x:c r="F102" s="13">
        <x:v>0</x:v>
      </x:c>
      <x:c r="G102" s="13">
        <x:v>0.44799999999999995</x:v>
      </x:c>
      <x:c r="H102" s="13">
        <x:v>0.5670000000000001</x:v>
      </x:c>
      <x:c r="I102" s="13">
        <x:v>0.9</x:v>
      </x:c>
      <x:c r="J102" s="13">
        <x:v>0.9</x:v>
      </x:c>
      <x:c r="K102" s="13">
        <x:v>0</x:v>
      </x:c>
      <x:c r="L102" s="13">
        <x:v>0</x:v>
      </x:c>
    </x:row>
    <x:row r="103">
      <x:c r="A103" s="7" t="str">
        <x:v>PENCERNAAN DAN HEPATOBILIER</x:v>
      </x:c>
      <x:c r="B103" s="7" t="str">
        <x:v>Pencernaan &amp; Hepatobilier</x:v>
      </x:c>
      <x:c r="C103" s="7" t="str">
        <x:v>Paripurna</x:v>
      </x:c>
      <x:c r="D103" s="8">
        <x:v>6</x:v>
      </x:c>
      <x:c r="E103" s="13">
        <x:v>0</x:v>
      </x:c>
      <x:c r="F103" s="13">
        <x:v>0</x:v>
      </x:c>
      <x:c r="G103" s="13">
        <x:v>0.5479999999999999</x:v>
      </x:c>
      <x:c r="H103" s="13">
        <x:v>0.667</x:v>
      </x:c>
      <x:c r="I103" s="13">
        <x:v>1</x:v>
      </x:c>
      <x:c r="J103" s="13">
        <x:v>1</x:v>
      </x:c>
      <x:c r="K103" s="13">
        <x:v>0</x:v>
      </x:c>
      <x:c r="L103" s="13">
        <x:v>0</x:v>
      </x:c>
    </x:row>
    <x:row r="104">
      <x:c r="A104" s="7" t="str">
        <x:v>REHABILITASI</x:v>
      </x:c>
      <x:c r="B104" s="7" t="str">
        <x:v>Rehabilitasi</x:v>
      </x:c>
      <x:c r="C104" s="7" t="str">
        <x:v>Paripurna</x:v>
      </x:c>
      <x:c r="D104" s="8">
        <x:v>1</x:v>
      </x:c>
      <x:c r="E104" s="13">
        <x:v>0</x:v>
      </x:c>
      <x:c r="F104" s="13">
        <x:v>0</x:v>
      </x:c>
      <x:c r="G104" s="13">
        <x:v>0.037000000000000005</x:v>
      </x:c>
      <x:c r="H104" s="13">
        <x:v>0.5</x:v>
      </x:c>
      <x:c r="I104" s="13">
        <x:v>0.5</x:v>
      </x:c>
      <x:c r="J104" s="13">
        <x:v>0.5</x:v>
      </x:c>
      <x:c r="K104" s="13">
        <x:v>0</x:v>
      </x:c>
      <x:c r="L104" s="13">
        <x:v>0</x:v>
      </x:c>
    </x:row>
    <x:row r="105">
      <x:c r="A105" s="7" t="str">
        <x:v>REHABILITASI</x:v>
      </x:c>
      <x:c r="B105" s="7" t="str">
        <x:v>Rehabilitasi</x:v>
      </x:c>
      <x:c r="C105" s="7" t="str">
        <x:v>Paripurna</x:v>
      </x:c>
      <x:c r="D105" s="8">
        <x:v>2</x:v>
      </x:c>
      <x:c r="E105" s="13">
        <x:v>0</x:v>
      </x:c>
      <x:c r="F105" s="13">
        <x:v>0</x:v>
      </x:c>
      <x:c r="G105" s="13">
        <x:v>0.13699999999999998</x:v>
      </x:c>
      <x:c r="H105" s="13">
        <x:v>0.6</x:v>
      </x:c>
      <x:c r="I105" s="13">
        <x:v>0.6</x:v>
      </x:c>
      <x:c r="J105" s="13">
        <x:v>0.6</x:v>
      </x:c>
      <x:c r="K105" s="13">
        <x:v>0</x:v>
      </x:c>
      <x:c r="L105" s="13">
        <x:v>0</x:v>
      </x:c>
    </x:row>
    <x:row r="106">
      <x:c r="A106" s="7" t="str">
        <x:v>REHABILITASI</x:v>
      </x:c>
      <x:c r="B106" s="7" t="str">
        <x:v>Rehabilitasi</x:v>
      </x:c>
      <x:c r="C106" s="7" t="str">
        <x:v>Paripurna</x:v>
      </x:c>
      <x:c r="D106" s="8">
        <x:v>3</x:v>
      </x:c>
      <x:c r="E106" s="13">
        <x:v>0</x:v>
      </x:c>
      <x:c r="F106" s="13">
        <x:v>0</x:v>
      </x:c>
      <x:c r="G106" s="13">
        <x:v>0.237</x:v>
      </x:c>
      <x:c r="H106" s="13">
        <x:v>0.7</x:v>
      </x:c>
      <x:c r="I106" s="13">
        <x:v>0.7</x:v>
      </x:c>
      <x:c r="J106" s="13">
        <x:v>0.7</x:v>
      </x:c>
      <x:c r="K106" s="13">
        <x:v>0</x:v>
      </x:c>
      <x:c r="L106" s="13">
        <x:v>0</x:v>
      </x:c>
    </x:row>
    <x:row r="107">
      <x:c r="A107" s="7" t="str">
        <x:v>REHABILITASI</x:v>
      </x:c>
      <x:c r="B107" s="7" t="str">
        <x:v>Rehabilitasi</x:v>
      </x:c>
      <x:c r="C107" s="7" t="str">
        <x:v>Paripurna</x:v>
      </x:c>
      <x:c r="D107" s="8">
        <x:v>4</x:v>
      </x:c>
      <x:c r="E107" s="13">
        <x:v>0</x:v>
      </x:c>
      <x:c r="F107" s="13">
        <x:v>0</x:v>
      </x:c>
      <x:c r="G107" s="13">
        <x:v>0.337</x:v>
      </x:c>
      <x:c r="H107" s="13">
        <x:v>0.8</x:v>
      </x:c>
      <x:c r="I107" s="13">
        <x:v>0.8</x:v>
      </x:c>
      <x:c r="J107" s="13">
        <x:v>0.8</x:v>
      </x:c>
      <x:c r="K107" s="13">
        <x:v>0</x:v>
      </x:c>
      <x:c r="L107" s="13">
        <x:v>0</x:v>
      </x:c>
    </x:row>
    <x:row r="108">
      <x:c r="A108" s="7" t="str">
        <x:v>REHABILITASI</x:v>
      </x:c>
      <x:c r="B108" s="7" t="str">
        <x:v>Rehabilitasi</x:v>
      </x:c>
      <x:c r="C108" s="7" t="str">
        <x:v>Paripurna</x:v>
      </x:c>
      <x:c r="D108" s="8">
        <x:v>5</x:v>
      </x:c>
      <x:c r="E108" s="13">
        <x:v>0</x:v>
      </x:c>
      <x:c r="F108" s="13">
        <x:v>0</x:v>
      </x:c>
      <x:c r="G108" s="13">
        <x:v>0.43700000000000006</x:v>
      </x:c>
      <x:c r="H108" s="13">
        <x:v>0.9</x:v>
      </x:c>
      <x:c r="I108" s="13">
        <x:v>0.9</x:v>
      </x:c>
      <x:c r="J108" s="13">
        <x:v>0.9</x:v>
      </x:c>
      <x:c r="K108" s="13">
        <x:v>0</x:v>
      </x:c>
      <x:c r="L108" s="13">
        <x:v>0</x:v>
      </x:c>
    </x:row>
    <x:row r="109">
      <x:c r="A109" s="7" t="str">
        <x:v>REHABILITASI</x:v>
      </x:c>
      <x:c r="B109" s="7" t="str">
        <x:v>Rehabilitasi</x:v>
      </x:c>
      <x:c r="C109" s="7" t="str">
        <x:v>Paripurna</x:v>
      </x:c>
      <x:c r="D109" s="8">
        <x:v>6</x:v>
      </x:c>
      <x:c r="E109" s="13">
        <x:v>0</x:v>
      </x:c>
      <x:c r="F109" s="13">
        <x:v>0</x:v>
      </x:c>
      <x:c r="G109" s="13">
        <x:v>0.537</x:v>
      </x:c>
      <x:c r="H109" s="13">
        <x:v>1</x:v>
      </x:c>
      <x:c r="I109" s="13">
        <x:v>1</x:v>
      </x:c>
      <x:c r="J109" s="13">
        <x:v>1</x:v>
      </x:c>
      <x:c r="K109" s="13">
        <x:v>0</x:v>
      </x:c>
      <x:c r="L109" s="13">
        <x:v>0</x:v>
      </x:c>
    </x:row>
    <x:row r="110">
      <x:c r="A110" s="7" t="str">
        <x:v>REKONSTRUKSI DAN ESTETIKA</x:v>
      </x:c>
      <x:c r="B110" s="7" t="str">
        <x:v>Rekonstruksi &amp; Estetika</x:v>
      </x:c>
      <x:c r="C110" s="7" t="str">
        <x:v>Paripurna</x:v>
      </x:c>
      <x:c r="D110" s="8">
        <x:v>1</x:v>
      </x:c>
      <x:c r="E110" s="13">
        <x:v>0</x:v>
      </x:c>
      <x:c r="F110" s="13">
        <x:v>0</x:v>
      </x:c>
      <x:c r="G110" s="13">
        <x:v>0.02</x:v>
      </x:c>
      <x:c r="H110" s="13">
        <x:v>0.1</x:v>
      </x:c>
      <x:c r="I110" s="13">
        <x:v>0.5</x:v>
      </x:c>
      <x:c r="J110" s="13">
        <x:v>0.5</x:v>
      </x:c>
      <x:c r="K110" s="13">
        <x:v>0</x:v>
      </x:c>
      <x:c r="L110" s="13">
        <x:v>0</x:v>
      </x:c>
    </x:row>
    <x:row r="111">
      <x:c r="A111" s="7" t="str">
        <x:v>REKONSTRUKSI DAN ESTETIKA</x:v>
      </x:c>
      <x:c r="B111" s="7" t="str">
        <x:v>Rekonstruksi &amp; Estetika</x:v>
      </x:c>
      <x:c r="C111" s="7" t="str">
        <x:v>Paripurna</x:v>
      </x:c>
      <x:c r="D111" s="8">
        <x:v>2</x:v>
      </x:c>
      <x:c r="E111" s="13">
        <x:v>0</x:v>
      </x:c>
      <x:c r="F111" s="13">
        <x:v>0</x:v>
      </x:c>
      <x:c r="G111" s="13">
        <x:v>0.12</x:v>
      </x:c>
      <x:c r="H111" s="13">
        <x:v>0.2</x:v>
      </x:c>
      <x:c r="I111" s="13">
        <x:v>0.6</x:v>
      </x:c>
      <x:c r="J111" s="13">
        <x:v>0.6</x:v>
      </x:c>
      <x:c r="K111" s="13">
        <x:v>0</x:v>
      </x:c>
      <x:c r="L111" s="13">
        <x:v>0</x:v>
      </x:c>
    </x:row>
    <x:row r="112">
      <x:c r="A112" s="7" t="str">
        <x:v>REKONSTRUKSI DAN ESTETIKA</x:v>
      </x:c>
      <x:c r="B112" s="7" t="str">
        <x:v>Rekonstruksi &amp; Estetika</x:v>
      </x:c>
      <x:c r="C112" s="7" t="str">
        <x:v>Paripurna</x:v>
      </x:c>
      <x:c r="D112" s="8">
        <x:v>3</x:v>
      </x:c>
      <x:c r="E112" s="13">
        <x:v>0</x:v>
      </x:c>
      <x:c r="F112" s="13">
        <x:v>0</x:v>
      </x:c>
      <x:c r="G112" s="13">
        <x:v>0.22</x:v>
      </x:c>
      <x:c r="H112" s="13">
        <x:v>0.3</x:v>
      </x:c>
      <x:c r="I112" s="13">
        <x:v>0.7</x:v>
      </x:c>
      <x:c r="J112" s="13">
        <x:v>0.7</x:v>
      </x:c>
      <x:c r="K112" s="13">
        <x:v>0</x:v>
      </x:c>
      <x:c r="L112" s="13">
        <x:v>0</x:v>
      </x:c>
    </x:row>
    <x:row r="113">
      <x:c r="A113" s="7" t="str">
        <x:v>REKONSTRUKSI DAN ESTETIKA</x:v>
      </x:c>
      <x:c r="B113" s="7" t="str">
        <x:v>Rekonstruksi &amp; Estetika</x:v>
      </x:c>
      <x:c r="C113" s="7" t="str">
        <x:v>Paripurna</x:v>
      </x:c>
      <x:c r="D113" s="8">
        <x:v>4</x:v>
      </x:c>
      <x:c r="E113" s="13">
        <x:v>0</x:v>
      </x:c>
      <x:c r="F113" s="13">
        <x:v>0</x:v>
      </x:c>
      <x:c r="G113" s="13">
        <x:v>0.32</x:v>
      </x:c>
      <x:c r="H113" s="13">
        <x:v>0.4</x:v>
      </x:c>
      <x:c r="I113" s="13">
        <x:v>0.8</x:v>
      </x:c>
      <x:c r="J113" s="13">
        <x:v>0.8</x:v>
      </x:c>
      <x:c r="K113" s="13">
        <x:v>0</x:v>
      </x:c>
      <x:c r="L113" s="13">
        <x:v>0</x:v>
      </x:c>
    </x:row>
    <x:row r="114">
      <x:c r="A114" s="7" t="str">
        <x:v>REKONSTRUKSI DAN ESTETIKA</x:v>
      </x:c>
      <x:c r="B114" s="7" t="str">
        <x:v>Rekonstruksi &amp; Estetika</x:v>
      </x:c>
      <x:c r="C114" s="7" t="str">
        <x:v>Paripurna</x:v>
      </x:c>
      <x:c r="D114" s="8">
        <x:v>5</x:v>
      </x:c>
      <x:c r="E114" s="13">
        <x:v>0</x:v>
      </x:c>
      <x:c r="F114" s="13">
        <x:v>0</x:v>
      </x:c>
      <x:c r="G114" s="13">
        <x:v>0.42</x:v>
      </x:c>
      <x:c r="H114" s="13">
        <x:v>0.5</x:v>
      </x:c>
      <x:c r="I114" s="13">
        <x:v>0.9</x:v>
      </x:c>
      <x:c r="J114" s="13">
        <x:v>0.9</x:v>
      </x:c>
      <x:c r="K114" s="13">
        <x:v>0</x:v>
      </x:c>
      <x:c r="L114" s="13">
        <x:v>0</x:v>
      </x:c>
    </x:row>
    <x:row r="115">
      <x:c r="A115" s="7" t="str">
        <x:v>REKONSTRUKSI DAN ESTETIKA</x:v>
      </x:c>
      <x:c r="B115" s="7" t="str">
        <x:v>Rekonstruksi &amp; Estetika</x:v>
      </x:c>
      <x:c r="C115" s="7" t="str">
        <x:v>Paripurna</x:v>
      </x:c>
      <x:c r="D115" s="8">
        <x:v>6</x:v>
      </x:c>
      <x:c r="E115" s="13">
        <x:v>0</x:v>
      </x:c>
      <x:c r="F115" s="13">
        <x:v>0</x:v>
      </x:c>
      <x:c r="G115" s="13">
        <x:v>0.52</x:v>
      </x:c>
      <x:c r="H115" s="13">
        <x:v>0.6</x:v>
      </x:c>
      <x:c r="I115" s="13">
        <x:v>1</x:v>
      </x:c>
      <x:c r="J115" s="13">
        <x:v>1</x:v>
      </x:c>
      <x:c r="K115" s="13">
        <x:v>0</x:v>
      </x:c>
      <x:c r="L115" s="13">
        <x:v>0</x:v>
      </x:c>
    </x:row>
    <x:row r="116">
      <x:c r="A116" s="7" t="str">
        <x:v>SARAF/ NEUROSCIENCE</x:v>
      </x:c>
      <x:c r="B116" s="7" t="str">
        <x:v>Saraf / Neuroscience</x:v>
      </x:c>
      <x:c r="C116" s="7" t="str">
        <x:v>Paripurna</x:v>
      </x:c>
      <x:c r="D116" s="8">
        <x:v>1</x:v>
      </x:c>
      <x:c r="E116" s="13">
        <x:v>0</x:v>
      </x:c>
      <x:c r="F116" s="13">
        <x:v>0</x:v>
      </x:c>
      <x:c r="G116" s="13">
        <x:v>0.036000000000000004</x:v>
      </x:c>
      <x:c r="H116" s="13">
        <x:v>0.14300000000000002</x:v>
      </x:c>
      <x:c r="I116" s="13">
        <x:v>0.5</x:v>
      </x:c>
      <x:c r="J116" s="13">
        <x:v>0.5</x:v>
      </x:c>
      <x:c r="K116" s="13">
        <x:v>0</x:v>
      </x:c>
      <x:c r="L116" s="13">
        <x:v>0</x:v>
      </x:c>
    </x:row>
    <x:row r="117">
      <x:c r="A117" s="7" t="str">
        <x:v>SARAF/ NEUROSCIENCE</x:v>
      </x:c>
      <x:c r="B117" s="7" t="str">
        <x:v>Saraf / Neuroscience</x:v>
      </x:c>
      <x:c r="C117" s="7" t="str">
        <x:v>Paripurna</x:v>
      </x:c>
      <x:c r="D117" s="8">
        <x:v>2</x:v>
      </x:c>
      <x:c r="E117" s="13">
        <x:v>0</x:v>
      </x:c>
      <x:c r="F117" s="13">
        <x:v>0</x:v>
      </x:c>
      <x:c r="G117" s="13">
        <x:v>0.136</x:v>
      </x:c>
      <x:c r="H117" s="13">
        <x:v>0.243</x:v>
      </x:c>
      <x:c r="I117" s="13">
        <x:v>0.6</x:v>
      </x:c>
      <x:c r="J117" s="13">
        <x:v>0.6</x:v>
      </x:c>
      <x:c r="K117" s="13">
        <x:v>0</x:v>
      </x:c>
      <x:c r="L117" s="13">
        <x:v>0</x:v>
      </x:c>
    </x:row>
    <x:row r="118">
      <x:c r="A118" s="7" t="str">
        <x:v>SARAF/ NEUROSCIENCE</x:v>
      </x:c>
      <x:c r="B118" s="7" t="str">
        <x:v>Saraf / Neuroscience</x:v>
      </x:c>
      <x:c r="C118" s="7" t="str">
        <x:v>Paripurna</x:v>
      </x:c>
      <x:c r="D118" s="8">
        <x:v>3</x:v>
      </x:c>
      <x:c r="E118" s="13">
        <x:v>0</x:v>
      </x:c>
      <x:c r="F118" s="13">
        <x:v>0</x:v>
      </x:c>
      <x:c r="G118" s="13">
        <x:v>0.23600000000000002</x:v>
      </x:c>
      <x:c r="H118" s="13">
        <x:v>0.34299999999999997</x:v>
      </x:c>
      <x:c r="I118" s="13">
        <x:v>0.7</x:v>
      </x:c>
      <x:c r="J118" s="13">
        <x:v>0.7</x:v>
      </x:c>
      <x:c r="K118" s="13">
        <x:v>0</x:v>
      </x:c>
      <x:c r="L118" s="13">
        <x:v>0</x:v>
      </x:c>
    </x:row>
    <x:row r="119">
      <x:c r="A119" s="7" t="str">
        <x:v>SARAF/ NEUROSCIENCE</x:v>
      </x:c>
      <x:c r="B119" s="7" t="str">
        <x:v>Saraf / Neuroscience</x:v>
      </x:c>
      <x:c r="C119" s="7" t="str">
        <x:v>Paripurna</x:v>
      </x:c>
      <x:c r="D119" s="8">
        <x:v>4</x:v>
      </x:c>
      <x:c r="E119" s="13">
        <x:v>0</x:v>
      </x:c>
      <x:c r="F119" s="13">
        <x:v>0</x:v>
      </x:c>
      <x:c r="G119" s="13">
        <x:v>0.336</x:v>
      </x:c>
      <x:c r="H119" s="13">
        <x:v>0.44299999999999995</x:v>
      </x:c>
      <x:c r="I119" s="13">
        <x:v>0.8</x:v>
      </x:c>
      <x:c r="J119" s="13">
        <x:v>0.8</x:v>
      </x:c>
      <x:c r="K119" s="13">
        <x:v>0</x:v>
      </x:c>
      <x:c r="L119" s="13">
        <x:v>0</x:v>
      </x:c>
    </x:row>
    <x:row r="120">
      <x:c r="A120" s="7" t="str">
        <x:v>SARAF/ NEUROSCIENCE</x:v>
      </x:c>
      <x:c r="B120" s="7" t="str">
        <x:v>Saraf / Neuroscience</x:v>
      </x:c>
      <x:c r="C120" s="7" t="str">
        <x:v>Paripurna</x:v>
      </x:c>
      <x:c r="D120" s="8">
        <x:v>5</x:v>
      </x:c>
      <x:c r="E120" s="13">
        <x:v>0</x:v>
      </x:c>
      <x:c r="F120" s="13">
        <x:v>0</x:v>
      </x:c>
      <x:c r="G120" s="13">
        <x:v>0.436</x:v>
      </x:c>
      <x:c r="H120" s="13">
        <x:v>0.5429999999999999</x:v>
      </x:c>
      <x:c r="I120" s="13">
        <x:v>0.9</x:v>
      </x:c>
      <x:c r="J120" s="13">
        <x:v>0.9</x:v>
      </x:c>
      <x:c r="K120" s="13">
        <x:v>0</x:v>
      </x:c>
      <x:c r="L120" s="13">
        <x:v>0</x:v>
      </x:c>
    </x:row>
    <x:row r="121">
      <x:c r="A121" s="7" t="str">
        <x:v>SARAF/ NEUROSCIENCE</x:v>
      </x:c>
      <x:c r="B121" s="7" t="str">
        <x:v>Saraf / Neuroscience</x:v>
      </x:c>
      <x:c r="C121" s="7" t="str">
        <x:v>Paripurna</x:v>
      </x:c>
      <x:c r="D121" s="8">
        <x:v>6</x:v>
      </x:c>
      <x:c r="E121" s="13">
        <x:v>0</x:v>
      </x:c>
      <x:c r="F121" s="13">
        <x:v>0</x:v>
      </x:c>
      <x:c r="G121" s="13">
        <x:v>0.536</x:v>
      </x:c>
      <x:c r="H121" s="13">
        <x:v>0.643</x:v>
      </x:c>
      <x:c r="I121" s="13">
        <x:v>1</x:v>
      </x:c>
      <x:c r="J121" s="13">
        <x:v>1</x:v>
      </x:c>
      <x:c r="K121" s="13">
        <x:v>0</x:v>
      </x:c>
      <x:c r="L121" s="13">
        <x:v>0</x:v>
      </x:c>
    </x:row>
    <x:row r="122">
      <x:c r="A122" s="7" t="str">
        <x:v>THT</x:v>
      </x:c>
      <x:c r="B122" s="7" t="str">
        <x:v>Tht</x:v>
      </x:c>
      <x:c r="C122" s="7" t="str">
        <x:v>Utama</x:v>
      </x:c>
      <x:c r="D122" s="8">
        <x:v>1</x:v>
      </x:c>
      <x:c r="E122" s="13">
        <x:v>0</x:v>
      </x:c>
      <x:c r="F122" s="13">
        <x:v>0.005</x:v>
      </x:c>
      <x:c r="G122" s="13">
        <x:v>0.083</x:v>
      </x:c>
      <x:c r="H122" s="13">
        <x:v>0</x:v>
      </x:c>
      <x:c r="I122" s="13">
        <x:v>0.5</x:v>
      </x:c>
      <x:c r="J122" s="13">
        <x:v>0</x:v>
      </x:c>
      <x:c r="K122" s="13">
        <x:v>0</x:v>
      </x:c>
      <x:c r="L122" s="13">
        <x:v>1</x:v>
      </x:c>
    </x:row>
    <x:row r="123">
      <x:c r="A123" s="7" t="str">
        <x:v>THT</x:v>
      </x:c>
      <x:c r="B123" s="7" t="str">
        <x:v>Tht</x:v>
      </x:c>
      <x:c r="C123" s="7" t="str">
        <x:v>Utama</x:v>
      </x:c>
      <x:c r="D123" s="8">
        <x:v>2</x:v>
      </x:c>
      <x:c r="E123" s="13">
        <x:v>0</x:v>
      </x:c>
      <x:c r="F123" s="13">
        <x:v>0.105</x:v>
      </x:c>
      <x:c r="G123" s="13">
        <x:v>0.183</x:v>
      </x:c>
      <x:c r="H123" s="13">
        <x:v>0</x:v>
      </x:c>
      <x:c r="I123" s="13">
        <x:v>0.6</x:v>
      </x:c>
      <x:c r="J123" s="13">
        <x:v>0</x:v>
      </x:c>
      <x:c r="K123" s="13">
        <x:v>0</x:v>
      </x:c>
      <x:c r="L123" s="13">
        <x:v>1</x:v>
      </x:c>
    </x:row>
    <x:row r="124">
      <x:c r="A124" s="7" t="str">
        <x:v>THT</x:v>
      </x:c>
      <x:c r="B124" s="7" t="str">
        <x:v>Tht</x:v>
      </x:c>
      <x:c r="C124" s="7" t="str">
        <x:v>Utama</x:v>
      </x:c>
      <x:c r="D124" s="8">
        <x:v>3</x:v>
      </x:c>
      <x:c r="E124" s="13">
        <x:v>0</x:v>
      </x:c>
      <x:c r="F124" s="13">
        <x:v>0.205</x:v>
      </x:c>
      <x:c r="G124" s="13">
        <x:v>0.28300000000000003</x:v>
      </x:c>
      <x:c r="H124" s="13">
        <x:v>0</x:v>
      </x:c>
      <x:c r="I124" s="13">
        <x:v>0.7</x:v>
      </x:c>
      <x:c r="J124" s="13">
        <x:v>0</x:v>
      </x:c>
      <x:c r="K124" s="13">
        <x:v>0</x:v>
      </x:c>
      <x:c r="L124" s="13">
        <x:v>1</x:v>
      </x:c>
    </x:row>
    <x:row r="125">
      <x:c r="A125" s="7" t="str">
        <x:v>THT</x:v>
      </x:c>
      <x:c r="B125" s="7" t="str">
        <x:v>Tht</x:v>
      </x:c>
      <x:c r="C125" s="7" t="str">
        <x:v>Utama</x:v>
      </x:c>
      <x:c r="D125" s="8">
        <x:v>4</x:v>
      </x:c>
      <x:c r="E125" s="13">
        <x:v>0</x:v>
      </x:c>
      <x:c r="F125" s="13">
        <x:v>0.305</x:v>
      </x:c>
      <x:c r="G125" s="13">
        <x:v>0.38299999999999995</x:v>
      </x:c>
      <x:c r="H125" s="13">
        <x:v>0</x:v>
      </x:c>
      <x:c r="I125" s="13">
        <x:v>0.8</x:v>
      </x:c>
      <x:c r="J125" s="13">
        <x:v>0</x:v>
      </x:c>
      <x:c r="K125" s="13">
        <x:v>0</x:v>
      </x:c>
      <x:c r="L125" s="13">
        <x:v>1</x:v>
      </x:c>
    </x:row>
    <x:row r="126">
      <x:c r="A126" s="7" t="str">
        <x:v>THT</x:v>
      </x:c>
      <x:c r="B126" s="7" t="str">
        <x:v>Tht</x:v>
      </x:c>
      <x:c r="C126" s="7" t="str">
        <x:v>Utama</x:v>
      </x:c>
      <x:c r="D126" s="8">
        <x:v>5</x:v>
      </x:c>
      <x:c r="E126" s="13">
        <x:v>0</x:v>
      </x:c>
      <x:c r="F126" s="13">
        <x:v>0.405</x:v>
      </x:c>
      <x:c r="G126" s="13">
        <x:v>0.483</x:v>
      </x:c>
      <x:c r="H126" s="13">
        <x:v>0</x:v>
      </x:c>
      <x:c r="I126" s="13">
        <x:v>0.9</x:v>
      </x:c>
      <x:c r="J126" s="13">
        <x:v>0</x:v>
      </x:c>
      <x:c r="K126" s="13">
        <x:v>0</x:v>
      </x:c>
      <x:c r="L126" s="13">
        <x:v>1</x:v>
      </x:c>
    </x:row>
    <x:row r="127">
      <x:c r="A127" s="7" t="str">
        <x:v>THT</x:v>
      </x:c>
      <x:c r="B127" s="7" t="str">
        <x:v>Tht</x:v>
      </x:c>
      <x:c r="C127" s="7" t="str">
        <x:v>Utama</x:v>
      </x:c>
      <x:c r="D127" s="8">
        <x:v>6</x:v>
      </x:c>
      <x:c r="E127" s="13">
        <x:v>0</x:v>
      </x:c>
      <x:c r="F127" s="13">
        <x:v>0.505</x:v>
      </x:c>
      <x:c r="G127" s="13">
        <x:v>0.583</x:v>
      </x:c>
      <x:c r="H127" s="13">
        <x:v>0</x:v>
      </x:c>
      <x:c r="I127" s="13">
        <x:v>1</x:v>
      </x:c>
      <x:c r="J127" s="13">
        <x:v>0</x:v>
      </x:c>
      <x:c r="K127" s="13">
        <x:v>0</x:v>
      </x:c>
      <x:c r="L127" s="13">
        <x:v>1</x:v>
      </x:c>
    </x:row>
    <x:row r="128">
      <x:c r="A128" s="7" t="str">
        <x:v>TRAUMA</x:v>
      </x:c>
      <x:c r="B128" s="7" t="str">
        <x:v>Trauma</x:v>
      </x:c>
      <x:c r="C128" s="7" t="str">
        <x:v>Paripurna</x:v>
      </x:c>
      <x:c r="D128" s="8">
        <x:v>1</x:v>
      </x:c>
      <x:c r="E128" s="13">
        <x:v>0</x:v>
      </x:c>
      <x:c r="F128" s="13">
        <x:v>0</x:v>
      </x:c>
      <x:c r="G128" s="13">
        <x:v>0.026000000000000002</x:v>
      </x:c>
      <x:c r="H128" s="13">
        <x:v>0.125</x:v>
      </x:c>
      <x:c r="I128" s="13">
        <x:v>0.5</x:v>
      </x:c>
      <x:c r="J128" s="13">
        <x:v>0.5</x:v>
      </x:c>
      <x:c r="K128" s="13">
        <x:v>0</x:v>
      </x:c>
      <x:c r="L128" s="13">
        <x:v>0</x:v>
      </x:c>
    </x:row>
    <x:row r="129">
      <x:c r="A129" s="7" t="str">
        <x:v>TRAUMA</x:v>
      </x:c>
      <x:c r="B129" s="7" t="str">
        <x:v>Trauma</x:v>
      </x:c>
      <x:c r="C129" s="7" t="str">
        <x:v>Paripurna</x:v>
      </x:c>
      <x:c r="D129" s="8">
        <x:v>2</x:v>
      </x:c>
      <x:c r="E129" s="13">
        <x:v>0</x:v>
      </x:c>
      <x:c r="F129" s="13">
        <x:v>0</x:v>
      </x:c>
      <x:c r="G129" s="13">
        <x:v>0.126</x:v>
      </x:c>
      <x:c r="H129" s="13">
        <x:v>0.225</x:v>
      </x:c>
      <x:c r="I129" s="13">
        <x:v>0.6</x:v>
      </x:c>
      <x:c r="J129" s="13">
        <x:v>0.6</x:v>
      </x:c>
      <x:c r="K129" s="13">
        <x:v>0</x:v>
      </x:c>
      <x:c r="L129" s="13">
        <x:v>0</x:v>
      </x:c>
    </x:row>
    <x:row r="130">
      <x:c r="A130" s="7" t="str">
        <x:v>TRAUMA</x:v>
      </x:c>
      <x:c r="B130" s="7" t="str">
        <x:v>Trauma</x:v>
      </x:c>
      <x:c r="C130" s="7" t="str">
        <x:v>Paripurna</x:v>
      </x:c>
      <x:c r="D130" s="8">
        <x:v>3</x:v>
      </x:c>
      <x:c r="E130" s="13">
        <x:v>0</x:v>
      </x:c>
      <x:c r="F130" s="13">
        <x:v>0</x:v>
      </x:c>
      <x:c r="G130" s="13">
        <x:v>0.226</x:v>
      </x:c>
      <x:c r="H130" s="13">
        <x:v>0.325</x:v>
      </x:c>
      <x:c r="I130" s="13">
        <x:v>0.7</x:v>
      </x:c>
      <x:c r="J130" s="13">
        <x:v>0.7</x:v>
      </x:c>
      <x:c r="K130" s="13">
        <x:v>0</x:v>
      </x:c>
      <x:c r="L130" s="13">
        <x:v>0</x:v>
      </x:c>
    </x:row>
    <x:row r="131">
      <x:c r="A131" s="7" t="str">
        <x:v>TRAUMA</x:v>
      </x:c>
      <x:c r="B131" s="7" t="str">
        <x:v>Trauma</x:v>
      </x:c>
      <x:c r="C131" s="7" t="str">
        <x:v>Paripurna</x:v>
      </x:c>
      <x:c r="D131" s="8">
        <x:v>4</x:v>
      </x:c>
      <x:c r="E131" s="13">
        <x:v>0</x:v>
      </x:c>
      <x:c r="F131" s="13">
        <x:v>0</x:v>
      </x:c>
      <x:c r="G131" s="13">
        <x:v>0.326</x:v>
      </x:c>
      <x:c r="H131" s="13">
        <x:v>0.425</x:v>
      </x:c>
      <x:c r="I131" s="13">
        <x:v>0.8</x:v>
      </x:c>
      <x:c r="J131" s="13">
        <x:v>0.8</x:v>
      </x:c>
      <x:c r="K131" s="13">
        <x:v>0</x:v>
      </x:c>
      <x:c r="L131" s="13">
        <x:v>0</x:v>
      </x:c>
    </x:row>
    <x:row r="132">
      <x:c r="A132" s="7" t="str">
        <x:v>TRAUMA</x:v>
      </x:c>
      <x:c r="B132" s="7" t="str">
        <x:v>Trauma</x:v>
      </x:c>
      <x:c r="C132" s="7" t="str">
        <x:v>Paripurna</x:v>
      </x:c>
      <x:c r="D132" s="8">
        <x:v>5</x:v>
      </x:c>
      <x:c r="E132" s="13">
        <x:v>0</x:v>
      </x:c>
      <x:c r="F132" s="13">
        <x:v>0</x:v>
      </x:c>
      <x:c r="G132" s="13">
        <x:v>0.426</x:v>
      </x:c>
      <x:c r="H132" s="13">
        <x:v>0.525</x:v>
      </x:c>
      <x:c r="I132" s="13">
        <x:v>0.9</x:v>
      </x:c>
      <x:c r="J132" s="13">
        <x:v>0.9</x:v>
      </x:c>
      <x:c r="K132" s="13">
        <x:v>0</x:v>
      </x:c>
      <x:c r="L132" s="13">
        <x:v>0</x:v>
      </x:c>
    </x:row>
    <x:row r="133">
      <x:c r="A133" s="7" t="str">
        <x:v>TRAUMA</x:v>
      </x:c>
      <x:c r="B133" s="7" t="str">
        <x:v>Trauma</x:v>
      </x:c>
      <x:c r="C133" s="7" t="str">
        <x:v>Paripurna</x:v>
      </x:c>
      <x:c r="D133" s="8">
        <x:v>6</x:v>
      </x:c>
      <x:c r="E133" s="13">
        <x:v>0</x:v>
      </x:c>
      <x:c r="F133" s="13">
        <x:v>0</x:v>
      </x:c>
      <x:c r="G133" s="13">
        <x:v>0.526</x:v>
      </x:c>
      <x:c r="H133" s="13">
        <x:v>0.625</x:v>
      </x:c>
      <x:c r="I133" s="13">
        <x:v>1</x:v>
      </x:c>
      <x:c r="J133" s="13">
        <x:v>1</x:v>
      </x:c>
      <x:c r="K133" s="13">
        <x:v>0</x:v>
      </x:c>
      <x:c r="L133" s="13">
        <x:v>0</x:v>
      </x:c>
    </x:row>
    <x:row r="134">
      <x:c r="A134" s="7" t="str">
        <x:v>URO NEFRO</x:v>
      </x:c>
      <x:c r="B134" s="7" t="str">
        <x:v>Uro Nefro</x:v>
      </x:c>
      <x:c r="C134" s="7" t="str">
        <x:v>Paripurna</x:v>
      </x:c>
      <x:c r="D134" s="8">
        <x:v>1</x:v>
      </x:c>
      <x:c r="E134" s="13">
        <x:v>0</x:v>
      </x:c>
      <x:c r="F134" s="13">
        <x:v>0</x:v>
      </x:c>
      <x:c r="G134" s="13">
        <x:v>0.111</x:v>
      </x:c>
      <x:c r="H134" s="13">
        <x:v>0.125</x:v>
      </x:c>
      <x:c r="I134" s="13">
        <x:v>0.5</x:v>
      </x:c>
      <x:c r="J134" s="13">
        <x:v>0.5</x:v>
      </x:c>
      <x:c r="K134" s="13">
        <x:v>0</x:v>
      </x:c>
      <x:c r="L134" s="13">
        <x:v>0</x:v>
      </x:c>
    </x:row>
    <x:row r="135">
      <x:c r="A135" s="7" t="str">
        <x:v>URO NEFRO</x:v>
      </x:c>
      <x:c r="B135" s="7" t="str">
        <x:v>Uro Nefro</x:v>
      </x:c>
      <x:c r="C135" s="7" t="str">
        <x:v>Paripurna</x:v>
      </x:c>
      <x:c r="D135" s="8">
        <x:v>2</x:v>
      </x:c>
      <x:c r="E135" s="13">
        <x:v>0</x:v>
      </x:c>
      <x:c r="F135" s="13">
        <x:v>0</x:v>
      </x:c>
      <x:c r="G135" s="13">
        <x:v>0.21100000000000002</x:v>
      </x:c>
      <x:c r="H135" s="13">
        <x:v>0.225</x:v>
      </x:c>
      <x:c r="I135" s="13">
        <x:v>0.6</x:v>
      </x:c>
      <x:c r="J135" s="13">
        <x:v>0.6</x:v>
      </x:c>
      <x:c r="K135" s="13">
        <x:v>0</x:v>
      </x:c>
      <x:c r="L135" s="13">
        <x:v>0</x:v>
      </x:c>
    </x:row>
    <x:row r="136">
      <x:c r="A136" s="7" t="str">
        <x:v>URO NEFRO</x:v>
      </x:c>
      <x:c r="B136" s="7" t="str">
        <x:v>Uro Nefro</x:v>
      </x:c>
      <x:c r="C136" s="7" t="str">
        <x:v>Paripurna</x:v>
      </x:c>
      <x:c r="D136" s="8">
        <x:v>3</x:v>
      </x:c>
      <x:c r="E136" s="13">
        <x:v>0</x:v>
      </x:c>
      <x:c r="F136" s="13">
        <x:v>0</x:v>
      </x:c>
      <x:c r="G136" s="13">
        <x:v>0.311</x:v>
      </x:c>
      <x:c r="H136" s="13">
        <x:v>0.325</x:v>
      </x:c>
      <x:c r="I136" s="13">
        <x:v>0.7</x:v>
      </x:c>
      <x:c r="J136" s="13">
        <x:v>0.7</x:v>
      </x:c>
      <x:c r="K136" s="13">
        <x:v>0</x:v>
      </x:c>
      <x:c r="L136" s="13">
        <x:v>0</x:v>
      </x:c>
    </x:row>
    <x:row r="137">
      <x:c r="A137" s="7" t="str">
        <x:v>URO NEFRO</x:v>
      </x:c>
      <x:c r="B137" s="7" t="str">
        <x:v>Uro Nefro</x:v>
      </x:c>
      <x:c r="C137" s="7" t="str">
        <x:v>Paripurna</x:v>
      </x:c>
      <x:c r="D137" s="8">
        <x:v>4</x:v>
      </x:c>
      <x:c r="E137" s="13">
        <x:v>0</x:v>
      </x:c>
      <x:c r="F137" s="13">
        <x:v>0</x:v>
      </x:c>
      <x:c r="G137" s="13">
        <x:v>0.41100000000000003</x:v>
      </x:c>
      <x:c r="H137" s="13">
        <x:v>0.425</x:v>
      </x:c>
      <x:c r="I137" s="13">
        <x:v>0.8</x:v>
      </x:c>
      <x:c r="J137" s="13">
        <x:v>0.8</x:v>
      </x:c>
      <x:c r="K137" s="13">
        <x:v>0</x:v>
      </x:c>
      <x:c r="L137" s="13">
        <x:v>0</x:v>
      </x:c>
    </x:row>
    <x:row r="138">
      <x:c r="A138" s="7" t="str">
        <x:v>URO NEFRO</x:v>
      </x:c>
      <x:c r="B138" s="7" t="str">
        <x:v>Uro Nefro</x:v>
      </x:c>
      <x:c r="C138" s="7" t="str">
        <x:v>Paripurna</x:v>
      </x:c>
      <x:c r="D138" s="8">
        <x:v>5</x:v>
      </x:c>
      <x:c r="E138" s="13">
        <x:v>0</x:v>
      </x:c>
      <x:c r="F138" s="13">
        <x:v>0</x:v>
      </x:c>
      <x:c r="G138" s="13">
        <x:v>0.511</x:v>
      </x:c>
      <x:c r="H138" s="13">
        <x:v>0.525</x:v>
      </x:c>
      <x:c r="I138" s="13">
        <x:v>0.9</x:v>
      </x:c>
      <x:c r="J138" s="13">
        <x:v>0.9</x:v>
      </x:c>
      <x:c r="K138" s="13">
        <x:v>0</x:v>
      </x:c>
      <x:c r="L138" s="13">
        <x:v>0</x:v>
      </x:c>
    </x:row>
    <x:row r="139">
      <x:c r="A139" s="7" t="str">
        <x:v>URO NEFRO</x:v>
      </x:c>
      <x:c r="B139" s="7" t="str">
        <x:v>Uro Nefro</x:v>
      </x:c>
      <x:c r="C139" s="7" t="str">
        <x:v>Paripurna</x:v>
      </x:c>
      <x:c r="D139" s="8">
        <x:v>6</x:v>
      </x:c>
      <x:c r="E139" s="13">
        <x:v>0</x:v>
      </x:c>
      <x:c r="F139" s="13">
        <x:v>0</x:v>
      </x:c>
      <x:c r="G139" s="13">
        <x:v>0.611</x:v>
      </x:c>
      <x:c r="H139" s="13">
        <x:v>0.625</x:v>
      </x:c>
      <x:c r="I139" s="13">
        <x:v>1</x:v>
      </x:c>
      <x:c r="J139" s="13">
        <x:v>1</x:v>
      </x:c>
      <x:c r="K139" s="13">
        <x:v>0</x:v>
      </x:c>
      <x:c r="L139" s="13">
        <x:v>0</x:v>
      </x:c>
    </x:row>
  </x:sheetData>
  <x:pageMargins left="0.7" right="0.7" top="0.75" bottom="0.75" header="0.3" footer="0.3"/>
  <x:legacyDrawing xmlns:r="http://schemas.openxmlformats.org/officeDocument/2006/relationships" r:id="Rd20c07d392794f68"/>
</x:worksheet>
</file>

<file path=xl/worksheets/sheet6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Alergi, Imunologi &amp; Rheumatologi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0.018756617758281652</x:v>
      </x:c>
      <x:c r="K5" s="16" t="str">
        <x:v>Setara/lebih tinggi</x:v>
      </x:c>
      <x:c r="L5" s="11" t="n">
        <x:f>'02_Data_Layanan'!Q2</x:f>
        <x:v>5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SUM('02_Data_Layanan'!H2,'02_Data_Layanan'!H3,'02_Data_Layanan'!H4,'02_Data_Layanan'!H5)</x:f>
        <x:v>124</x:v>
      </x:c>
      <x:c r="C6" s="7" t="str"/>
      <x:c r="D6" s="7" t="str"/>
      <x:c r="E6" s="15" t="str">
        <x:v>Total Kasus</x:v>
      </x:c>
      <x:c r="F6" s="18" t="n">
        <x:f>SUM('02_Data_Layanan'!K2,'02_Data_Layanan'!K3,'02_Data_Layanan'!K4,'02_Data_Layanan'!K5)</x:f>
        <x:v>6611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 Awal Bros Pekanbaru;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SUM('02_Data_Layanan'!I2,'02_Data_Layanan'!I3,'02_Data_Layanan'!I4,'02_Data_Layanan'!I5)</x:f>
        <x:v>997348100</x:v>
      </x:c>
      <x:c r="C7" s="7" t="str"/>
      <x:c r="D7" s="7" t="str"/>
      <x:c r="E7" s="15" t="str">
        <x:v>Pendapatan INA</x:v>
      </x:c>
      <x:c r="F7" s="19" t="n">
        <x:f>SUM('02_Data_Layanan'!L2,'02_Data_Layanan'!L3,'02_Data_Layanan'!L4,'02_Data_Layanan'!L5)</x:f>
        <x:v>29984850100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SUM('02_Data_Layanan'!J2,'02_Data_Layanan'!J3,'02_Data_Layanan'!J4,'02_Data_Layanan'!J5)</x:f>
        <x:v>1095596634.2</x:v>
      </x:c>
      <x:c r="C8" s="7" t="str"/>
      <x:c r="D8" s="7" t="str"/>
      <x:c r="E8" s="15" t="str">
        <x:v>Pendapatan iDRG</x:v>
      </x:c>
      <x:c r="F8" s="19" t="n">
        <x:f>SUM('02_Data_Layanan'!M2,'02_Data_Layanan'!M3,'02_Data_Layanan'!M4,'02_Data_Layanan'!M5)</x:f>
        <x:v>37381254422.960014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'02_Data_Layanan'!H2</x:f>
        <x:v>57</x:v>
      </x:c>
      <x:c r="C11" s="21" t="n">
        <x:f>'02_Data_Layanan'!I2</x:f>
        <x:v>380141900</x:v>
      </x:c>
      <x:c r="D11" s="21" t="n">
        <x:f>'02_Data_Layanan'!J2</x:f>
        <x:v>438948416</x:v>
      </x:c>
      <x:c r="E11" s="20" t="n">
        <x:f>'02_Data_Layanan'!K2</x:f>
        <x:v>1263</x:v>
      </x:c>
      <x:c r="F11" s="21" t="n">
        <x:f>'02_Data_Layanan'!L2</x:f>
        <x:v>5223996800</x:v>
      </x:c>
      <x:c r="G11" s="21" t="n">
        <x:f>'02_Data_Layanan'!M2</x:f>
        <x:v>6859266283.2</x:v>
      </x:c>
      <x:c r="H11" s="20" t="n">
        <x:f>'02_Data_Layanan'!N2</x:f>
        <x:v>1206</x:v>
      </x:c>
      <x:c r="I11" s="21" t="n">
        <x:f>'02_Data_Layanan'!O2</x:f>
        <x:v>6420317867.2</x:v>
      </x:c>
      <x:c r="J11" s="20" t="n">
        <x:f>'02_Data_Layanan'!P2</x:f>
        <x:v>496</x:v>
      </x:c>
    </x:row>
    <x:row r="12">
      <x:c r="A12" s="5" t="str">
        <x:v>Madya</x:v>
      </x:c>
      <x:c r="B12" s="20" t="n">
        <x:f>'02_Data_Layanan'!H3</x:f>
        <x:v>26</x:v>
      </x:c>
      <x:c r="C12" s="21" t="n">
        <x:f>'02_Data_Layanan'!I3</x:f>
        <x:v>305776000</x:v>
      </x:c>
      <x:c r="D12" s="21" t="n">
        <x:f>'02_Data_Layanan'!J3</x:f>
        <x:v>292925859.8</x:v>
      </x:c>
      <x:c r="E12" s="20" t="n">
        <x:f>'02_Data_Layanan'!K3</x:f>
        <x:v>4371</x:v>
      </x:c>
      <x:c r="F12" s="21" t="n">
        <x:f>'02_Data_Layanan'!L3</x:f>
        <x:v>17200817600</x:v>
      </x:c>
      <x:c r="G12" s="21" t="n">
        <x:f>'02_Data_Layanan'!M3</x:f>
        <x:v>21660481138.32001</x:v>
      </x:c>
      <x:c r="H12" s="20" t="n">
        <x:f>'02_Data_Layanan'!N3</x:f>
        <x:v>4345</x:v>
      </x:c>
      <x:c r="I12" s="21" t="n">
        <x:f>'02_Data_Layanan'!O3</x:f>
        <x:v>21367555278.52001</x:v>
      </x:c>
      <x:c r="J12" s="20" t="n">
        <x:f>'02_Data_Layanan'!P3</x:f>
        <x:v>454</x:v>
      </x:c>
    </x:row>
    <x:row r="13">
      <x:c r="A13" s="5" t="str">
        <x:v>Utama</x:v>
      </x:c>
      <x:c r="B13" s="20" t="n">
        <x:f>'02_Data_Layanan'!H4</x:f>
        <x:v>39</x:v>
      </x:c>
      <x:c r="C13" s="21" t="n">
        <x:f>'02_Data_Layanan'!I4</x:f>
        <x:v>293648800</x:v>
      </x:c>
      <x:c r="D13" s="21" t="n">
        <x:f>'02_Data_Layanan'!J4</x:f>
        <x:v>347107497.20000005</x:v>
      </x:c>
      <x:c r="E13" s="20" t="n">
        <x:f>'02_Data_Layanan'!K4</x:f>
        <x:v>778</x:v>
      </x:c>
      <x:c r="F13" s="21" t="n">
        <x:f>'02_Data_Layanan'!L4</x:f>
        <x:v>6155723200</x:v>
      </x:c>
      <x:c r="G13" s="21" t="n">
        <x:f>'02_Data_Layanan'!M4</x:f>
        <x:v>7185599438.440003</x:v>
      </x:c>
      <x:c r="H13" s="20" t="n">
        <x:f>'02_Data_Layanan'!N4</x:f>
        <x:v>739</x:v>
      </x:c>
      <x:c r="I13" s="21" t="n">
        <x:f>'02_Data_Layanan'!O4</x:f>
        <x:v>6838491941.240004</x:v>
      </x:c>
      <x:c r="J13" s="20" t="n">
        <x:f>'02_Data_Layanan'!P4</x:f>
        <x:v>13</x:v>
      </x:c>
    </x:row>
    <x:row r="14">
      <x:c r="A14" s="5" t="str">
        <x:v>Paripurna</x:v>
      </x:c>
      <x:c r="B14" s="20" t="n">
        <x:f>'02_Data_Layanan'!H5</x:f>
        <x:v>2</x:v>
      </x:c>
      <x:c r="C14" s="21" t="n">
        <x:f>'02_Data_Layanan'!I5</x:f>
        <x:v>17781400</x:v>
      </x:c>
      <x:c r="D14" s="21" t="n">
        <x:f>'02_Data_Layanan'!J5</x:f>
        <x:v>16614861.2</x:v>
      </x:c>
      <x:c r="E14" s="20" t="n">
        <x:f>'02_Data_Layanan'!K5</x:f>
        <x:v>199</x:v>
      </x:c>
      <x:c r="F14" s="21" t="n">
        <x:f>'02_Data_Layanan'!L5</x:f>
        <x:v>1404312500</x:v>
      </x:c>
      <x:c r="G14" s="21" t="n">
        <x:f>'02_Data_Layanan'!M5</x:f>
        <x:v>1675907563.0000002</x:v>
      </x:c>
      <x:c r="H14" s="20" t="n">
        <x:f>'02_Data_Layanan'!N5</x:f>
        <x:v>197</x:v>
      </x:c>
      <x:c r="I14" s="21" t="n">
        <x:f>'02_Data_Layanan'!O5</x:f>
        <x:v>1659292701.8000002</x:v>
      </x:c>
      <x:c r="J14" s="20" t="n">
        <x:f>'02_Data_Layanan'!P5</x:f>
        <x:v>5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'03_Parameter'!H2</x:f>
        <x:v>0.16699999999999998</x:v>
      </x:c>
      <x:c r="C19" s="26" t="n">
        <x:f>'02_Data_Layanan'!N5*B19</x:f>
        <x:v>32.898999999999994</x:v>
      </x:c>
      <x:c r="D19" s="27" t="n">
        <x:f>'02_Data_Layanan'!O5*B19</x:f>
        <x:v>277101881.2006</x:v>
      </x:c>
      <x:c r="E19" s="13" t="n">
        <x:f>'03_Parameter'!G2</x:f>
        <x:v>0.053</x:v>
      </x:c>
      <x:c r="F19" s="26" t="n">
        <x:f>'02_Data_Layanan'!N4*E19</x:f>
        <x:v>39.167</x:v>
      </x:c>
      <x:c r="G19" s="27" t="n">
        <x:f>'02_Data_Layanan'!O4*E19</x:f>
        <x:v>362440072.8857202</x:v>
      </x:c>
      <x:c r="H19" s="13" t="n">
        <x:f>'03_Parameter'!I2</x:f>
        <x:v>0.5</x:v>
      </x:c>
      <x:c r="I19" s="28" t="n">
        <x:f>'02_Data_Layanan'!H2*H19</x:f>
        <x:v>28.5</x:v>
      </x:c>
      <x:c r="J19" s="29" t="n">
        <x:f>'02_Data_Layanan'!I2*H19</x:f>
        <x:v>190070950</x:v>
      </x:c>
      <x:c r="K19" s="13" t="n">
        <x:f>'03_Parameter'!J2</x:f>
        <x:v>0.5</x:v>
      </x:c>
      <x:c r="L19" s="28" t="n">
        <x:f>'02_Data_Layanan'!H3*K19</x:f>
        <x:v>13</x:v>
      </x:c>
      <x:c r="M19" s="29" t="n">
        <x:f>'02_Data_Layanan'!I3*K19</x:f>
        <x:v>152888000</x:v>
      </x:c>
      <x:c r="N19" s="11" t="n">
        <x:f>C19+F19-(I19+L19)</x:f>
        <x:v>30.566000000000003</x:v>
      </x:c>
      <x:c r="O19" s="11" t="n">
        <x:f>$B$6+N19</x:f>
        <x:v>154.566</x:v>
      </x:c>
      <x:c r="P19" s="30" t="n">
        <x:f>IF($B$6=0,0,N19/$B$6)</x:f>
        <x:v>0.24650000000000002</x:v>
      </x:c>
      <x:c r="Q19" s="10" t="n">
        <x:f>D19+G19-(J19+M19)</x:f>
        <x:v>296583004.08632016</x:v>
      </x:c>
      <x:c r="R19" s="10" t="n">
        <x:f>$B$7+Q19</x:f>
        <x:v>1293931104.0863202</x:v>
      </x:c>
      <x:c r="S19" s="30" t="n">
        <x:f>IF($B$7=0,0,Q19/$B$7)</x:f>
        <x:v>0.29737160384255024</x:v>
      </x:c>
    </x:row>
    <x:row r="20">
      <x:c r="A20" s="25" t="str">
        <x:v>Skenario 2</x:v>
      </x:c>
      <x:c r="B20" s="13" t="n">
        <x:f>'03_Parameter'!H3</x:f>
        <x:v>0.267</x:v>
      </x:c>
      <x:c r="C20" s="26" t="n">
        <x:f>'02_Data_Layanan'!N5*B20</x:f>
        <x:v>52.599000000000004</x:v>
      </x:c>
      <x:c r="D20" s="27" t="n">
        <x:f>'02_Data_Layanan'!O5*B20</x:f>
        <x:v>443031151.3806001</x:v>
      </x:c>
      <x:c r="E20" s="13" t="n">
        <x:f>'03_Parameter'!G3</x:f>
        <x:v>0.153</x:v>
      </x:c>
      <x:c r="F20" s="26" t="n">
        <x:f>'02_Data_Layanan'!N4*E20</x:f>
        <x:v>113.067</x:v>
      </x:c>
      <x:c r="G20" s="27" t="n">
        <x:f>'02_Data_Layanan'!O4*E20</x:f>
        <x:v>1046289267.0097206</x:v>
      </x:c>
      <x:c r="H20" s="13" t="n">
        <x:f>'03_Parameter'!I3</x:f>
        <x:v>0.6</x:v>
      </x:c>
      <x:c r="I20" s="28" t="n">
        <x:f>'02_Data_Layanan'!H2*H20</x:f>
        <x:v>34.199999999999996</x:v>
      </x:c>
      <x:c r="J20" s="29" t="n">
        <x:f>'02_Data_Layanan'!I2*H20</x:f>
        <x:v>228085140</x:v>
      </x:c>
      <x:c r="K20" s="13" t="n">
        <x:f>'03_Parameter'!J3</x:f>
        <x:v>0.6</x:v>
      </x:c>
      <x:c r="L20" s="28" t="n">
        <x:f>'02_Data_Layanan'!H3*K20</x:f>
        <x:v>15.6</x:v>
      </x:c>
      <x:c r="M20" s="29" t="n">
        <x:f>'02_Data_Layanan'!I3*K20</x:f>
        <x:v>183465600</x:v>
      </x:c>
      <x:c r="N20" s="11" t="n">
        <x:f>C20+F20-(I20+L20)</x:f>
        <x:v>115.866</x:v>
      </x:c>
      <x:c r="O20" s="11" t="n">
        <x:f>$B$6+N20</x:f>
        <x:v>239.86599999999999</x:v>
      </x:c>
      <x:c r="P20" s="30" t="n">
        <x:f>IF($B$6=0,0,N20/$B$6)</x:f>
        <x:v>0.9344032258064516</x:v>
      </x:c>
      <x:c r="Q20" s="10" t="n">
        <x:f>D20+G20-(J20+M20)</x:f>
        <x:v>1077769678.3903208</x:v>
      </x:c>
      <x:c r="R20" s="10" t="n">
        <x:f>$B$7+Q20</x:f>
        <x:v>2075117778.3903208</x:v>
      </x:c>
      <x:c r="S20" s="30" t="n">
        <x:f>IF($B$7=0,0,Q20/$B$7)</x:f>
        <x:v>1.0806354154485487</x:v>
      </x:c>
    </x:row>
    <x:row r="21">
      <x:c r="A21" s="25" t="str">
        <x:v>Skenario 3</x:v>
      </x:c>
      <x:c r="B21" s="13" t="n">
        <x:f>'03_Parameter'!H4</x:f>
        <x:v>0.36700000000000005</x:v>
      </x:c>
      <x:c r="C21" s="26" t="n">
        <x:f>'02_Data_Layanan'!N5*B21</x:f>
        <x:v>72.299</x:v>
      </x:c>
      <x:c r="D21" s="27" t="n">
        <x:f>'02_Data_Layanan'!O5*B21</x:f>
        <x:v>608960421.5606002</x:v>
      </x:c>
      <x:c r="E21" s="13" t="n">
        <x:f>'03_Parameter'!G4</x:f>
        <x:v>0.253</x:v>
      </x:c>
      <x:c r="F21" s="26" t="n">
        <x:f>'02_Data_Layanan'!N4*E21</x:f>
        <x:v>186.967</x:v>
      </x:c>
      <x:c r="G21" s="27" t="n">
        <x:f>'02_Data_Layanan'!O4*E21</x:f>
        <x:v>1730138461.1337209</x:v>
      </x:c>
      <x:c r="H21" s="13" t="n">
        <x:f>'03_Parameter'!I4</x:f>
        <x:v>0.7</x:v>
      </x:c>
      <x:c r="I21" s="28" t="n">
        <x:f>'02_Data_Layanan'!H2*H21</x:f>
        <x:v>39.9</x:v>
      </x:c>
      <x:c r="J21" s="29" t="n">
        <x:f>'02_Data_Layanan'!I2*H21</x:f>
        <x:v>266099329.99999997</x:v>
      </x:c>
      <x:c r="K21" s="13" t="n">
        <x:f>'03_Parameter'!J4</x:f>
        <x:v>0.7</x:v>
      </x:c>
      <x:c r="L21" s="28" t="n">
        <x:f>'02_Data_Layanan'!H3*K21</x:f>
        <x:v>18.2</x:v>
      </x:c>
      <x:c r="M21" s="29" t="n">
        <x:f>'02_Data_Layanan'!I3*K21</x:f>
        <x:v>214043200</x:v>
      </x:c>
      <x:c r="N21" s="11" t="n">
        <x:f>C21+F21-(I21+L21)</x:f>
        <x:v>201.16600000000003</x:v>
      </x:c>
      <x:c r="O21" s="11" t="n">
        <x:f>$B$6+N21</x:f>
        <x:v>325.16600000000005</x:v>
      </x:c>
      <x:c r="P21" s="30" t="n">
        <x:f>IF($B$6=0,0,N21/$B$6)</x:f>
        <x:v>1.6223064516129033</x:v>
      </x:c>
      <x:c r="Q21" s="10" t="n">
        <x:f>D21+G21-(J21+M21)</x:f>
        <x:v>1858956352.6943212</x:v>
      </x:c>
      <x:c r="R21" s="10" t="n">
        <x:f>$B$7+Q21</x:f>
        <x:v>2856304452.694321</x:v>
      </x:c>
      <x:c r="S21" s="30" t="n">
        <x:f>IF($B$7=0,0,Q21/$B$7)</x:f>
        <x:v>1.8638992270545471</x:v>
      </x:c>
    </x:row>
    <x:row r="22">
      <x:c r="A22" s="25" t="str">
        <x:v>Skenario 4</x:v>
      </x:c>
      <x:c r="B22" s="13" t="n">
        <x:f>'03_Parameter'!H5</x:f>
        <x:v>0.467</x:v>
      </x:c>
      <x:c r="C22" s="26" t="n">
        <x:f>'02_Data_Layanan'!N5*B22</x:f>
        <x:v>91.99900000000001</x:v>
      </x:c>
      <x:c r="D22" s="27" t="n">
        <x:f>'02_Data_Layanan'!O5*B22</x:f>
        <x:v>774889691.7406001</x:v>
      </x:c>
      <x:c r="E22" s="13" t="n">
        <x:f>'03_Parameter'!G5</x:f>
        <x:v>0.353</x:v>
      </x:c>
      <x:c r="F22" s="26" t="n">
        <x:f>'02_Data_Layanan'!N4*E22</x:f>
        <x:v>260.86699999999996</x:v>
      </x:c>
      <x:c r="G22" s="27" t="n">
        <x:f>'02_Data_Layanan'!O4*E22</x:f>
        <x:v>2413987655.257721</x:v>
      </x:c>
      <x:c r="H22" s="13" t="n">
        <x:f>'03_Parameter'!I5</x:f>
        <x:v>0.8</x:v>
      </x:c>
      <x:c r="I22" s="28" t="n">
        <x:f>'02_Data_Layanan'!H2*H22</x:f>
        <x:v>45.6</x:v>
      </x:c>
      <x:c r="J22" s="29" t="n">
        <x:f>'02_Data_Layanan'!I2*H22</x:f>
        <x:v>304113520</x:v>
      </x:c>
      <x:c r="K22" s="13" t="n">
        <x:f>'03_Parameter'!J5</x:f>
        <x:v>0.8</x:v>
      </x:c>
      <x:c r="L22" s="28" t="n">
        <x:f>'02_Data_Layanan'!H3*K22</x:f>
        <x:v>20.8</x:v>
      </x:c>
      <x:c r="M22" s="29" t="n">
        <x:f>'02_Data_Layanan'!I3*K22</x:f>
        <x:v>244620800</x:v>
      </x:c>
      <x:c r="N22" s="11" t="n">
        <x:f>C22+F22-(I22+L22)</x:f>
        <x:v>286.466</x:v>
      </x:c>
      <x:c r="O22" s="11" t="n">
        <x:f>$B$6+N22</x:f>
        <x:v>410.466</x:v>
      </x:c>
      <x:c r="P22" s="30" t="n">
        <x:f>IF($B$6=0,0,N22/$B$6)</x:f>
        <x:v>2.310209677419355</x:v>
      </x:c>
      <x:c r="Q22" s="10" t="n">
        <x:f>D22+G22-(J22+M22)</x:f>
        <x:v>2640143026.998321</x:v>
      </x:c>
      <x:c r="R22" s="10" t="n">
        <x:f>$B$7+Q22</x:f>
        <x:v>3637491126.998321</x:v>
      </x:c>
      <x:c r="S22" s="30" t="n">
        <x:f>IF($B$7=0,0,Q22/$B$7)</x:f>
        <x:v>2.647163038660545</x:v>
      </x:c>
    </x:row>
    <x:row r="23">
      <x:c r="A23" s="25" t="str">
        <x:v>Skenario 5</x:v>
      </x:c>
      <x:c r="B23" s="13" t="n">
        <x:f>'03_Parameter'!H6</x:f>
        <x:v>0.5670000000000001</x:v>
      </x:c>
      <x:c r="C23" s="26" t="n">
        <x:f>'02_Data_Layanan'!N5*B23</x:f>
        <x:v>111.69900000000001</x:v>
      </x:c>
      <x:c r="D23" s="27" t="n">
        <x:f>'02_Data_Layanan'!O5*B23</x:f>
        <x:v>940818961.9206002</x:v>
      </x:c>
      <x:c r="E23" s="13" t="n">
        <x:f>'03_Parameter'!G6</x:f>
        <x:v>0.45299999999999996</x:v>
      </x:c>
      <x:c r="F23" s="26" t="n">
        <x:f>'02_Data_Layanan'!N4*E23</x:f>
        <x:v>334.767</x:v>
      </x:c>
      <x:c r="G23" s="27" t="n">
        <x:f>'02_Data_Layanan'!O4*E23</x:f>
        <x:v>3097836849.3817215</x:v>
      </x:c>
      <x:c r="H23" s="13" t="n">
        <x:f>'03_Parameter'!I6</x:f>
        <x:v>0.9</x:v>
      </x:c>
      <x:c r="I23" s="28" t="n">
        <x:f>'02_Data_Layanan'!H2*H23</x:f>
        <x:v>51.300000000000004</x:v>
      </x:c>
      <x:c r="J23" s="29" t="n">
        <x:f>'02_Data_Layanan'!I2*H23</x:f>
        <x:v>342127710</x:v>
      </x:c>
      <x:c r="K23" s="13" t="n">
        <x:f>'03_Parameter'!J6</x:f>
        <x:v>0.9</x:v>
      </x:c>
      <x:c r="L23" s="28" t="n">
        <x:f>'02_Data_Layanan'!H3*K23</x:f>
        <x:v>23.400000000000002</x:v>
      </x:c>
      <x:c r="M23" s="29" t="n">
        <x:f>'02_Data_Layanan'!I3*K23</x:f>
        <x:v>275198400</x:v>
      </x:c>
      <x:c r="N23" s="11" t="n">
        <x:f>C23+F23-(I23+L23)</x:f>
        <x:v>371.766</x:v>
      </x:c>
      <x:c r="O23" s="11" t="n">
        <x:f>$B$6+N23</x:f>
        <x:v>495.766</x:v>
      </x:c>
      <x:c r="P23" s="30" t="n">
        <x:f>IF($B$6=0,0,N23/$B$6)</x:f>
        <x:v>2.9981129032258065</x:v>
      </x:c>
      <x:c r="Q23" s="10" t="n">
        <x:f>D23+G23-(J23+M23)</x:f>
        <x:v>3421329701.3023214</x:v>
      </x:c>
      <x:c r="R23" s="10" t="n">
        <x:f>$B$7+Q23</x:f>
        <x:v>4418677801.302321</x:v>
      </x:c>
      <x:c r="S23" s="30" t="n">
        <x:f>IF($B$7=0,0,Q23/$B$7)</x:f>
        <x:v>3.430426850266543</x:v>
      </x:c>
    </x:row>
    <x:row r="24">
      <x:c r="A24" s="25" t="str">
        <x:v>Skenario 6</x:v>
      </x:c>
      <x:c r="B24" s="13" t="n">
        <x:f>'03_Parameter'!H7</x:f>
        <x:v>0.667</x:v>
      </x:c>
      <x:c r="C24" s="26" t="n">
        <x:f>'02_Data_Layanan'!N5*B24</x:f>
        <x:v>131.399</x:v>
      </x:c>
      <x:c r="D24" s="27" t="n">
        <x:f>'02_Data_Layanan'!O5*B24</x:f>
        <x:v>1106748232.1006002</x:v>
      </x:c>
      <x:c r="E24" s="13" t="n">
        <x:f>'03_Parameter'!G7</x:f>
        <x:v>0.5529999999999999</x:v>
      </x:c>
      <x:c r="F24" s="26" t="n">
        <x:f>'02_Data_Layanan'!N4*E24</x:f>
        <x:v>408.667</x:v>
      </x:c>
      <x:c r="G24" s="27" t="n">
        <x:f>'02_Data_Layanan'!O4*E24</x:f>
        <x:v>3781686043.5057216</x:v>
      </x:c>
      <x:c r="H24" s="13" t="n">
        <x:f>'03_Parameter'!I7</x:f>
        <x:v>1</x:v>
      </x:c>
      <x:c r="I24" s="28" t="n">
        <x:f>'02_Data_Layanan'!H2*H24</x:f>
        <x:v>57</x:v>
      </x:c>
      <x:c r="J24" s="29" t="n">
        <x:f>'02_Data_Layanan'!I2*H24</x:f>
        <x:v>380141900</x:v>
      </x:c>
      <x:c r="K24" s="13" t="n">
        <x:f>'03_Parameter'!J7</x:f>
        <x:v>1</x:v>
      </x:c>
      <x:c r="L24" s="28" t="n">
        <x:f>'02_Data_Layanan'!H3*K24</x:f>
        <x:v>26</x:v>
      </x:c>
      <x:c r="M24" s="29" t="n">
        <x:f>'02_Data_Layanan'!I3*K24</x:f>
        <x:v>305776000</x:v>
      </x:c>
      <x:c r="N24" s="11" t="n">
        <x:f>C24+F24-(I24+L24)</x:f>
        <x:v>457.06600000000003</x:v>
      </x:c>
      <x:c r="O24" s="11" t="n">
        <x:f>$B$6+N24</x:f>
        <x:v>581.066</x:v>
      </x:c>
      <x:c r="P24" s="30" t="n">
        <x:f>IF($B$6=0,0,N24/$B$6)</x:f>
        <x:v>3.686016129032258</x:v>
      </x:c>
      <x:c r="Q24" s="10" t="n">
        <x:f>D24+G24-(J24+M24)</x:f>
        <x:v>4202516375.6063213</x:v>
      </x:c>
      <x:c r="R24" s="10" t="n">
        <x:f>$B$7+Q24</x:f>
        <x:v>5199864475.606321</x:v>
      </x:c>
      <x:c r="S24" s="30" t="n">
        <x:f>IF($B$7=0,0,Q24/$B$7)</x:f>
        <x:v>4.213690661872541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Endokrin, Nutrisi &amp; Metabolik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0.0034825674827542123</x:v>
      </x:c>
      <x:c r="K5" s="16" t="str">
        <x:v>Setara/lebih tinggi</x:v>
      </x:c>
      <x:c r="L5" s="11" t="n">
        <x:f>'02_Data_Layanan'!Q6</x:f>
        <x:v>5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SUM('02_Data_Layanan'!H6,'02_Data_Layanan'!H7,'02_Data_Layanan'!H8,'02_Data_Layanan'!H9)</x:f>
        <x:v>11414</x:v>
      </x:c>
      <x:c r="C6" s="7" t="str"/>
      <x:c r="D6" s="7" t="str"/>
      <x:c r="E6" s="15" t="str">
        <x:v>Total Kasus</x:v>
      </x:c>
      <x:c r="F6" s="18" t="n">
        <x:f>SUM('02_Data_Layanan'!K6,'02_Data_Layanan'!K7,'02_Data_Layanan'!K8,'02_Data_Layanan'!K9)</x:f>
        <x:v>3277467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Pusat Dr. Hasan Sadikin; RS Umum Daerah Dr. Saiful Anwar; RS Umum Daerah Dr. Soetomo; RSUP Prof. Dr. I.G.N.G. Ngoerah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SUM('02_Data_Layanan'!I6,'02_Data_Layanan'!I7,'02_Data_Layanan'!I8,'02_Data_Layanan'!I9)</x:f>
        <x:v>11087283100</x:v>
      </x:c>
      <x:c r="C7" s="7" t="str"/>
      <x:c r="D7" s="7" t="str"/>
      <x:c r="E7" s="15" t="str">
        <x:v>Pendapatan INA</x:v>
      </x:c>
      <x:c r="F7" s="19" t="n">
        <x:f>SUM('02_Data_Layanan'!L6,'02_Data_Layanan'!L7,'02_Data_Layanan'!L8,'02_Data_Layanan'!L9)</x:f>
        <x:v>1788370162495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SUM('02_Data_Layanan'!J6,'02_Data_Layanan'!J7,'02_Data_Layanan'!J8,'02_Data_Layanan'!J9)</x:f>
        <x:v>7219427433.1900015</x:v>
      </x:c>
      <x:c r="C8" s="7" t="str"/>
      <x:c r="D8" s="7" t="str"/>
      <x:c r="E8" s="15" t="str">
        <x:v>Pendapatan iDRG</x:v>
      </x:c>
      <x:c r="F8" s="19" t="n">
        <x:f>SUM('02_Data_Layanan'!M6,'02_Data_Layanan'!M7,'02_Data_Layanan'!M8,'02_Data_Layanan'!M9)</x:f>
        <x:v>1944973136366.799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'02_Data_Layanan'!H6</x:f>
        <x:v>2455</x:v>
      </x:c>
      <x:c r="C11" s="21" t="n">
        <x:f>'02_Data_Layanan'!I6</x:f>
        <x:v>1600588000</x:v>
      </x:c>
      <x:c r="D11" s="21" t="n">
        <x:f>'02_Data_Layanan'!J6</x:f>
        <x:v>1177983417.6100001</x:v>
      </x:c>
      <x:c r="E11" s="20" t="n">
        <x:f>'02_Data_Layanan'!K6</x:f>
        <x:v>949759</x:v>
      </x:c>
      <x:c r="F11" s="21" t="n">
        <x:f>'02_Data_Layanan'!L6</x:f>
        <x:v>329300023195</x:v>
      </x:c>
      <x:c r="G11" s="21" t="n">
        <x:f>'02_Data_Layanan'!M6</x:f>
        <x:v>381164112138.3998</x:v>
      </x:c>
      <x:c r="H11" s="20" t="n">
        <x:f>'02_Data_Layanan'!N6</x:f>
        <x:v>947304</x:v>
      </x:c>
      <x:c r="I11" s="21" t="n">
        <x:f>'02_Data_Layanan'!O6</x:f>
        <x:v>379986128720.7898</x:v>
      </x:c>
      <x:c r="J11" s="20" t="n">
        <x:f>'02_Data_Layanan'!P6</x:f>
        <x:v>780</x:v>
      </x:c>
    </x:row>
    <x:row r="12">
      <x:c r="A12" s="5" t="str">
        <x:v>Madya</x:v>
      </x:c>
      <x:c r="B12" s="20" t="n">
        <x:f>'02_Data_Layanan'!H7</x:f>
        <x:v>5437</x:v>
      </x:c>
      <x:c r="C12" s="21" t="n">
        <x:f>'02_Data_Layanan'!I7</x:f>
        <x:v>5218304700</x:v>
      </x:c>
      <x:c r="D12" s="21" t="n">
        <x:f>'02_Data_Layanan'!J7</x:f>
        <x:v>3496888383</x:v>
      </x:c>
      <x:c r="E12" s="20" t="n">
        <x:f>'02_Data_Layanan'!K7</x:f>
        <x:v>1866852</x:v>
      </x:c>
      <x:c r="F12" s="21" t="n">
        <x:f>'02_Data_Layanan'!L7</x:f>
        <x:v>1138677868300</x:v>
      </x:c>
      <x:c r="G12" s="21" t="n">
        <x:f>'02_Data_Layanan'!M7</x:f>
        <x:v>1236638783747.6394</x:v>
      </x:c>
      <x:c r="H12" s="20" t="n">
        <x:f>'02_Data_Layanan'!N7</x:f>
        <x:v>1861415</x:v>
      </x:c>
      <x:c r="I12" s="21" t="n">
        <x:f>'02_Data_Layanan'!O7</x:f>
        <x:v>1233141895364.6394</x:v>
      </x:c>
      <x:c r="J12" s="20" t="n">
        <x:f>'02_Data_Layanan'!P7</x:f>
        <x:v>473</x:v>
      </x:c>
    </x:row>
    <x:row r="13">
      <x:c r="A13" s="5" t="str">
        <x:v>Utama</x:v>
      </x:c>
      <x:c r="B13" s="20" t="n">
        <x:f>'02_Data_Layanan'!H8</x:f>
        <x:v>2430</x:v>
      </x:c>
      <x:c r="C13" s="21" t="n">
        <x:f>'02_Data_Layanan'!I8</x:f>
        <x:v>3577615800</x:v>
      </x:c>
      <x:c r="D13" s="21" t="n">
        <x:f>'02_Data_Layanan'!J8</x:f>
        <x:v>2184146306.78</x:v>
      </x:c>
      <x:c r="E13" s="20" t="n">
        <x:f>'02_Data_Layanan'!K8</x:f>
        <x:v>379773</x:v>
      </x:c>
      <x:c r="F13" s="21" t="n">
        <x:f>'02_Data_Layanan'!L8</x:f>
        <x:v>242639823400</x:v>
      </x:c>
      <x:c r="G13" s="21" t="n">
        <x:f>'02_Data_Layanan'!M8</x:f>
        <x:v>249334769503.04007</x:v>
      </x:c>
      <x:c r="H13" s="20" t="n">
        <x:f>'02_Data_Layanan'!N8</x:f>
        <x:v>377343</x:v>
      </x:c>
      <x:c r="I13" s="21" t="n">
        <x:f>'02_Data_Layanan'!O8</x:f>
        <x:v>247150623196.26007</x:v>
      </x:c>
      <x:c r="J13" s="20" t="n">
        <x:f>'02_Data_Layanan'!P8</x:f>
        <x:v>10</x:v>
      </x:c>
    </x:row>
    <x:row r="14">
      <x:c r="A14" s="5" t="str">
        <x:v>Paripurna</x:v>
      </x:c>
      <x:c r="B14" s="20" t="n">
        <x:f>'02_Data_Layanan'!H9</x:f>
        <x:v>1092</x:v>
      </x:c>
      <x:c r="C14" s="21" t="n">
        <x:f>'02_Data_Layanan'!I9</x:f>
        <x:v>690774600</x:v>
      </x:c>
      <x:c r="D14" s="21" t="n">
        <x:f>'02_Data_Layanan'!J9</x:f>
        <x:v>360409325.8</x:v>
      </x:c>
      <x:c r="E14" s="20" t="n">
        <x:f>'02_Data_Layanan'!K9</x:f>
        <x:v>81083</x:v>
      </x:c>
      <x:c r="F14" s="21" t="n">
        <x:f>'02_Data_Layanan'!L9</x:f>
        <x:v>77752447600</x:v>
      </x:c>
      <x:c r="G14" s="21" t="n">
        <x:f>'02_Data_Layanan'!M9</x:f>
        <x:v>77835470977.72006</x:v>
      </x:c>
      <x:c r="H14" s="20" t="n">
        <x:f>'02_Data_Layanan'!N9</x:f>
        <x:v>79991</x:v>
      </x:c>
      <x:c r="I14" s="21" t="n">
        <x:f>'02_Data_Layanan'!O9</x:f>
        <x:v>77475061651.92006</x:v>
      </x:c>
      <x:c r="J14" s="20" t="n">
        <x:f>'02_Data_Layanan'!P9</x:f>
        <x:v>5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'03_Parameter'!H8</x:f>
        <x:v>0.16699999999999998</x:v>
      </x:c>
      <x:c r="C19" s="26" t="n">
        <x:f>'02_Data_Layanan'!N9*B19</x:f>
        <x:v>13358.497</x:v>
      </x:c>
      <x:c r="D19" s="27" t="n">
        <x:f>'02_Data_Layanan'!O9*B19</x:f>
        <x:v>12938335295.87065</x:v>
      </x:c>
      <x:c r="E19" s="13" t="n">
        <x:f>'03_Parameter'!G8</x:f>
        <x:v>0.063</x:v>
      </x:c>
      <x:c r="F19" s="26" t="n">
        <x:f>'02_Data_Layanan'!N8*E19</x:f>
        <x:v>23772.609</x:v>
      </x:c>
      <x:c r="G19" s="27" t="n">
        <x:f>'02_Data_Layanan'!O8*E19</x:f>
        <x:v>15570489261.364384</x:v>
      </x:c>
      <x:c r="H19" s="13" t="n">
        <x:f>'03_Parameter'!I8</x:f>
        <x:v>0.5</x:v>
      </x:c>
      <x:c r="I19" s="28" t="n">
        <x:f>'02_Data_Layanan'!H6*H19</x:f>
        <x:v>1227.5</x:v>
      </x:c>
      <x:c r="J19" s="29" t="n">
        <x:f>'02_Data_Layanan'!I6*H19</x:f>
        <x:v>800294000</x:v>
      </x:c>
      <x:c r="K19" s="13" t="n">
        <x:f>'03_Parameter'!J8</x:f>
        <x:v>0.5</x:v>
      </x:c>
      <x:c r="L19" s="28" t="n">
        <x:f>'02_Data_Layanan'!H7*K19</x:f>
        <x:v>2718.5</x:v>
      </x:c>
      <x:c r="M19" s="29" t="n">
        <x:f>'02_Data_Layanan'!I7*K19</x:f>
        <x:v>2609152350</x:v>
      </x:c>
      <x:c r="N19" s="11" t="n">
        <x:f>C19+F19-(I19+L19)</x:f>
        <x:v>33185.106</x:v>
      </x:c>
      <x:c r="O19" s="11" t="n">
        <x:f>$B$6+N19</x:f>
        <x:v>44599.106</x:v>
      </x:c>
      <x:c r="P19" s="30" t="n">
        <x:f>IF($B$6=0,0,N19/$B$6)</x:f>
        <x:v>2.907403714736289</x:v>
      </x:c>
      <x:c r="Q19" s="10" t="n">
        <x:f>D19+G19-(J19+M19)</x:f>
        <x:v>25099378207.23503</x:v>
      </x:c>
      <x:c r="R19" s="10" t="n">
        <x:f>$B$7+Q19</x:f>
        <x:v>36186661307.23503</x:v>
      </x:c>
      <x:c r="S19" s="30" t="n">
        <x:f>IF($B$7=0,0,Q19/$B$7)</x:f>
        <x:v>2.2637988027233678</x:v>
      </x:c>
    </x:row>
    <x:row r="20">
      <x:c r="A20" s="25" t="str">
        <x:v>Skenario 2</x:v>
      </x:c>
      <x:c r="B20" s="13" t="n">
        <x:f>'03_Parameter'!H9</x:f>
        <x:v>0.267</x:v>
      </x:c>
      <x:c r="C20" s="26" t="n">
        <x:f>'02_Data_Layanan'!N9*B20</x:f>
        <x:v>21357.597</x:v>
      </x:c>
      <x:c r="D20" s="27" t="n">
        <x:f>'02_Data_Layanan'!O9*B20</x:f>
        <x:v>20685841461.062656</x:v>
      </x:c>
      <x:c r="E20" s="13" t="n">
        <x:f>'03_Parameter'!G9</x:f>
        <x:v>0.163</x:v>
      </x:c>
      <x:c r="F20" s="26" t="n">
        <x:f>'02_Data_Layanan'!N8*E20</x:f>
        <x:v>61506.909</x:v>
      </x:c>
      <x:c r="G20" s="27" t="n">
        <x:f>'02_Data_Layanan'!O8*E20</x:f>
        <x:v>40285551580.990395</x:v>
      </x:c>
      <x:c r="H20" s="13" t="n">
        <x:f>'03_Parameter'!I9</x:f>
        <x:v>0.6</x:v>
      </x:c>
      <x:c r="I20" s="28" t="n">
        <x:f>'02_Data_Layanan'!H6*H20</x:f>
        <x:v>1473</x:v>
      </x:c>
      <x:c r="J20" s="29" t="n">
        <x:f>'02_Data_Layanan'!I6*H20</x:f>
        <x:v>960352800</x:v>
      </x:c>
      <x:c r="K20" s="13" t="n">
        <x:f>'03_Parameter'!J9</x:f>
        <x:v>0.6</x:v>
      </x:c>
      <x:c r="L20" s="28" t="n">
        <x:f>'02_Data_Layanan'!H7*K20</x:f>
        <x:v>3262.2</x:v>
      </x:c>
      <x:c r="M20" s="29" t="n">
        <x:f>'02_Data_Layanan'!I7*K20</x:f>
        <x:v>3130982820</x:v>
      </x:c>
      <x:c r="N20" s="11" t="n">
        <x:f>C20+F20-(I20+L20)</x:f>
        <x:v>78129.306</x:v>
      </x:c>
      <x:c r="O20" s="11" t="n">
        <x:f>$B$6+N20</x:f>
        <x:v>89543.306</x:v>
      </x:c>
      <x:c r="P20" s="30" t="n">
        <x:f>IF($B$6=0,0,N20/$B$6)</x:f>
        <x:v>6.845041703171543</x:v>
      </x:c>
      <x:c r="Q20" s="10" t="n">
        <x:f>D20+G20-(J20+M20)</x:f>
        <x:v>56880057422.053055</x:v>
      </x:c>
      <x:c r="R20" s="10" t="n">
        <x:f>$B$7+Q20</x:f>
        <x:v>67967340522.053055</x:v>
      </x:c>
      <x:c r="S20" s="30" t="n">
        <x:f>IF($B$7=0,0,Q20/$B$7)</x:f>
        <x:v>5.130207004640574</x:v>
      </x:c>
    </x:row>
    <x:row r="21">
      <x:c r="A21" s="25" t="str">
        <x:v>Skenario 3</x:v>
      </x:c>
      <x:c r="B21" s="13" t="n">
        <x:f>'03_Parameter'!H10</x:f>
        <x:v>0.36700000000000005</x:v>
      </x:c>
      <x:c r="C21" s="26" t="n">
        <x:f>'02_Data_Layanan'!N9*B21</x:f>
        <x:v>29356.697000000004</x:v>
      </x:c>
      <x:c r="D21" s="27" t="n">
        <x:f>'02_Data_Layanan'!O9*B21</x:f>
        <x:v>28433347626.254665</x:v>
      </x:c>
      <x:c r="E21" s="13" t="n">
        <x:f>'03_Parameter'!G10</x:f>
        <x:v>0.263</x:v>
      </x:c>
      <x:c r="F21" s="26" t="n">
        <x:f>'02_Data_Layanan'!N8*E21</x:f>
        <x:v>99241.209</x:v>
      </x:c>
      <x:c r="G21" s="27" t="n">
        <x:f>'02_Data_Layanan'!O8*E21</x:f>
        <x:v>65000613900.6164</x:v>
      </x:c>
      <x:c r="H21" s="13" t="n">
        <x:f>'03_Parameter'!I10</x:f>
        <x:v>0.7</x:v>
      </x:c>
      <x:c r="I21" s="28" t="n">
        <x:f>'02_Data_Layanan'!H6*H21</x:f>
        <x:v>1718.5</x:v>
      </x:c>
      <x:c r="J21" s="29" t="n">
        <x:f>'02_Data_Layanan'!I6*H21</x:f>
        <x:v>1120411600</x:v>
      </x:c>
      <x:c r="K21" s="13" t="n">
        <x:f>'03_Parameter'!J10</x:f>
        <x:v>0.7</x:v>
      </x:c>
      <x:c r="L21" s="28" t="n">
        <x:f>'02_Data_Layanan'!H7*K21</x:f>
        <x:v>3805.8999999999996</x:v>
      </x:c>
      <x:c r="M21" s="29" t="n">
        <x:f>'02_Data_Layanan'!I7*K21</x:f>
        <x:v>3652813290</x:v>
      </x:c>
      <x:c r="N21" s="11" t="n">
        <x:f>C21+F21-(I21+L21)</x:f>
        <x:v>123073.50600000001</x:v>
      </x:c>
      <x:c r="O21" s="11" t="n">
        <x:f>$B$6+N21</x:f>
        <x:v>134487.506</x:v>
      </x:c>
      <x:c r="P21" s="30" t="n">
        <x:f>IF($B$6=0,0,N21/$B$6)</x:f>
        <x:v>10.7826796916068</x:v>
      </x:c>
      <x:c r="Q21" s="10" t="n">
        <x:f>D21+G21-(J21+M21)</x:f>
        <x:v>88660736636.87106</x:v>
      </x:c>
      <x:c r="R21" s="10" t="n">
        <x:f>$B$7+Q21</x:f>
        <x:v>99748019736.87106</x:v>
      </x:c>
      <x:c r="S21" s="30" t="n">
        <x:f>IF($B$7=0,0,Q21/$B$7)</x:f>
        <x:v>7.996615206557778</x:v>
      </x:c>
    </x:row>
    <x:row r="22">
      <x:c r="A22" s="25" t="str">
        <x:v>Skenario 4</x:v>
      </x:c>
      <x:c r="B22" s="13" t="n">
        <x:f>'03_Parameter'!H11</x:f>
        <x:v>0.467</x:v>
      </x:c>
      <x:c r="C22" s="26" t="n">
        <x:f>'02_Data_Layanan'!N9*B22</x:f>
        <x:v>37355.797</x:v>
      </x:c>
      <x:c r="D22" s="27" t="n">
        <x:f>'02_Data_Layanan'!O9*B22</x:f>
        <x:v>36180853791.44667</x:v>
      </x:c>
      <x:c r="E22" s="13" t="n">
        <x:f>'03_Parameter'!G11</x:f>
        <x:v>0.363</x:v>
      </x:c>
      <x:c r="F22" s="26" t="n">
        <x:f>'02_Data_Layanan'!N8*E22</x:f>
        <x:v>136975.509</x:v>
      </x:c>
      <x:c r="G22" s="27" t="n">
        <x:f>'02_Data_Layanan'!O8*E22</x:f>
        <x:v>89715676220.2424</x:v>
      </x:c>
      <x:c r="H22" s="13" t="n">
        <x:f>'03_Parameter'!I11</x:f>
        <x:v>0.8</x:v>
      </x:c>
      <x:c r="I22" s="28" t="n">
        <x:f>'02_Data_Layanan'!H6*H22</x:f>
        <x:v>1964</x:v>
      </x:c>
      <x:c r="J22" s="29" t="n">
        <x:f>'02_Data_Layanan'!I6*H22</x:f>
        <x:v>1280470400</x:v>
      </x:c>
      <x:c r="K22" s="13" t="n">
        <x:f>'03_Parameter'!J11</x:f>
        <x:v>0.8</x:v>
      </x:c>
      <x:c r="L22" s="28" t="n">
        <x:f>'02_Data_Layanan'!H7*K22</x:f>
        <x:v>4349.6</x:v>
      </x:c>
      <x:c r="M22" s="29" t="n">
        <x:f>'02_Data_Layanan'!I7*K22</x:f>
        <x:v>4174643760</x:v>
      </x:c>
      <x:c r="N22" s="11" t="n">
        <x:f>C22+F22-(I22+L22)</x:f>
        <x:v>168017.70599999998</x:v>
      </x:c>
      <x:c r="O22" s="11" t="n">
        <x:f>$B$6+N22</x:f>
        <x:v>179431.70599999998</x:v>
      </x:c>
      <x:c r="P22" s="30" t="n">
        <x:f>IF($B$6=0,0,N22/$B$6)</x:f>
        <x:v>14.72031768004205</x:v>
      </x:c>
      <x:c r="Q22" s="10" t="n">
        <x:f>D22+G22-(J22+M22)</x:f>
        <x:v>120441415851.68907</x:v>
      </x:c>
      <x:c r="R22" s="10" t="n">
        <x:f>$B$7+Q22</x:f>
        <x:v>131528698951.68907</x:v>
      </x:c>
      <x:c r="S22" s="30" t="n">
        <x:f>IF($B$7=0,0,Q22/$B$7)</x:f>
        <x:v>10.863023408474982</x:v>
      </x:c>
    </x:row>
    <x:row r="23">
      <x:c r="A23" s="25" t="str">
        <x:v>Skenario 5</x:v>
      </x:c>
      <x:c r="B23" s="13" t="n">
        <x:f>'03_Parameter'!H12</x:f>
        <x:v>0.5670000000000001</x:v>
      </x:c>
      <x:c r="C23" s="26" t="n">
        <x:f>'02_Data_Layanan'!N9*B23</x:f>
        <x:v>45354.897000000004</x:v>
      </x:c>
      <x:c r="D23" s="27" t="n">
        <x:f>'02_Data_Layanan'!O9*B23</x:f>
        <x:v>43928359956.63868</x:v>
      </x:c>
      <x:c r="E23" s="13" t="n">
        <x:f>'03_Parameter'!G12</x:f>
        <x:v>0.46299999999999997</x:v>
      </x:c>
      <x:c r="F23" s="26" t="n">
        <x:f>'02_Data_Layanan'!N8*E23</x:f>
        <x:v>174709.80899999998</x:v>
      </x:c>
      <x:c r="G23" s="27" t="n">
        <x:f>'02_Data_Layanan'!O8*E23</x:f>
        <x:v>114430738539.86841</x:v>
      </x:c>
      <x:c r="H23" s="13" t="n">
        <x:f>'03_Parameter'!I12</x:f>
        <x:v>0.9</x:v>
      </x:c>
      <x:c r="I23" s="28" t="n">
        <x:f>'02_Data_Layanan'!H6*H23</x:f>
        <x:v>2209.5</x:v>
      </x:c>
      <x:c r="J23" s="29" t="n">
        <x:f>'02_Data_Layanan'!I6*H23</x:f>
        <x:v>1440529200</x:v>
      </x:c>
      <x:c r="K23" s="13" t="n">
        <x:f>'03_Parameter'!J12</x:f>
        <x:v>0.9</x:v>
      </x:c>
      <x:c r="L23" s="28" t="n">
        <x:f>'02_Data_Layanan'!H7*K23</x:f>
        <x:v>4893.3</x:v>
      </x:c>
      <x:c r="M23" s="29" t="n">
        <x:f>'02_Data_Layanan'!I7*K23</x:f>
        <x:v>4696474230</x:v>
      </x:c>
      <x:c r="N23" s="11" t="n">
        <x:f>C23+F23-(I23+L23)</x:f>
        <x:v>212961.906</x:v>
      </x:c>
      <x:c r="O23" s="11" t="n">
        <x:f>$B$6+N23</x:f>
        <x:v>224375.906</x:v>
      </x:c>
      <x:c r="P23" s="30" t="n">
        <x:f>IF($B$6=0,0,N23/$B$6)</x:f>
        <x:v>18.657955668477307</x:v>
      </x:c>
      <x:c r="Q23" s="10" t="n">
        <x:f>D23+G23-(J23+M23)</x:f>
        <x:v>152222095066.50708</x:v>
      </x:c>
      <x:c r="R23" s="10" t="n">
        <x:f>$B$7+Q23</x:f>
        <x:v>163309378166.50708</x:v>
      </x:c>
      <x:c r="S23" s="30" t="n">
        <x:f>IF($B$7=0,0,Q23/$B$7)</x:f>
        <x:v>13.729431610392187</x:v>
      </x:c>
    </x:row>
    <x:row r="24">
      <x:c r="A24" s="25" t="str">
        <x:v>Skenario 6</x:v>
      </x:c>
      <x:c r="B24" s="13" t="n">
        <x:f>'03_Parameter'!H13</x:f>
        <x:v>0.667</x:v>
      </x:c>
      <x:c r="C24" s="26" t="n">
        <x:f>'02_Data_Layanan'!N9*B24</x:f>
        <x:v>53353.997</x:v>
      </x:c>
      <x:c r="D24" s="27" t="n">
        <x:f>'02_Data_Layanan'!O9*B24</x:f>
        <x:v>51675866121.83068</x:v>
      </x:c>
      <x:c r="E24" s="13" t="n">
        <x:f>'03_Parameter'!G13</x:f>
        <x:v>0.563</x:v>
      </x:c>
      <x:c r="F24" s="26" t="n">
        <x:f>'02_Data_Layanan'!N8*E24</x:f>
        <x:v>212444.10899999997</x:v>
      </x:c>
      <x:c r="G24" s="27" t="n">
        <x:f>'02_Data_Layanan'!O8*E24</x:f>
        <x:v>139145800859.49442</x:v>
      </x:c>
      <x:c r="H24" s="13" t="n">
        <x:f>'03_Parameter'!I13</x:f>
        <x:v>1</x:v>
      </x:c>
      <x:c r="I24" s="28" t="n">
        <x:f>'02_Data_Layanan'!H6*H24</x:f>
        <x:v>2455</x:v>
      </x:c>
      <x:c r="J24" s="29" t="n">
        <x:f>'02_Data_Layanan'!I6*H24</x:f>
        <x:v>1600588000</x:v>
      </x:c>
      <x:c r="K24" s="13" t="n">
        <x:f>'03_Parameter'!J13</x:f>
        <x:v>1</x:v>
      </x:c>
      <x:c r="L24" s="28" t="n">
        <x:f>'02_Data_Layanan'!H7*K24</x:f>
        <x:v>5437</x:v>
      </x:c>
      <x:c r="M24" s="29" t="n">
        <x:f>'02_Data_Layanan'!I7*K24</x:f>
        <x:v>5218304700</x:v>
      </x:c>
      <x:c r="N24" s="11" t="n">
        <x:f>C24+F24-(I24+L24)</x:f>
        <x:v>257906.10599999997</x:v>
      </x:c>
      <x:c r="O24" s="11" t="n">
        <x:f>$B$6+N24</x:f>
        <x:v>269320.10599999997</x:v>
      </x:c>
      <x:c r="P24" s="30" t="n">
        <x:f>IF($B$6=0,0,N24/$B$6)</x:f>
        <x:v>22.595593656912563</x:v>
      </x:c>
      <x:c r="Q24" s="10" t="n">
        <x:f>D24+G24-(J24+M24)</x:f>
        <x:v>184002774281.3251</x:v>
      </x:c>
      <x:c r="R24" s="10" t="n">
        <x:f>$B$7+Q24</x:f>
        <x:v>195090057381.3251</x:v>
      </x:c>
      <x:c r="S24" s="30" t="n">
        <x:f>IF($B$7=0,0,Q24/$B$7)</x:f>
        <x:v>16.595839812309393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Gigi &amp; Mulut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0.000510614774804526</x:v>
      </x:c>
      <x:c r="K5" s="16" t="str">
        <x:v>Setara/lebih tinggi</x:v>
      </x:c>
      <x:c r="L5" s="11" t="n">
        <x:f>'02_Data_Layanan'!Q10</x:f>
        <x:v>17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SUM('02_Data_Layanan'!H10,'02_Data_Layanan'!H11,'02_Data_Layanan'!H12,'02_Data_Layanan'!H13)</x:f>
        <x:v>569</x:v>
      </x:c>
      <x:c r="C6" s="7" t="str"/>
      <x:c r="D6" s="7" t="str"/>
      <x:c r="E6" s="15" t="str">
        <x:v>Total Kasus</x:v>
      </x:c>
      <x:c r="F6" s="18" t="n">
        <x:f>SUM('02_Data_Layanan'!K10,'02_Data_Layanan'!K11,'02_Data_Layanan'!K12,'02_Data_Layanan'!K13)</x:f>
        <x:v>1114343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Badan Pengusahaan Batam; RS Gigi dan Mulut Maranatha; RS Umum Hermina Bogor; RS Umum Pusat Dr. Hasan Sadikin; RS Khusus Gigi dan Mulut UNPAD; RS Umum Santosa Hospital Bandung Central; RS Umum Hermina Pasteur; RS Umum Daerah Prof Dr. Margono Soekarjo; +9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SUM('02_Data_Layanan'!I10,'02_Data_Layanan'!I11,'02_Data_Layanan'!I12,'02_Data_Layanan'!I13)</x:f>
        <x:v>1825529800</x:v>
      </x:c>
      <x:c r="C7" s="7" t="str"/>
      <x:c r="D7" s="7" t="str"/>
      <x:c r="E7" s="15" t="str">
        <x:v>Pendapatan INA</x:v>
      </x:c>
      <x:c r="F7" s="19" t="n">
        <x:f>SUM('02_Data_Layanan'!L10,'02_Data_Layanan'!L11,'02_Data_Layanan'!L12,'02_Data_Layanan'!L13)</x:f>
        <x:v>635496720010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SUM('02_Data_Layanan'!J10,'02_Data_Layanan'!J11,'02_Data_Layanan'!J12,'02_Data_Layanan'!J13)</x:f>
        <x:v>1439825475.17</x:v>
      </x:c>
      <x:c r="C8" s="7" t="str"/>
      <x:c r="D8" s="7" t="str"/>
      <x:c r="E8" s="15" t="str">
        <x:v>Pendapatan iDRG</x:v>
      </x:c>
      <x:c r="F8" s="19" t="n">
        <x:f>SUM('02_Data_Layanan'!M10,'02_Data_Layanan'!M11,'02_Data_Layanan'!M12,'02_Data_Layanan'!M13)</x:f>
        <x:v>707370312885.0194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'02_Data_Layanan'!H10</x:f>
        <x:v>408</x:v>
      </x:c>
      <x:c r="C11" s="21" t="n">
        <x:f>'02_Data_Layanan'!I10</x:f>
        <x:v>1020757700</x:v>
      </x:c>
      <x:c r="D11" s="21" t="n">
        <x:f>'02_Data_Layanan'!J10</x:f>
        <x:v>813941253.1200001</x:v>
      </x:c>
      <x:c r="E11" s="20" t="n">
        <x:f>'02_Data_Layanan'!K10</x:f>
        <x:v>395187</x:v>
      </x:c>
      <x:c r="F11" s="21" t="n">
        <x:f>'02_Data_Layanan'!L10</x:f>
        <x:v>277939458910</x:v>
      </x:c>
      <x:c r="G11" s="21" t="n">
        <x:f>'02_Data_Layanan'!M10</x:f>
        <x:v>320283176558.9897</x:v>
      </x:c>
      <x:c r="H11" s="20" t="n">
        <x:f>'02_Data_Layanan'!N10</x:f>
        <x:v>394779</x:v>
      </x:c>
      <x:c r="I11" s="21" t="n">
        <x:f>'02_Data_Layanan'!O10</x:f>
        <x:v>319469235305.8697</x:v>
      </x:c>
      <x:c r="J11" s="20" t="n">
        <x:f>'02_Data_Layanan'!P10</x:f>
        <x:v>631</x:v>
      </x:c>
    </x:row>
    <x:row r="12">
      <x:c r="A12" s="5" t="str">
        <x:v>Madya</x:v>
      </x:c>
      <x:c r="B12" s="20" t="n">
        <x:f>'02_Data_Layanan'!H11</x:f>
        <x:v>146</x:v>
      </x:c>
      <x:c r="C12" s="21" t="n">
        <x:f>'02_Data_Layanan'!I11</x:f>
        <x:v>712127400</x:v>
      </x:c>
      <x:c r="D12" s="21" t="n">
        <x:f>'02_Data_Layanan'!J11</x:f>
        <x:v>553094491.67</x:v>
      </x:c>
      <x:c r="E12" s="20" t="n">
        <x:f>'02_Data_Layanan'!K11</x:f>
        <x:v>681421</x:v>
      </x:c>
      <x:c r="F12" s="21" t="n">
        <x:f>'02_Data_Layanan'!L11</x:f>
        <x:v>337261996000</x:v>
      </x:c>
      <x:c r="G12" s="21" t="n">
        <x:f>'02_Data_Layanan'!M11</x:f>
        <x:v>365961397512.91974</x:v>
      </x:c>
      <x:c r="H12" s="20" t="n">
        <x:f>'02_Data_Layanan'!N11</x:f>
        <x:v>681275</x:v>
      </x:c>
      <x:c r="I12" s="21" t="n">
        <x:f>'02_Data_Layanan'!O11</x:f>
        <x:v>365408303021.24976</x:v>
      </x:c>
      <x:c r="J12" s="20" t="n">
        <x:f>'02_Data_Layanan'!P11</x:f>
        <x:v>201</x:v>
      </x:c>
    </x:row>
    <x:row r="13">
      <x:c r="A13" s="5" t="str">
        <x:v>Utama</x:v>
      </x:c>
      <x:c r="B13" s="20" t="n">
        <x:f>'02_Data_Layanan'!H12</x:f>
        <x:v>15</x:v>
      </x:c>
      <x:c r="C13" s="21" t="n">
        <x:f>'02_Data_Layanan'!I12</x:f>
        <x:v>92644700</x:v>
      </x:c>
      <x:c r="D13" s="21" t="n">
        <x:f>'02_Data_Layanan'!J12</x:f>
        <x:v>72789730.38</x:v>
      </x:c>
      <x:c r="E13" s="20" t="n">
        <x:f>'02_Data_Layanan'!K12</x:f>
        <x:v>36353</x:v>
      </x:c>
      <x:c r="F13" s="21" t="n">
        <x:f>'02_Data_Layanan'!L12</x:f>
        <x:v>18008849700</x:v>
      </x:c>
      <x:c r="G13" s="21" t="n">
        <x:f>'02_Data_Layanan'!M12</x:f>
        <x:v>18121947127.16</x:v>
      </x:c>
      <x:c r="H13" s="20" t="n">
        <x:f>'02_Data_Layanan'!N12</x:f>
        <x:v>36338</x:v>
      </x:c>
      <x:c r="I13" s="21" t="n">
        <x:f>'02_Data_Layanan'!O12</x:f>
        <x:v>18049157396.78</x:v>
      </x:c>
      <x:c r="J13" s="20" t="n">
        <x:f>'02_Data_Layanan'!P12</x:f>
        <x:v>8</x:v>
      </x:c>
    </x:row>
    <x:row r="14">
      <x:c r="A14" s="5" t="str">
        <x:v>Paripurna</x:v>
      </x:c>
      <x:c r="B14" s="20" t="n">
        <x:f>'02_Data_Layanan'!H13</x:f>
        <x:v>0</x:v>
      </x:c>
      <x:c r="C14" s="21" t="n">
        <x:f>'02_Data_Layanan'!I13</x:f>
        <x:v>0</x:v>
      </x:c>
      <x:c r="D14" s="21" t="n">
        <x:f>'02_Data_Layanan'!J13</x:f>
        <x:v>0</x:v>
      </x:c>
      <x:c r="E14" s="20" t="n">
        <x:f>'02_Data_Layanan'!K13</x:f>
        <x:v>1382</x:v>
      </x:c>
      <x:c r="F14" s="21" t="n">
        <x:f>'02_Data_Layanan'!L13</x:f>
        <x:v>2286415400</x:v>
      </x:c>
      <x:c r="G14" s="21" t="n">
        <x:f>'02_Data_Layanan'!M13</x:f>
        <x:v>3003791685.9500046</x:v>
      </x:c>
      <x:c r="H14" s="20" t="n">
        <x:f>'02_Data_Layanan'!N13</x:f>
        <x:v>1382</x:v>
      </x:c>
      <x:c r="I14" s="21" t="n">
        <x:f>'02_Data_Layanan'!O13</x:f>
        <x:v>3003791685.9500046</x:v>
      </x:c>
      <x:c r="J14" s="20" t="n">
        <x:f>'02_Data_Layanan'!P13</x:f>
        <x:v>9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'03_Parameter'!G14</x:f>
        <x:v>0.055999999999999994</x:v>
      </x:c>
      <x:c r="C19" s="26" t="n">
        <x:f>'02_Data_Layanan'!N12*B19</x:f>
        <x:v>2034.9279999999999</x:v>
      </x:c>
      <x:c r="D19" s="27" t="n">
        <x:f>'02_Data_Layanan'!O12*B19</x:f>
        <x:v>1010752814.2196798</x:v>
      </x:c>
      <x:c r="E19" s="13" t="n">
        <x:f>'03_Parameter'!F14</x:f>
        <x:v>0.005</x:v>
      </x:c>
      <x:c r="F19" s="26" t="n">
        <x:f>'02_Data_Layanan'!N11*E19</x:f>
        <x:v>3406.375</x:v>
      </x:c>
      <x:c r="G19" s="27" t="n">
        <x:f>'02_Data_Layanan'!O11*E19</x:f>
        <x:v>1827041515.1062489</x:v>
      </x:c>
      <x:c r="H19" s="13" t="n">
        <x:f>'03_Parameter'!I14</x:f>
        <x:v>0.5</x:v>
      </x:c>
      <x:c r="I19" s="28" t="n">
        <x:f>'02_Data_Layanan'!H10*H19</x:f>
        <x:v>204</x:v>
      </x:c>
      <x:c r="J19" s="29" t="n">
        <x:f>'02_Data_Layanan'!I10*H19</x:f>
        <x:v>510378850</x:v>
      </x:c>
      <x:c r="K19" s="13" t="n">
        <x:f>'03_Parameter'!L14</x:f>
        <x:v>1</x:v>
      </x:c>
      <x:c r="L19" s="28" t="n">
        <x:f>'02_Data_Layanan'!H13*K19</x:f>
        <x:v>0</x:v>
      </x:c>
      <x:c r="M19" s="29" t="n">
        <x:f>'02_Data_Layanan'!I13*K19</x:f>
        <x:v>0</x:v>
      </x:c>
      <x:c r="N19" s="11" t="n">
        <x:f>C19+F19-(I19+L19)</x:f>
        <x:v>5237.303</x:v>
      </x:c>
      <x:c r="O19" s="11" t="n">
        <x:f>$B$6+N19</x:f>
        <x:v>5806.303</x:v>
      </x:c>
      <x:c r="P19" s="30" t="n">
        <x:f>IF($B$6=0,0,N19/$B$6)</x:f>
        <x:v>9.204398945518454</x:v>
      </x:c>
      <x:c r="Q19" s="10" t="n">
        <x:f>D19+G19-(J19+M19)</x:f>
        <x:v>2327415479.3259287</x:v>
      </x:c>
      <x:c r="R19" s="10" t="n">
        <x:f>$B$7+Q19</x:f>
        <x:v>4152945279.3259287</x:v>
      </x:c>
      <x:c r="S19" s="30" t="n">
        <x:f>IF($B$7=0,0,Q19/$B$7)</x:f>
        <x:v>1.2749260402793363</x:v>
      </x:c>
    </x:row>
    <x:row r="20">
      <x:c r="A20" s="25" t="str">
        <x:v>Skenario 2</x:v>
      </x:c>
      <x:c r="B20" s="13" t="n">
        <x:f>'03_Parameter'!G15</x:f>
        <x:v>0.156</x:v>
      </x:c>
      <x:c r="C20" s="26" t="n">
        <x:f>'02_Data_Layanan'!N12*B20</x:f>
        <x:v>5668.728</x:v>
      </x:c>
      <x:c r="D20" s="27" t="n">
        <x:f>'02_Data_Layanan'!O12*B20</x:f>
        <x:v>2815668553.89768</x:v>
      </x:c>
      <x:c r="E20" s="13" t="n">
        <x:f>'03_Parameter'!F15</x:f>
        <x:v>0.105</x:v>
      </x:c>
      <x:c r="F20" s="26" t="n">
        <x:f>'02_Data_Layanan'!N11*E20</x:f>
        <x:v>71533.875</x:v>
      </x:c>
      <x:c r="G20" s="27" t="n">
        <x:f>'02_Data_Layanan'!O11*E20</x:f>
        <x:v>38367871817.231224</x:v>
      </x:c>
      <x:c r="H20" s="13" t="n">
        <x:f>'03_Parameter'!I15</x:f>
        <x:v>0.6</x:v>
      </x:c>
      <x:c r="I20" s="28" t="n">
        <x:f>'02_Data_Layanan'!H10*H20</x:f>
        <x:v>244.79999999999998</x:v>
      </x:c>
      <x:c r="J20" s="29" t="n">
        <x:f>'02_Data_Layanan'!I10*H20</x:f>
        <x:v>612454620</x:v>
      </x:c>
      <x:c r="K20" s="13" t="n">
        <x:f>'03_Parameter'!L15</x:f>
        <x:v>1</x:v>
      </x:c>
      <x:c r="L20" s="28" t="n">
        <x:f>'02_Data_Layanan'!H13*K20</x:f>
        <x:v>0</x:v>
      </x:c>
      <x:c r="M20" s="29" t="n">
        <x:f>'02_Data_Layanan'!I13*K20</x:f>
        <x:v>0</x:v>
      </x:c>
      <x:c r="N20" s="11" t="n">
        <x:f>C20+F20-(I20+L20)</x:f>
        <x:v>76957.803</x:v>
      </x:c>
      <x:c r="O20" s="11" t="n">
        <x:f>$B$6+N20</x:f>
        <x:v>77526.803</x:v>
      </x:c>
      <x:c r="P20" s="30" t="n">
        <x:f>IF($B$6=0,0,N20/$B$6)</x:f>
        <x:v>135.2509718804921</x:v>
      </x:c>
      <x:c r="Q20" s="10" t="n">
        <x:f>D20+G20-(J20+M20)</x:f>
        <x:v>40571085751.12891</x:v>
      </x:c>
      <x:c r="R20" s="10" t="n">
        <x:f>$B$7+Q20</x:f>
        <x:v>42396615551.12891</x:v>
      </x:c>
      <x:c r="S20" s="30" t="n">
        <x:f>IF($B$7=0,0,Q20/$B$7)</x:f>
        <x:v>22.224280179446485</x:v>
      </x:c>
    </x:row>
    <x:row r="21">
      <x:c r="A21" s="25" t="str">
        <x:v>Skenario 3</x:v>
      </x:c>
      <x:c r="B21" s="13" t="n">
        <x:f>'03_Parameter'!G16</x:f>
        <x:v>0.256</x:v>
      </x:c>
      <x:c r="C21" s="26" t="n">
        <x:f>'02_Data_Layanan'!N12*B21</x:f>
        <x:v>9302.528</x:v>
      </x:c>
      <x:c r="D21" s="27" t="n">
        <x:f>'02_Data_Layanan'!O12*B21</x:f>
        <x:v>4620584293.57568</x:v>
      </x:c>
      <x:c r="E21" s="13" t="n">
        <x:f>'03_Parameter'!F16</x:f>
        <x:v>0.205</x:v>
      </x:c>
      <x:c r="F21" s="26" t="n">
        <x:f>'02_Data_Layanan'!N11*E21</x:f>
        <x:v>139661.375</x:v>
      </x:c>
      <x:c r="G21" s="27" t="n">
        <x:f>'02_Data_Layanan'!O11*E21</x:f>
        <x:v>74908702119.3562</x:v>
      </x:c>
      <x:c r="H21" s="13" t="n">
        <x:f>'03_Parameter'!I16</x:f>
        <x:v>0.7</x:v>
      </x:c>
      <x:c r="I21" s="28" t="n">
        <x:f>'02_Data_Layanan'!H10*H21</x:f>
        <x:v>285.59999999999997</x:v>
      </x:c>
      <x:c r="J21" s="29" t="n">
        <x:f>'02_Data_Layanan'!I10*H21</x:f>
        <x:v>714530390</x:v>
      </x:c>
      <x:c r="K21" s="13" t="n">
        <x:f>'03_Parameter'!L16</x:f>
        <x:v>1</x:v>
      </x:c>
      <x:c r="L21" s="28" t="n">
        <x:f>'02_Data_Layanan'!H13*K21</x:f>
        <x:v>0</x:v>
      </x:c>
      <x:c r="M21" s="29" t="n">
        <x:f>'02_Data_Layanan'!I13*K21</x:f>
        <x:v>0</x:v>
      </x:c>
      <x:c r="N21" s="11" t="n">
        <x:f>C21+F21-(I21+L21)</x:f>
        <x:v>148678.30299999999</x:v>
      </x:c>
      <x:c r="O21" s="11" t="n">
        <x:f>$B$6+N21</x:f>
        <x:v>149247.30299999999</x:v>
      </x:c>
      <x:c r="P21" s="30" t="n">
        <x:f>IF($B$6=0,0,N21/$B$6)</x:f>
        <x:v>261.2975448154657</x:v>
      </x:c>
      <x:c r="Q21" s="10" t="n">
        <x:f>D21+G21-(J21+M21)</x:f>
        <x:v>78814756022.93188</x:v>
      </x:c>
      <x:c r="R21" s="10" t="n">
        <x:f>$B$7+Q21</x:f>
        <x:v>80640285822.93188</x:v>
      </x:c>
      <x:c r="S21" s="30" t="n">
        <x:f>IF($B$7=0,0,Q21/$B$7)</x:f>
        <x:v>43.17363431861364</x:v>
      </x:c>
    </x:row>
    <x:row r="22">
      <x:c r="A22" s="25" t="str">
        <x:v>Skenario 4</x:v>
      </x:c>
      <x:c r="B22" s="13" t="n">
        <x:f>'03_Parameter'!G17</x:f>
        <x:v>0.35600000000000004</x:v>
      </x:c>
      <x:c r="C22" s="26" t="n">
        <x:f>'02_Data_Layanan'!N12*B22</x:f>
        <x:v>12936.328000000001</x:v>
      </x:c>
      <x:c r="D22" s="27" t="n">
        <x:f>'02_Data_Layanan'!O12*B22</x:f>
        <x:v>6425500033.25368</x:v>
      </x:c>
      <x:c r="E22" s="13" t="n">
        <x:f>'03_Parameter'!F17</x:f>
        <x:v>0.305</x:v>
      </x:c>
      <x:c r="F22" s="26" t="n">
        <x:f>'02_Data_Layanan'!N11*E22</x:f>
        <x:v>207788.875</x:v>
      </x:c>
      <x:c r="G22" s="27" t="n">
        <x:f>'02_Data_Layanan'!O11*E22</x:f>
        <x:v>111449532421.48117</x:v>
      </x:c>
      <x:c r="H22" s="13" t="n">
        <x:f>'03_Parameter'!I17</x:f>
        <x:v>0.8</x:v>
      </x:c>
      <x:c r="I22" s="28" t="n">
        <x:f>'02_Data_Layanan'!H10*H22</x:f>
        <x:v>326.40000000000003</x:v>
      </x:c>
      <x:c r="J22" s="29" t="n">
        <x:f>'02_Data_Layanan'!I10*H22</x:f>
        <x:v>816606160</x:v>
      </x:c>
      <x:c r="K22" s="13" t="n">
        <x:f>'03_Parameter'!L17</x:f>
        <x:v>1</x:v>
      </x:c>
      <x:c r="L22" s="28" t="n">
        <x:f>'02_Data_Layanan'!H13*K22</x:f>
        <x:v>0</x:v>
      </x:c>
      <x:c r="M22" s="29" t="n">
        <x:f>'02_Data_Layanan'!I13*K22</x:f>
        <x:v>0</x:v>
      </x:c>
      <x:c r="N22" s="11" t="n">
        <x:f>C22+F22-(I22+L22)</x:f>
        <x:v>220398.803</x:v>
      </x:c>
      <x:c r="O22" s="11" t="n">
        <x:f>$B$6+N22</x:f>
        <x:v>220967.803</x:v>
      </x:c>
      <x:c r="P22" s="30" t="n">
        <x:f>IF($B$6=0,0,N22/$B$6)</x:f>
        <x:v>387.3441177504394</x:v>
      </x:c>
      <x:c r="Q22" s="10" t="n">
        <x:f>D22+G22-(J22+M22)</x:f>
        <x:v>117058426294.73485</x:v>
      </x:c>
      <x:c r="R22" s="10" t="n">
        <x:f>$B$7+Q22</x:f>
        <x:v>118883956094.73485</x:v>
      </x:c>
      <x:c r="S22" s="30" t="n">
        <x:f>IF($B$7=0,0,Q22/$B$7)</x:f>
        <x:v>64.12298845778078</x:v>
      </x:c>
    </x:row>
    <x:row r="23">
      <x:c r="A23" s="25" t="str">
        <x:v>Skenario 5</x:v>
      </x:c>
      <x:c r="B23" s="13" t="n">
        <x:f>'03_Parameter'!G18</x:f>
        <x:v>0.456</x:v>
      </x:c>
      <x:c r="C23" s="26" t="n">
        <x:f>'02_Data_Layanan'!N12*B23</x:f>
        <x:v>16570.128</x:v>
      </x:c>
      <x:c r="D23" s="27" t="n">
        <x:f>'02_Data_Layanan'!O12*B23</x:f>
        <x:v>8230415772.93168</x:v>
      </x:c>
      <x:c r="E23" s="13" t="n">
        <x:f>'03_Parameter'!F18</x:f>
        <x:v>0.405</x:v>
      </x:c>
      <x:c r="F23" s="26" t="n">
        <x:f>'02_Data_Layanan'!N11*E23</x:f>
        <x:v>275916.375</x:v>
      </x:c>
      <x:c r="G23" s="27" t="n">
        <x:f>'02_Data_Layanan'!O11*E23</x:f>
        <x:v>147990362723.60617</x:v>
      </x:c>
      <x:c r="H23" s="13" t="n">
        <x:f>'03_Parameter'!I18</x:f>
        <x:v>0.9</x:v>
      </x:c>
      <x:c r="I23" s="28" t="n">
        <x:f>'02_Data_Layanan'!H10*H23</x:f>
        <x:v>367.2</x:v>
      </x:c>
      <x:c r="J23" s="29" t="n">
        <x:f>'02_Data_Layanan'!I10*H23</x:f>
        <x:v>918681930</x:v>
      </x:c>
      <x:c r="K23" s="13" t="n">
        <x:f>'03_Parameter'!L18</x:f>
        <x:v>1</x:v>
      </x:c>
      <x:c r="L23" s="28" t="n">
        <x:f>'02_Data_Layanan'!H13*K23</x:f>
        <x:v>0</x:v>
      </x:c>
      <x:c r="M23" s="29" t="n">
        <x:f>'02_Data_Layanan'!I13*K23</x:f>
        <x:v>0</x:v>
      </x:c>
      <x:c r="N23" s="11" t="n">
        <x:f>C23+F23-(I23+L23)</x:f>
        <x:v>292119.303</x:v>
      </x:c>
      <x:c r="O23" s="11" t="n">
        <x:f>$B$6+N23</x:f>
        <x:v>292688.303</x:v>
      </x:c>
      <x:c r="P23" s="30" t="n">
        <x:f>IF($B$6=0,0,N23/$B$6)</x:f>
        <x:v>513.390690685413</x:v>
      </x:c>
      <x:c r="Q23" s="10" t="n">
        <x:f>D23+G23-(J23+M23)</x:f>
        <x:v>155302096566.53784</x:v>
      </x:c>
      <x:c r="R23" s="10" t="n">
        <x:f>$B$7+Q23</x:f>
        <x:v>157127626366.53784</x:v>
      </x:c>
      <x:c r="S23" s="30" t="n">
        <x:f>IF($B$7=0,0,Q23/$B$7)</x:f>
        <x:v>85.07234259694793</x:v>
      </x:c>
    </x:row>
    <x:row r="24">
      <x:c r="A24" s="25" t="str">
        <x:v>Skenario 6</x:v>
      </x:c>
      <x:c r="B24" s="13" t="n">
        <x:f>'03_Parameter'!G19</x:f>
        <x:v>0.556</x:v>
      </x:c>
      <x:c r="C24" s="26" t="n">
        <x:f>'02_Data_Layanan'!N12*B24</x:f>
        <x:v>20203.928000000004</x:v>
      </x:c>
      <x:c r="D24" s="27" t="n">
        <x:f>'02_Data_Layanan'!O12*B24</x:f>
        <x:v>10035331512.60968</x:v>
      </x:c>
      <x:c r="E24" s="13" t="n">
        <x:f>'03_Parameter'!F19</x:f>
        <x:v>0.505</x:v>
      </x:c>
      <x:c r="F24" s="26" t="n">
        <x:f>'02_Data_Layanan'!N11*E24</x:f>
        <x:v>344043.875</x:v>
      </x:c>
      <x:c r="G24" s="27" t="n">
        <x:f>'02_Data_Layanan'!O11*E24</x:f>
        <x:v>184531193025.73114</x:v>
      </x:c>
      <x:c r="H24" s="13" t="n">
        <x:f>'03_Parameter'!I19</x:f>
        <x:v>1</x:v>
      </x:c>
      <x:c r="I24" s="28" t="n">
        <x:f>'02_Data_Layanan'!H10*H24</x:f>
        <x:v>408</x:v>
      </x:c>
      <x:c r="J24" s="29" t="n">
        <x:f>'02_Data_Layanan'!I10*H24</x:f>
        <x:v>1020757700</x:v>
      </x:c>
      <x:c r="K24" s="13" t="n">
        <x:f>'03_Parameter'!L19</x:f>
        <x:v>1</x:v>
      </x:c>
      <x:c r="L24" s="28" t="n">
        <x:f>'02_Data_Layanan'!H13*K24</x:f>
        <x:v>0</x:v>
      </x:c>
      <x:c r="M24" s="29" t="n">
        <x:f>'02_Data_Layanan'!I13*K24</x:f>
        <x:v>0</x:v>
      </x:c>
      <x:c r="N24" s="11" t="n">
        <x:f>C24+F24-(I24+L24)</x:f>
        <x:v>363839.803</x:v>
      </x:c>
      <x:c r="O24" s="11" t="n">
        <x:f>$B$6+N24</x:f>
        <x:v>364408.803</x:v>
      </x:c>
      <x:c r="P24" s="30" t="n">
        <x:f>IF($B$6=0,0,N24/$B$6)</x:f>
        <x:v>639.4372636203867</x:v>
      </x:c>
      <x:c r="Q24" s="10" t="n">
        <x:f>D24+G24-(J24+M24)</x:f>
        <x:v>193545766838.34082</x:v>
      </x:c>
      <x:c r="R24" s="10" t="n">
        <x:f>$B$7+Q24</x:f>
        <x:v>195371296638.34082</x:v>
      </x:c>
      <x:c r="S24" s="30" t="n">
        <x:f>IF($B$7=0,0,Q24/$B$7)</x:f>
        <x:v>106.02169673611509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Hematologi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0.01175267598832296</x:v>
      </x:c>
      <x:c r="K5" s="16" t="str">
        <x:v>Setara/lebih tinggi</x:v>
      </x:c>
      <x:c r="L5" s="11" t="n">
        <x:f>'02_Data_Layanan'!Q14</x:f>
        <x:v>19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SUM('02_Data_Layanan'!H14,'02_Data_Layanan'!H15,'02_Data_Layanan'!H16,'02_Data_Layanan'!H17)</x:f>
        <x:v>8080</x:v>
      </x:c>
      <x:c r="C6" s="7" t="str"/>
      <x:c r="D6" s="7" t="str"/>
      <x:c r="E6" s="15" t="str">
        <x:v>Total Kasus</x:v>
      </x:c>
      <x:c r="F6" s="18" t="n">
        <x:f>SUM('02_Data_Layanan'!K14,'02_Data_Layanan'!K15,'02_Data_Layanan'!K16,'02_Data_Layanan'!K17)</x:f>
        <x:v>687503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Daerah  Arifin Achmad; RS Umum  Awal Bros Pekanbaru; RS Umum Awal Bros Batam; RS Umum Sentra Medika Cibinong; RS Umum Daerah Welas Asih Provinsi Jawa Barat; RS Umum Pusat Dr. Hasan Sadikin; RS Umum Advent Bandung; +11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SUM('02_Data_Layanan'!I14,'02_Data_Layanan'!I15,'02_Data_Layanan'!I16,'02_Data_Layanan'!I17)</x:f>
        <x:v>19189811600</x:v>
      </x:c>
      <x:c r="C7" s="7" t="str"/>
      <x:c r="D7" s="7" t="str"/>
      <x:c r="E7" s="15" t="str">
        <x:v>Pendapatan INA</x:v>
      </x:c>
      <x:c r="F7" s="19" t="n">
        <x:f>SUM('02_Data_Layanan'!L14,'02_Data_Layanan'!L15,'02_Data_Layanan'!L16,'02_Data_Layanan'!L17)</x:f>
        <x:v>1377609951620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SUM('02_Data_Layanan'!J14,'02_Data_Layanan'!J15,'02_Data_Layanan'!J16,'02_Data_Layanan'!J17)</x:f>
        <x:v>18192775704.28</x:v>
      </x:c>
      <x:c r="C8" s="7" t="str"/>
      <x:c r="D8" s="7" t="str"/>
      <x:c r="E8" s="15" t="str">
        <x:v>Pendapatan iDRG</x:v>
      </x:c>
      <x:c r="F8" s="19" t="n">
        <x:f>SUM('02_Data_Layanan'!M14,'02_Data_Layanan'!M15,'02_Data_Layanan'!M16,'02_Data_Layanan'!M17)</x:f>
        <x:v>1600558213495.1514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'02_Data_Layanan'!H14</x:f>
        <x:v>1691</x:v>
      </x:c>
      <x:c r="C11" s="21" t="n">
        <x:f>'02_Data_Layanan'!I14</x:f>
        <x:v>3801921800</x:v>
      </x:c>
      <x:c r="D11" s="21" t="n">
        <x:f>'02_Data_Layanan'!J14</x:f>
        <x:v>3459892009.0699997</x:v>
      </x:c>
      <x:c r="E11" s="20" t="n">
        <x:f>'02_Data_Layanan'!K14</x:f>
        <x:v>203010</x:v>
      </x:c>
      <x:c r="F11" s="21" t="n">
        <x:f>'02_Data_Layanan'!L14</x:f>
        <x:v>295730249665</x:v>
      </x:c>
      <x:c r="G11" s="21" t="n">
        <x:f>'02_Data_Layanan'!M14</x:f>
        <x:v>369321489640.88947</x:v>
      </x:c>
      <x:c r="H11" s="20" t="n">
        <x:f>'02_Data_Layanan'!N14</x:f>
        <x:v>201319</x:v>
      </x:c>
      <x:c r="I11" s="21" t="n">
        <x:f>'02_Data_Layanan'!O14</x:f>
        <x:v>365861597631.81946</x:v>
      </x:c>
      <x:c r="J11" s="20" t="n">
        <x:f>'02_Data_Layanan'!P14</x:f>
        <x:v>1027</x:v>
      </x:c>
    </x:row>
    <x:row r="12">
      <x:c r="A12" s="5" t="str">
        <x:v>Madya</x:v>
      </x:c>
      <x:c r="B12" s="20" t="n">
        <x:f>'02_Data_Layanan'!H15</x:f>
        <x:v>4851</x:v>
      </x:c>
      <x:c r="C12" s="21" t="n">
        <x:f>'02_Data_Layanan'!I15</x:f>
        <x:v>7719496100</x:v>
      </x:c>
      <x:c r="D12" s="21" t="n">
        <x:f>'02_Data_Layanan'!J15</x:f>
        <x:v>7334727879.34</x:v>
      </x:c>
      <x:c r="E12" s="20" t="n">
        <x:f>'02_Data_Layanan'!K15</x:f>
        <x:v>316016</x:v>
      </x:c>
      <x:c r="F12" s="21" t="n">
        <x:f>'02_Data_Layanan'!L15</x:f>
        <x:v>650132981620</x:v>
      </x:c>
      <x:c r="G12" s="21" t="n">
        <x:f>'02_Data_Layanan'!M15</x:f>
        <x:v>762532836230.681</x:v>
      </x:c>
      <x:c r="H12" s="20" t="n">
        <x:f>'02_Data_Layanan'!N15</x:f>
        <x:v>311165</x:v>
      </x:c>
      <x:c r="I12" s="21" t="n">
        <x:f>'02_Data_Layanan'!O15</x:f>
        <x:v>755198108351.3411</x:v>
      </x:c>
      <x:c r="J12" s="20" t="n">
        <x:f>'02_Data_Layanan'!P15</x:f>
        <x:v>305</x:v>
      </x:c>
    </x:row>
    <x:row r="13">
      <x:c r="A13" s="5" t="str">
        <x:v>Utama</x:v>
      </x:c>
      <x:c r="B13" s="20" t="n">
        <x:f>'02_Data_Layanan'!H16</x:f>
        <x:v>710</x:v>
      </x:c>
      <x:c r="C13" s="21" t="n">
        <x:f>'02_Data_Layanan'!I16</x:f>
        <x:v>1487648400</x:v>
      </x:c>
      <x:c r="D13" s="21" t="n">
        <x:f>'02_Data_Layanan'!J16</x:f>
        <x:v>1150564015.99</x:v>
      </x:c>
      <x:c r="E13" s="20" t="n">
        <x:f>'02_Data_Layanan'!K16</x:f>
        <x:v>114840</x:v>
      </x:c>
      <x:c r="F13" s="21" t="n">
        <x:f>'02_Data_Layanan'!L16</x:f>
        <x:v>175513411060</x:v>
      </x:c>
      <x:c r="G13" s="21" t="n">
        <x:f>'02_Data_Layanan'!M16</x:f>
        <x:v>201042945787.9304</x:v>
      </x:c>
      <x:c r="H13" s="20" t="n">
        <x:f>'02_Data_Layanan'!N16</x:f>
        <x:v>114130</x:v>
      </x:c>
      <x:c r="I13" s="21" t="n">
        <x:f>'02_Data_Layanan'!O16</x:f>
        <x:v>199892381771.9404</x:v>
      </x:c>
      <x:c r="J13" s="20" t="n">
        <x:f>'02_Data_Layanan'!P16</x:f>
        <x:v>13</x:v>
      </x:c>
    </x:row>
    <x:row r="14">
      <x:c r="A14" s="5" t="str">
        <x:v>Paripurna</x:v>
      </x:c>
      <x:c r="B14" s="20" t="n">
        <x:f>'02_Data_Layanan'!H17</x:f>
        <x:v>828</x:v>
      </x:c>
      <x:c r="C14" s="21" t="n">
        <x:f>'02_Data_Layanan'!I17</x:f>
        <x:v>6180745300</x:v>
      </x:c>
      <x:c r="D14" s="21" t="n">
        <x:f>'02_Data_Layanan'!J17</x:f>
        <x:v>6247591799.879999</x:v>
      </x:c>
      <x:c r="E14" s="20" t="n">
        <x:f>'02_Data_Layanan'!K17</x:f>
        <x:v>53637</x:v>
      </x:c>
      <x:c r="F14" s="21" t="n">
        <x:f>'02_Data_Layanan'!L17</x:f>
        <x:v>256233309275</x:v>
      </x:c>
      <x:c r="G14" s="21" t="n">
        <x:f>'02_Data_Layanan'!M17</x:f>
        <x:v>267660941835.65027</x:v>
      </x:c>
      <x:c r="H14" s="20" t="n">
        <x:f>'02_Data_Layanan'!N17</x:f>
        <x:v>52809</x:v>
      </x:c>
      <x:c r="I14" s="21" t="n">
        <x:f>'02_Data_Layanan'!O17</x:f>
        <x:v>261413350035.77026</x:v>
      </x:c>
      <x:c r="J14" s="20" t="n">
        <x:f>'02_Data_Layanan'!P17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'03_Parameter'!G20</x:f>
        <x:v>0.05</x:v>
      </x:c>
      <x:c r="C19" s="26" t="n">
        <x:f>'02_Data_Layanan'!N16*B19</x:f>
        <x:v>5706.5</x:v>
      </x:c>
      <x:c r="D19" s="27" t="n">
        <x:f>'02_Data_Layanan'!O16*B19</x:f>
        <x:v>9994619088.597021</x:v>
      </x:c>
      <x:c r="E19" s="13" t="n">
        <x:f>'03_Parameter'!F20</x:f>
        <x:v>0.003</x:v>
      </x:c>
      <x:c r="F19" s="26" t="n">
        <x:f>'02_Data_Layanan'!N15*E19</x:f>
        <x:v>933.495</x:v>
      </x:c>
      <x:c r="G19" s="27" t="n">
        <x:f>'02_Data_Layanan'!O15*E19</x:f>
        <x:v>2265594325.0540233</x:v>
      </x:c>
      <x:c r="H19" s="13" t="n">
        <x:f>'03_Parameter'!I20</x:f>
        <x:v>0.5</x:v>
      </x:c>
      <x:c r="I19" s="28" t="n">
        <x:f>'02_Data_Layanan'!H14*H19</x:f>
        <x:v>845.5</x:v>
      </x:c>
      <x:c r="J19" s="29" t="n">
        <x:f>'02_Data_Layanan'!I14*H19</x:f>
        <x:v>1900960900</x:v>
      </x:c>
      <x:c r="K19" s="13" t="n">
        <x:f>'03_Parameter'!L20</x:f>
        <x:v>1</x:v>
      </x:c>
      <x:c r="L19" s="28" t="n">
        <x:f>'02_Data_Layanan'!H17*K19</x:f>
        <x:v>828</x:v>
      </x:c>
      <x:c r="M19" s="29" t="n">
        <x:f>'02_Data_Layanan'!I17*K19</x:f>
        <x:v>6180745300</x:v>
      </x:c>
      <x:c r="N19" s="11" t="n">
        <x:f>C19+F19-(I19+L19)</x:f>
        <x:v>4966.495</x:v>
      </x:c>
      <x:c r="O19" s="11" t="n">
        <x:f>$B$6+N19</x:f>
        <x:v>13046.494999999999</x:v>
      </x:c>
      <x:c r="P19" s="30" t="n">
        <x:f>IF($B$6=0,0,N19/$B$6)</x:f>
        <x:v>0.6146652227722772</x:v>
      </x:c>
      <x:c r="Q19" s="10" t="n">
        <x:f>D19+G19-(J19+M19)</x:f>
        <x:v>4178507213.651045</x:v>
      </x:c>
      <x:c r="R19" s="10" t="n">
        <x:f>$B$7+Q19</x:f>
        <x:v>23368318813.651047</x:v>
      </x:c>
      <x:c r="S19" s="30" t="n">
        <x:f>IF($B$7=0,0,Q19/$B$7)</x:f>
        <x:v>0.21774613012099842</x:v>
      </x:c>
    </x:row>
    <x:row r="20">
      <x:c r="A20" s="25" t="str">
        <x:v>Skenario 2</x:v>
      </x:c>
      <x:c r="B20" s="13" t="n">
        <x:f>'03_Parameter'!G21</x:f>
        <x:v>0.15</x:v>
      </x:c>
      <x:c r="C20" s="26" t="n">
        <x:f>'02_Data_Layanan'!N16*B20</x:f>
        <x:v>17119.5</x:v>
      </x:c>
      <x:c r="D20" s="27" t="n">
        <x:f>'02_Data_Layanan'!O16*B20</x:f>
        <x:v>29983857265.791058</x:v>
      </x:c>
      <x:c r="E20" s="13" t="n">
        <x:f>'03_Parameter'!F21</x:f>
        <x:v>0.10300000000000001</x:v>
      </x:c>
      <x:c r="F20" s="26" t="n">
        <x:f>'02_Data_Layanan'!N15*E20</x:f>
        <x:v>32049.995000000003</x:v>
      </x:c>
      <x:c r="G20" s="27" t="n">
        <x:f>'02_Data_Layanan'!O15*E20</x:f>
        <x:v>77785405160.18814</x:v>
      </x:c>
      <x:c r="H20" s="13" t="n">
        <x:f>'03_Parameter'!I21</x:f>
        <x:v>0.6</x:v>
      </x:c>
      <x:c r="I20" s="28" t="n">
        <x:f>'02_Data_Layanan'!H14*H20</x:f>
        <x:v>1014.5999999999999</x:v>
      </x:c>
      <x:c r="J20" s="29" t="n">
        <x:f>'02_Data_Layanan'!I14*H20</x:f>
        <x:v>2281153080</x:v>
      </x:c>
      <x:c r="K20" s="13" t="n">
        <x:f>'03_Parameter'!L21</x:f>
        <x:v>1</x:v>
      </x:c>
      <x:c r="L20" s="28" t="n">
        <x:f>'02_Data_Layanan'!H17*K20</x:f>
        <x:v>828</x:v>
      </x:c>
      <x:c r="M20" s="29" t="n">
        <x:f>'02_Data_Layanan'!I17*K20</x:f>
        <x:v>6180745300</x:v>
      </x:c>
      <x:c r="N20" s="11" t="n">
        <x:f>C20+F20-(I20+L20)</x:f>
        <x:v>47326.895000000004</x:v>
      </x:c>
      <x:c r="O20" s="11" t="n">
        <x:f>$B$6+N20</x:f>
        <x:v>55406.895000000004</x:v>
      </x:c>
      <x:c r="P20" s="30" t="n">
        <x:f>IF($B$6=0,0,N20/$B$6)</x:f>
        <x:v>5.857288985148515</x:v>
      </x:c>
      <x:c r="Q20" s="10" t="n">
        <x:f>D20+G20-(J20+M20)</x:f>
        <x:v>99307364045.9792</x:v>
      </x:c>
      <x:c r="R20" s="10" t="n">
        <x:f>$B$7+Q20</x:f>
        <x:v>118497175645.9792</x:v>
      </x:c>
      <x:c r="S20" s="30" t="n">
        <x:f>IF($B$7=0,0,Q20/$B$7)</x:f>
        <x:v>5.175004638710429</x:v>
      </x:c>
    </x:row>
    <x:row r="21">
      <x:c r="A21" s="25" t="str">
        <x:v>Skenario 3</x:v>
      </x:c>
      <x:c r="B21" s="13" t="n">
        <x:f>'03_Parameter'!G22</x:f>
        <x:v>0.25</x:v>
      </x:c>
      <x:c r="C21" s="26" t="n">
        <x:f>'02_Data_Layanan'!N16*B21</x:f>
        <x:v>28532.5</x:v>
      </x:c>
      <x:c r="D21" s="27" t="n">
        <x:f>'02_Data_Layanan'!O16*B21</x:f>
        <x:v>49973095442.9851</x:v>
      </x:c>
      <x:c r="E21" s="13" t="n">
        <x:f>'03_Parameter'!F22</x:f>
        <x:v>0.203</x:v>
      </x:c>
      <x:c r="F21" s="26" t="n">
        <x:f>'02_Data_Layanan'!N15*E21</x:f>
        <x:v>63166.495</x:v>
      </x:c>
      <x:c r="G21" s="27" t="n">
        <x:f>'02_Data_Layanan'!O15*E21</x:f>
        <x:v>153305215995.32224</x:v>
      </x:c>
      <x:c r="H21" s="13" t="n">
        <x:f>'03_Parameter'!I22</x:f>
        <x:v>0.7</x:v>
      </x:c>
      <x:c r="I21" s="28" t="n">
        <x:f>'02_Data_Layanan'!H14*H21</x:f>
        <x:v>1183.6999999999998</x:v>
      </x:c>
      <x:c r="J21" s="29" t="n">
        <x:f>'02_Data_Layanan'!I14*H21</x:f>
        <x:v>2661345260</x:v>
      </x:c>
      <x:c r="K21" s="13" t="n">
        <x:f>'03_Parameter'!L22</x:f>
        <x:v>1</x:v>
      </x:c>
      <x:c r="L21" s="28" t="n">
        <x:f>'02_Data_Layanan'!H17*K21</x:f>
        <x:v>828</x:v>
      </x:c>
      <x:c r="M21" s="29" t="n">
        <x:f>'02_Data_Layanan'!I17*K21</x:f>
        <x:v>6180745300</x:v>
      </x:c>
      <x:c r="N21" s="11" t="n">
        <x:f>C21+F21-(I21+L21)</x:f>
        <x:v>89687.295</x:v>
      </x:c>
      <x:c r="O21" s="11" t="n">
        <x:f>$B$6+N21</x:f>
        <x:v>97767.295</x:v>
      </x:c>
      <x:c r="P21" s="30" t="n">
        <x:f>IF($B$6=0,0,N21/$B$6)</x:f>
        <x:v>11.099912747524753</x:v>
      </x:c>
      <x:c r="Q21" s="10" t="n">
        <x:f>D21+G21-(J21+M21)</x:f>
        <x:v>194436220878.30734</x:v>
      </x:c>
      <x:c r="R21" s="10" t="n">
        <x:f>$B$7+Q21</x:f>
        <x:v>213626032478.30734</x:v>
      </x:c>
      <x:c r="S21" s="30" t="n">
        <x:f>IF($B$7=0,0,Q21/$B$7)</x:f>
        <x:v>10.13226314729986</x:v>
      </x:c>
    </x:row>
    <x:row r="22">
      <x:c r="A22" s="25" t="str">
        <x:v>Skenario 4</x:v>
      </x:c>
      <x:c r="B22" s="13" t="n">
        <x:f>'03_Parameter'!G23</x:f>
        <x:v>0.35</x:v>
      </x:c>
      <x:c r="C22" s="26" t="n">
        <x:f>'02_Data_Layanan'!N16*B22</x:f>
        <x:v>39945.5</x:v>
      </x:c>
      <x:c r="D22" s="27" t="n">
        <x:f>'02_Data_Layanan'!O16*B22</x:f>
        <x:v>69962333620.17914</x:v>
      </x:c>
      <x:c r="E22" s="13" t="n">
        <x:f>'03_Parameter'!F23</x:f>
        <x:v>0.303</x:v>
      </x:c>
      <x:c r="F22" s="26" t="n">
        <x:f>'02_Data_Layanan'!N15*E22</x:f>
        <x:v>94282.995</x:v>
      </x:c>
      <x:c r="G22" s="27" t="n">
        <x:f>'02_Data_Layanan'!O15*E22</x:f>
        <x:v>228825026830.45633</x:v>
      </x:c>
      <x:c r="H22" s="13" t="n">
        <x:f>'03_Parameter'!I23</x:f>
        <x:v>0.8</x:v>
      </x:c>
      <x:c r="I22" s="28" t="n">
        <x:f>'02_Data_Layanan'!H14*H22</x:f>
        <x:v>1352.8000000000002</x:v>
      </x:c>
      <x:c r="J22" s="29" t="n">
        <x:f>'02_Data_Layanan'!I14*H22</x:f>
        <x:v>3041537440</x:v>
      </x:c>
      <x:c r="K22" s="13" t="n">
        <x:f>'03_Parameter'!L23</x:f>
        <x:v>1</x:v>
      </x:c>
      <x:c r="L22" s="28" t="n">
        <x:f>'02_Data_Layanan'!H17*K22</x:f>
        <x:v>828</x:v>
      </x:c>
      <x:c r="M22" s="29" t="n">
        <x:f>'02_Data_Layanan'!I17*K22</x:f>
        <x:v>6180745300</x:v>
      </x:c>
      <x:c r="N22" s="11" t="n">
        <x:f>C22+F22-(I22+L22)</x:f>
        <x:v>132047.695</x:v>
      </x:c>
      <x:c r="O22" s="11" t="n">
        <x:f>$B$6+N22</x:f>
        <x:v>140127.695</x:v>
      </x:c>
      <x:c r="P22" s="30" t="n">
        <x:f>IF($B$6=0,0,N22/$B$6)</x:f>
        <x:v>16.34253650990099</x:v>
      </x:c>
      <x:c r="Q22" s="10" t="n">
        <x:f>D22+G22-(J22+M22)</x:f>
        <x:v>289565077710.6355</x:v>
      </x:c>
      <x:c r="R22" s="10" t="n">
        <x:f>$B$7+Q22</x:f>
        <x:v>308754889310.6355</x:v>
      </x:c>
      <x:c r="S22" s="30" t="n">
        <x:f>IF($B$7=0,0,Q22/$B$7)</x:f>
        <x:v>15.089521655889289</x:v>
      </x:c>
    </x:row>
    <x:row r="23">
      <x:c r="A23" s="25" t="str">
        <x:v>Skenario 5</x:v>
      </x:c>
      <x:c r="B23" s="13" t="n">
        <x:f>'03_Parameter'!G24</x:f>
        <x:v>0.45</x:v>
      </x:c>
      <x:c r="C23" s="26" t="n">
        <x:f>'02_Data_Layanan'!N16*B23</x:f>
        <x:v>51358.5</x:v>
      </x:c>
      <x:c r="D23" s="27" t="n">
        <x:f>'02_Data_Layanan'!O16*B23</x:f>
        <x:v>89951571797.37318</x:v>
      </x:c>
      <x:c r="E23" s="13" t="n">
        <x:f>'03_Parameter'!F24</x:f>
        <x:v>0.40299999999999997</x:v>
      </x:c>
      <x:c r="F23" s="26" t="n">
        <x:f>'02_Data_Layanan'!N15*E23</x:f>
        <x:v>125399.495</x:v>
      </x:c>
      <x:c r="G23" s="27" t="n">
        <x:f>'02_Data_Layanan'!O15*E23</x:f>
        <x:v>304344837665.59045</x:v>
      </x:c>
      <x:c r="H23" s="13" t="n">
        <x:f>'03_Parameter'!I24</x:f>
        <x:v>0.9</x:v>
      </x:c>
      <x:c r="I23" s="28" t="n">
        <x:f>'02_Data_Layanan'!H14*H23</x:f>
        <x:v>1521.9</x:v>
      </x:c>
      <x:c r="J23" s="29" t="n">
        <x:f>'02_Data_Layanan'!I14*H23</x:f>
        <x:v>3421729620</x:v>
      </x:c>
      <x:c r="K23" s="13" t="n">
        <x:f>'03_Parameter'!L24</x:f>
        <x:v>1</x:v>
      </x:c>
      <x:c r="L23" s="28" t="n">
        <x:f>'02_Data_Layanan'!H17*K23</x:f>
        <x:v>828</x:v>
      </x:c>
      <x:c r="M23" s="29" t="n">
        <x:f>'02_Data_Layanan'!I17*K23</x:f>
        <x:v>6180745300</x:v>
      </x:c>
      <x:c r="N23" s="11" t="n">
        <x:f>C23+F23-(I23+L23)</x:f>
        <x:v>174408.095</x:v>
      </x:c>
      <x:c r="O23" s="11" t="n">
        <x:f>$B$6+N23</x:f>
        <x:v>182488.095</x:v>
      </x:c>
      <x:c r="P23" s="30" t="n">
        <x:f>IF($B$6=0,0,N23/$B$6)</x:f>
        <x:v>21.58516027227723</x:v>
      </x:c>
      <x:c r="Q23" s="10" t="n">
        <x:f>D23+G23-(J23+M23)</x:f>
        <x:v>384693934542.9636</x:v>
      </x:c>
      <x:c r="R23" s="10" t="n">
        <x:f>$B$7+Q23</x:f>
        <x:v>403883746142.9636</x:v>
      </x:c>
      <x:c r="S23" s="30" t="n">
        <x:f>IF($B$7=0,0,Q23/$B$7)</x:f>
        <x:v>20.04678016447872</x:v>
      </x:c>
    </x:row>
    <x:row r="24">
      <x:c r="A24" s="25" t="str">
        <x:v>Skenario 6</x:v>
      </x:c>
      <x:c r="B24" s="13" t="n">
        <x:f>'03_Parameter'!G25</x:f>
        <x:v>0.55</x:v>
      </x:c>
      <x:c r="C24" s="26" t="n">
        <x:f>'02_Data_Layanan'!N16*B24</x:f>
        <x:v>62771.50000000001</x:v>
      </x:c>
      <x:c r="D24" s="27" t="n">
        <x:f>'02_Data_Layanan'!O16*B24</x:f>
        <x:v>109940809974.56723</x:v>
      </x:c>
      <x:c r="E24" s="13" t="n">
        <x:f>'03_Parameter'!F25</x:f>
        <x:v>0.503</x:v>
      </x:c>
      <x:c r="F24" s="26" t="n">
        <x:f>'02_Data_Layanan'!N15*E24</x:f>
        <x:v>156515.995</x:v>
      </x:c>
      <x:c r="G24" s="27" t="n">
        <x:f>'02_Data_Layanan'!O15*E24</x:f>
        <x:v>379864648500.72455</x:v>
      </x:c>
      <x:c r="H24" s="13" t="n">
        <x:f>'03_Parameter'!I25</x:f>
        <x:v>1</x:v>
      </x:c>
      <x:c r="I24" s="28" t="n">
        <x:f>'02_Data_Layanan'!H14*H24</x:f>
        <x:v>1691</x:v>
      </x:c>
      <x:c r="J24" s="29" t="n">
        <x:f>'02_Data_Layanan'!I14*H24</x:f>
        <x:v>3801921800</x:v>
      </x:c>
      <x:c r="K24" s="13" t="n">
        <x:f>'03_Parameter'!L25</x:f>
        <x:v>1</x:v>
      </x:c>
      <x:c r="L24" s="28" t="n">
        <x:f>'02_Data_Layanan'!H17*K24</x:f>
        <x:v>828</x:v>
      </x:c>
      <x:c r="M24" s="29" t="n">
        <x:f>'02_Data_Layanan'!I17*K24</x:f>
        <x:v>6180745300</x:v>
      </x:c>
      <x:c r="N24" s="11" t="n">
        <x:f>C24+F24-(I24+L24)</x:f>
        <x:v>216768.495</x:v>
      </x:c>
      <x:c r="O24" s="11" t="n">
        <x:f>$B$6+N24</x:f>
        <x:v>224848.495</x:v>
      </x:c>
      <x:c r="P24" s="30" t="n">
        <x:f>IF($B$6=0,0,N24/$B$6)</x:f>
        <x:v>26.827784034653465</x:v>
      </x:c>
      <x:c r="Q24" s="10" t="n">
        <x:f>D24+G24-(J24+M24)</x:f>
        <x:v>479822791375.29175</x:v>
      </x:c>
      <x:c r="R24" s="10" t="n">
        <x:f>$B$7+Q24</x:f>
        <x:v>499012602975.29175</x:v>
      </x:c>
      <x:c r="S24" s="30" t="n">
        <x:f>IF($B$7=0,0,Q24/$B$7)</x:f>
        <x:v>25.00403867306815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Ibu &amp; Ginekologi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0.006688261739932253</x:v>
      </x:c>
      <x:c r="K5" s="16" t="str">
        <x:v>Setara/lebih tinggi</x:v>
      </x:c>
      <x:c r="L5" s="11" t="n">
        <x:f>'02_Data_Layanan'!Q18</x:f>
        <x:v>8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SUM('02_Data_Layanan'!H18,'02_Data_Layanan'!H19,'02_Data_Layanan'!H20,'02_Data_Layanan'!H21)</x:f>
        <x:v>27998</x:v>
      </x:c>
      <x:c r="C6" s="7" t="str"/>
      <x:c r="D6" s="7" t="str"/>
      <x:c r="E6" s="15" t="str">
        <x:v>Total Kasus</x:v>
      </x:c>
      <x:c r="F6" s="18" t="n">
        <x:f>SUM('02_Data_Layanan'!K18,'02_Data_Layanan'!K19,'02_Data_Layanan'!K20,'02_Data_Layanan'!K21)</x:f>
        <x:v>4186140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Daerah  Arifin Achmad; RS Umum Pusat Dr. Hasan Sadikin; RS Umum Pusat Dr. Kariadi; RS Umum Daerah Dr. Saiful Anwar;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SUM('02_Data_Layanan'!I18,'02_Data_Layanan'!I19,'02_Data_Layanan'!I20,'02_Data_Layanan'!I21)</x:f>
        <x:v>37027035400</x:v>
      </x:c>
      <x:c r="C7" s="7" t="str"/>
      <x:c r="D7" s="7" t="str"/>
      <x:c r="E7" s="15" t="str">
        <x:v>Pendapatan INA</x:v>
      </x:c>
      <x:c r="F7" s="19" t="n">
        <x:f>SUM('02_Data_Layanan'!L18,'02_Data_Layanan'!L19,'02_Data_Layanan'!L20,'02_Data_Layanan'!L21)</x:f>
        <x:v>6100065668610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SUM('02_Data_Layanan'!J18,'02_Data_Layanan'!J19,'02_Data_Layanan'!J20,'02_Data_Layanan'!J21)</x:f>
        <x:v>31751471586.300003</x:v>
      </x:c>
      <x:c r="C8" s="7" t="str"/>
      <x:c r="D8" s="7" t="str"/>
      <x:c r="E8" s="15" t="str">
        <x:v>Pendapatan iDRG</x:v>
      </x:c>
      <x:c r="F8" s="19" t="n">
        <x:f>SUM('02_Data_Layanan'!M18,'02_Data_Layanan'!M19,'02_Data_Layanan'!M20,'02_Data_Layanan'!M21)</x:f>
        <x:v>6533792318473.12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'02_Data_Layanan'!H18</x:f>
        <x:v>9623</x:v>
      </x:c>
      <x:c r="C11" s="21" t="n">
        <x:f>'02_Data_Layanan'!I18</x:f>
        <x:v>8369211100</x:v>
      </x:c>
      <x:c r="D11" s="21" t="n">
        <x:f>'02_Data_Layanan'!J18</x:f>
        <x:v>7295879700.45</x:v>
      </x:c>
      <x:c r="E11" s="20" t="n">
        <x:f>'02_Data_Layanan'!K18</x:f>
        <x:v>2238929</x:v>
      </x:c>
      <x:c r="F11" s="21" t="n">
        <x:f>'02_Data_Layanan'!L18</x:f>
        <x:v>2499524734000</x:v>
      </x:c>
      <x:c r="G11" s="21" t="n">
        <x:f>'02_Data_Layanan'!M18</x:f>
        <x:v>2648520013868.5444</x:v>
      </x:c>
      <x:c r="H11" s="20" t="n">
        <x:f>'02_Data_Layanan'!N18</x:f>
        <x:v>2229306</x:v>
      </x:c>
      <x:c r="I11" s="21" t="n">
        <x:f>'02_Data_Layanan'!O18</x:f>
        <x:v>2641224134168.094</x:v>
      </x:c>
      <x:c r="J11" s="20" t="n">
        <x:f>'02_Data_Layanan'!P18</x:f>
        <x:v>763</x:v>
      </x:c>
    </x:row>
    <x:row r="12">
      <x:c r="A12" s="5" t="str">
        <x:v>Madya</x:v>
      </x:c>
      <x:c r="B12" s="20" t="n">
        <x:f>'02_Data_Layanan'!H19</x:f>
        <x:v>14384</x:v>
      </x:c>
      <x:c r="C12" s="21" t="n">
        <x:f>'02_Data_Layanan'!I19</x:f>
        <x:v>12461584900</x:v>
      </x:c>
      <x:c r="D12" s="21" t="n">
        <x:f>'02_Data_Layanan'!J19</x:f>
        <x:v>10848018023.41</x:v>
      </x:c>
      <x:c r="E12" s="20" t="n">
        <x:f>'02_Data_Layanan'!K19</x:f>
        <x:v>1651043</x:v>
      </x:c>
      <x:c r="F12" s="21" t="n">
        <x:f>'02_Data_Layanan'!L19</x:f>
        <x:v>2565906882410</x:v>
      </x:c>
      <x:c r="G12" s="21" t="n">
        <x:f>'02_Data_Layanan'!M19</x:f>
        <x:v>2765633100468.6265</x:v>
      </x:c>
      <x:c r="H12" s="20" t="n">
        <x:f>'02_Data_Layanan'!N19</x:f>
        <x:v>1636659</x:v>
      </x:c>
      <x:c r="I12" s="21" t="n">
        <x:f>'02_Data_Layanan'!O19</x:f>
        <x:v>2754785082445.2163</x:v>
      </x:c>
      <x:c r="J12" s="20" t="n">
        <x:f>'02_Data_Layanan'!P19</x:f>
        <x:v>504</x:v>
      </x:c>
    </x:row>
    <x:row r="13">
      <x:c r="A13" s="5" t="str">
        <x:v>Utama</x:v>
      </x:c>
      <x:c r="B13" s="20" t="n">
        <x:f>'02_Data_Layanan'!H20</x:f>
        <x:v>3808</x:v>
      </x:c>
      <x:c r="C13" s="21" t="n">
        <x:f>'02_Data_Layanan'!I20</x:f>
        <x:v>15278526300</x:v>
      </x:c>
      <x:c r="D13" s="21" t="n">
        <x:f>'02_Data_Layanan'!J20</x:f>
        <x:v>12888686310.61</x:v>
      </x:c>
      <x:c r="E13" s="20" t="n">
        <x:f>'02_Data_Layanan'!K20</x:f>
        <x:v>270184</x:v>
      </x:c>
      <x:c r="F13" s="21" t="n">
        <x:f>'02_Data_Layanan'!L20</x:f>
        <x:v>927835887600</x:v>
      </x:c>
      <x:c r="G13" s="21" t="n">
        <x:f>'02_Data_Layanan'!M20</x:f>
        <x:v>1012408755645.0297</x:v>
      </x:c>
      <x:c r="H13" s="20" t="n">
        <x:f>'02_Data_Layanan'!N20</x:f>
        <x:v>266376</x:v>
      </x:c>
      <x:c r="I13" s="21" t="n">
        <x:f>'02_Data_Layanan'!O20</x:f>
        <x:v>999520069334.4197</x:v>
      </x:c>
      <x:c r="J13" s="20" t="n">
        <x:f>'02_Data_Layanan'!P20</x:f>
        <x:v>14</x:v>
      </x:c>
    </x:row>
    <x:row r="14">
      <x:c r="A14" s="5" t="str">
        <x:v>Paripurna</x:v>
      </x:c>
      <x:c r="B14" s="20" t="n">
        <x:f>'02_Data_Layanan'!H21</x:f>
        <x:v>183</x:v>
      </x:c>
      <x:c r="C14" s="21" t="n">
        <x:f>'02_Data_Layanan'!I21</x:f>
        <x:v>917713100</x:v>
      </x:c>
      <x:c r="D14" s="21" t="n">
        <x:f>'02_Data_Layanan'!J21</x:f>
        <x:v>718887551.83</x:v>
      </x:c>
      <x:c r="E14" s="20" t="n">
        <x:f>'02_Data_Layanan'!K21</x:f>
        <x:v>25984</x:v>
      </x:c>
      <x:c r="F14" s="21" t="n">
        <x:f>'02_Data_Layanan'!L21</x:f>
        <x:v>106798164600</x:v>
      </x:c>
      <x:c r="G14" s="21" t="n">
        <x:f>'02_Data_Layanan'!M21</x:f>
        <x:v>107230448490.91997</x:v>
      </x:c>
      <x:c r="H14" s="20" t="n">
        <x:f>'02_Data_Layanan'!N21</x:f>
        <x:v>25801</x:v>
      </x:c>
      <x:c r="I14" s="21" t="n">
        <x:f>'02_Data_Layanan'!O21</x:f>
        <x:v>106511560939.08997</x:v>
      </x:c>
      <x:c r="J14" s="20" t="n">
        <x:f>'02_Data_Layanan'!P21</x:f>
        <x:v>8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'03_Parameter'!H26</x:f>
        <x:v>0.111</x:v>
      </x:c>
      <x:c r="C19" s="26" t="n">
        <x:f>'02_Data_Layanan'!N21*B19</x:f>
        <x:v>2863.911</x:v>
      </x:c>
      <x:c r="D19" s="27" t="n">
        <x:f>'02_Data_Layanan'!O21*B19</x:f>
        <x:v>11822783264.238987</x:v>
      </x:c>
      <x:c r="E19" s="13" t="n">
        <x:f>'03_Parameter'!G26</x:f>
        <x:v>0.043</x:v>
      </x:c>
      <x:c r="F19" s="26" t="n">
        <x:f>'02_Data_Layanan'!N20*E19</x:f>
        <x:v>11454.168</x:v>
      </x:c>
      <x:c r="G19" s="27" t="n">
        <x:f>'02_Data_Layanan'!O20*E19</x:f>
        <x:v>42979362981.38004</x:v>
      </x:c>
      <x:c r="H19" s="13" t="n">
        <x:f>'03_Parameter'!I26</x:f>
        <x:v>0.5</x:v>
      </x:c>
      <x:c r="I19" s="28" t="n">
        <x:f>'02_Data_Layanan'!H18*H19</x:f>
        <x:v>4811.5</x:v>
      </x:c>
      <x:c r="J19" s="29" t="n">
        <x:f>'02_Data_Layanan'!I18*H19</x:f>
        <x:v>4184605550</x:v>
      </x:c>
      <x:c r="K19" s="13" t="n">
        <x:f>'03_Parameter'!J26</x:f>
        <x:v>0.5</x:v>
      </x:c>
      <x:c r="L19" s="28" t="n">
        <x:f>'02_Data_Layanan'!H19*K19</x:f>
        <x:v>7192</x:v>
      </x:c>
      <x:c r="M19" s="29" t="n">
        <x:f>'02_Data_Layanan'!I19*K19</x:f>
        <x:v>6230792450</x:v>
      </x:c>
      <x:c r="N19" s="11" t="n">
        <x:f>C19+F19-(I19+L19)</x:f>
        <x:v>2314.5789999999997</x:v>
      </x:c>
      <x:c r="O19" s="11" t="n">
        <x:f>$B$6+N19</x:f>
        <x:v>30312.578999999998</x:v>
      </x:c>
      <x:c r="P19" s="30" t="n">
        <x:f>IF($B$6=0,0,N19/$B$6)</x:f>
        <x:v>0.08266944067433388</x:v>
      </x:c>
      <x:c r="Q19" s="10" t="n">
        <x:f>D19+G19-(J19+M19)</x:f>
        <x:v>44386748245.61903</x:v>
      </x:c>
      <x:c r="R19" s="10" t="n">
        <x:f>$B$7+Q19</x:f>
        <x:v>81413783645.61903</x:v>
      </x:c>
      <x:c r="S19" s="30" t="n">
        <x:f>IF($B$7=0,0,Q19/$B$7)</x:f>
        <x:v>1.1987659224162202</x:v>
      </x:c>
    </x:row>
    <x:row r="20">
      <x:c r="A20" s="25" t="str">
        <x:v>Skenario 2</x:v>
      </x:c>
      <x:c r="B20" s="13" t="n">
        <x:f>'03_Parameter'!H27</x:f>
        <x:v>0.21100000000000002</x:v>
      </x:c>
      <x:c r="C20" s="26" t="n">
        <x:f>'02_Data_Layanan'!N21*B20</x:f>
        <x:v>5444.011</x:v>
      </x:c>
      <x:c r="D20" s="27" t="n">
        <x:f>'02_Data_Layanan'!O21*B20</x:f>
        <x:v>22473939358.147984</x:v>
      </x:c>
      <x:c r="E20" s="13" t="n">
        <x:f>'03_Parameter'!G27</x:f>
        <x:v>0.14300000000000002</x:v>
      </x:c>
      <x:c r="F20" s="26" t="n">
        <x:f>'02_Data_Layanan'!N20*E20</x:f>
        <x:v>38091.768000000004</x:v>
      </x:c>
      <x:c r="G20" s="27" t="n">
        <x:f>'02_Data_Layanan'!O20*E20</x:f>
        <x:v>142931369914.82202</x:v>
      </x:c>
      <x:c r="H20" s="13" t="n">
        <x:f>'03_Parameter'!I27</x:f>
        <x:v>0.6</x:v>
      </x:c>
      <x:c r="I20" s="28" t="n">
        <x:f>'02_Data_Layanan'!H18*H20</x:f>
        <x:v>5773.8</x:v>
      </x:c>
      <x:c r="J20" s="29" t="n">
        <x:f>'02_Data_Layanan'!I18*H20</x:f>
        <x:v>5021526660</x:v>
      </x:c>
      <x:c r="K20" s="13" t="n">
        <x:f>'03_Parameter'!J27</x:f>
        <x:v>0.6</x:v>
      </x:c>
      <x:c r="L20" s="28" t="n">
        <x:f>'02_Data_Layanan'!H19*K20</x:f>
        <x:v>8630.4</x:v>
      </x:c>
      <x:c r="M20" s="29" t="n">
        <x:f>'02_Data_Layanan'!I19*K20</x:f>
        <x:v>7476950940</x:v>
      </x:c>
      <x:c r="N20" s="11" t="n">
        <x:f>C20+F20-(I20+L20)</x:f>
        <x:v>29131.579</x:v>
      </x:c>
      <x:c r="O20" s="11" t="n">
        <x:f>$B$6+N20</x:f>
        <x:v>57129.579</x:v>
      </x:c>
      <x:c r="P20" s="30" t="n">
        <x:f>IF($B$6=0,0,N20/$B$6)</x:f>
        <x:v>1.0404878562754483</x:v>
      </x:c>
      <x:c r="Q20" s="10" t="n">
        <x:f>D20+G20-(J20+M20)</x:f>
        <x:v>152906831672.97</x:v>
      </x:c>
      <x:c r="R20" s="10" t="n">
        <x:f>$B$7+Q20</x:f>
        <x:v>189933867072.97</x:v>
      </x:c>
      <x:c r="S20" s="30" t="n">
        <x:f>IF($B$7=0,0,Q20/$B$7)</x:f>
        <x:v>4.129599629598485</x:v>
      </x:c>
    </x:row>
    <x:row r="21">
      <x:c r="A21" s="25" t="str">
        <x:v>Skenario 3</x:v>
      </x:c>
      <x:c r="B21" s="13" t="n">
        <x:f>'03_Parameter'!H28</x:f>
        <x:v>0.311</x:v>
      </x:c>
      <x:c r="C21" s="26" t="n">
        <x:f>'02_Data_Layanan'!N21*B21</x:f>
        <x:v>8024.111</x:v>
      </x:c>
      <x:c r="D21" s="27" t="n">
        <x:f>'02_Data_Layanan'!O21*B21</x:f>
        <x:v>33125095452.05698</x:v>
      </x:c>
      <x:c r="E21" s="13" t="n">
        <x:f>'03_Parameter'!G28</x:f>
        <x:v>0.243</x:v>
      </x:c>
      <x:c r="F21" s="26" t="n">
        <x:f>'02_Data_Layanan'!N20*E21</x:f>
        <x:v>64729.367999999995</x:v>
      </x:c>
      <x:c r="G21" s="27" t="n">
        <x:f>'02_Data_Layanan'!O20*E21</x:f>
        <x:v>242883376848.26398</x:v>
      </x:c>
      <x:c r="H21" s="13" t="n">
        <x:f>'03_Parameter'!I28</x:f>
        <x:v>0.7</x:v>
      </x:c>
      <x:c r="I21" s="28" t="n">
        <x:f>'02_Data_Layanan'!H18*H21</x:f>
        <x:v>6736.099999999999</x:v>
      </x:c>
      <x:c r="J21" s="29" t="n">
        <x:f>'02_Data_Layanan'!I18*H21</x:f>
        <x:v>5858447770</x:v>
      </x:c>
      <x:c r="K21" s="13" t="n">
        <x:f>'03_Parameter'!J28</x:f>
        <x:v>0.7</x:v>
      </x:c>
      <x:c r="L21" s="28" t="n">
        <x:f>'02_Data_Layanan'!H19*K21</x:f>
        <x:v>10068.8</x:v>
      </x:c>
      <x:c r="M21" s="29" t="n">
        <x:f>'02_Data_Layanan'!I19*K21</x:f>
        <x:v>8723109430</x:v>
      </x:c>
      <x:c r="N21" s="11" t="n">
        <x:f>C21+F21-(I21+L21)</x:f>
        <x:v>55948.579</x:v>
      </x:c>
      <x:c r="O21" s="11" t="n">
        <x:f>$B$6+N21</x:f>
        <x:v>83946.579</x:v>
      </x:c>
      <x:c r="P21" s="30" t="n">
        <x:f>IF($B$6=0,0,N21/$B$6)</x:f>
        <x:v>1.9983062718765625</x:v>
      </x:c>
      <x:c r="Q21" s="10" t="n">
        <x:f>D21+G21-(J21+M21)</x:f>
        <x:v>261426915100.32098</x:v>
      </x:c>
      <x:c r="R21" s="10" t="n">
        <x:f>$B$7+Q21</x:f>
        <x:v>298453950500.321</x:v>
      </x:c>
      <x:c r="S21" s="30" t="n">
        <x:f>IF($B$7=0,0,Q21/$B$7)</x:f>
        <x:v>7.060433336780751</x:v>
      </x:c>
    </x:row>
    <x:row r="22">
      <x:c r="A22" s="25" t="str">
        <x:v>Skenario 4</x:v>
      </x:c>
      <x:c r="B22" s="13" t="n">
        <x:f>'03_Parameter'!H29</x:f>
        <x:v>0.41100000000000003</x:v>
      </x:c>
      <x:c r="C22" s="26" t="n">
        <x:f>'02_Data_Layanan'!N21*B22</x:f>
        <x:v>10604.211000000001</x:v>
      </x:c>
      <x:c r="D22" s="27" t="n">
        <x:f>'02_Data_Layanan'!O21*B22</x:f>
        <x:v>43776251545.96598</x:v>
      </x:c>
      <x:c r="E22" s="13" t="n">
        <x:f>'03_Parameter'!G29</x:f>
        <x:v>0.34299999999999997</x:v>
      </x:c>
      <x:c r="F22" s="26" t="n">
        <x:f>'02_Data_Layanan'!N20*E22</x:f>
        <x:v>91366.968</x:v>
      </x:c>
      <x:c r="G22" s="27" t="n">
        <x:f>'02_Data_Layanan'!O20*E22</x:f>
        <x:v>342835383781.70593</x:v>
      </x:c>
      <x:c r="H22" s="13" t="n">
        <x:f>'03_Parameter'!I29</x:f>
        <x:v>0.8</x:v>
      </x:c>
      <x:c r="I22" s="28" t="n">
        <x:f>'02_Data_Layanan'!H18*H22</x:f>
        <x:v>7698.400000000001</x:v>
      </x:c>
      <x:c r="J22" s="29" t="n">
        <x:f>'02_Data_Layanan'!I18*H22</x:f>
        <x:v>6695368880</x:v>
      </x:c>
      <x:c r="K22" s="13" t="n">
        <x:f>'03_Parameter'!J29</x:f>
        <x:v>0.8</x:v>
      </x:c>
      <x:c r="L22" s="28" t="n">
        <x:f>'02_Data_Layanan'!H19*K22</x:f>
        <x:v>11507.2</x:v>
      </x:c>
      <x:c r="M22" s="29" t="n">
        <x:f>'02_Data_Layanan'!I19*K22</x:f>
        <x:v>9969267920</x:v>
      </x:c>
      <x:c r="N22" s="11" t="n">
        <x:f>C22+F22-(I22+L22)</x:f>
        <x:v>82765.57899999998</x:v>
      </x:c>
      <x:c r="O22" s="11" t="n">
        <x:f>$B$6+N22</x:f>
        <x:v>110763.57899999998</x:v>
      </x:c>
      <x:c r="P22" s="30" t="n">
        <x:f>IF($B$6=0,0,N22/$B$6)</x:f>
        <x:v>2.9561246874776765</x:v>
      </x:c>
      <x:c r="Q22" s="10" t="n">
        <x:f>D22+G22-(J22+M22)</x:f>
        <x:v>369946998527.67194</x:v>
      </x:c>
      <x:c r="R22" s="10" t="n">
        <x:f>$B$7+Q22</x:f>
        <x:v>406974033927.67194</x:v>
      </x:c>
      <x:c r="S22" s="30" t="n">
        <x:f>IF($B$7=0,0,Q22/$B$7)</x:f>
        <x:v>9.991267043963015</x:v>
      </x:c>
    </x:row>
    <x:row r="23">
      <x:c r="A23" s="25" t="str">
        <x:v>Skenario 5</x:v>
      </x:c>
      <x:c r="B23" s="13" t="n">
        <x:f>'03_Parameter'!H30</x:f>
        <x:v>0.511</x:v>
      </x:c>
      <x:c r="C23" s="26" t="n">
        <x:f>'02_Data_Layanan'!N21*B23</x:f>
        <x:v>13184.311</x:v>
      </x:c>
      <x:c r="D23" s="27" t="n">
        <x:f>'02_Data_Layanan'!O21*B23</x:f>
        <x:v>54427407639.87498</x:v>
      </x:c>
      <x:c r="E23" s="13" t="n">
        <x:f>'03_Parameter'!G30</x:f>
        <x:v>0.44299999999999995</x:v>
      </x:c>
      <x:c r="F23" s="26" t="n">
        <x:f>'02_Data_Layanan'!N20*E23</x:f>
        <x:v>118004.56799999998</x:v>
      </x:c>
      <x:c r="G23" s="27" t="n">
        <x:f>'02_Data_Layanan'!O20*E23</x:f>
        <x:v>442787390715.1479</x:v>
      </x:c>
      <x:c r="H23" s="13" t="n">
        <x:f>'03_Parameter'!I30</x:f>
        <x:v>0.9</x:v>
      </x:c>
      <x:c r="I23" s="28" t="n">
        <x:f>'02_Data_Layanan'!H18*H23</x:f>
        <x:v>8660.7</x:v>
      </x:c>
      <x:c r="J23" s="29" t="n">
        <x:f>'02_Data_Layanan'!I18*H23</x:f>
        <x:v>7532289990</x:v>
      </x:c>
      <x:c r="K23" s="13" t="n">
        <x:f>'03_Parameter'!J30</x:f>
        <x:v>0.9</x:v>
      </x:c>
      <x:c r="L23" s="28" t="n">
        <x:f>'02_Data_Layanan'!H19*K23</x:f>
        <x:v>12945.6</x:v>
      </x:c>
      <x:c r="M23" s="29" t="n">
        <x:f>'02_Data_Layanan'!I19*K23</x:f>
        <x:v>11215426410</x:v>
      </x:c>
      <x:c r="N23" s="11" t="n">
        <x:f>C23+F23-(I23+L23)</x:f>
        <x:v>109582.57899999998</x:v>
      </x:c>
      <x:c r="O23" s="11" t="n">
        <x:f>$B$6+N23</x:f>
        <x:v>137580.57899999997</x:v>
      </x:c>
      <x:c r="P23" s="30" t="n">
        <x:f>IF($B$6=0,0,N23/$B$6)</x:f>
        <x:v>3.9139431030787906</x:v>
      </x:c>
      <x:c r="Q23" s="10" t="n">
        <x:f>D23+G23-(J23+M23)</x:f>
        <x:v>478467081955.0229</x:v>
      </x:c>
      <x:c r="R23" s="10" t="n">
        <x:f>$B$7+Q23</x:f>
        <x:v>515494117355.0229</x:v>
      </x:c>
      <x:c r="S23" s="30" t="n">
        <x:f>IF($B$7=0,0,Q23/$B$7)</x:f>
        <x:v>12.92210075114528</x:v>
      </x:c>
    </x:row>
    <x:row r="24">
      <x:c r="A24" s="25" t="str">
        <x:v>Skenario 6</x:v>
      </x:c>
      <x:c r="B24" s="13" t="n">
        <x:f>'03_Parameter'!H31</x:f>
        <x:v>0.611</x:v>
      </x:c>
      <x:c r="C24" s="26" t="n">
        <x:f>'02_Data_Layanan'!N21*B24</x:f>
        <x:v>15764.411</x:v>
      </x:c>
      <x:c r="D24" s="27" t="n">
        <x:f>'02_Data_Layanan'!O21*B24</x:f>
        <x:v>65078563733.783966</x:v>
      </x:c>
      <x:c r="E24" s="13" t="n">
        <x:f>'03_Parameter'!G31</x:f>
        <x:v>0.5429999999999999</x:v>
      </x:c>
      <x:c r="F24" s="26" t="n">
        <x:f>'02_Data_Layanan'!N20*E24</x:f>
        <x:v>144642.16799999998</x:v>
      </x:c>
      <x:c r="G24" s="27" t="n">
        <x:f>'02_Data_Layanan'!O20*E24</x:f>
        <x:v>542739397648.5898</x:v>
      </x:c>
      <x:c r="H24" s="13" t="n">
        <x:f>'03_Parameter'!I31</x:f>
        <x:v>1</x:v>
      </x:c>
      <x:c r="I24" s="28" t="n">
        <x:f>'02_Data_Layanan'!H18*H24</x:f>
        <x:v>9623</x:v>
      </x:c>
      <x:c r="J24" s="29" t="n">
        <x:f>'02_Data_Layanan'!I18*H24</x:f>
        <x:v>8369211100</x:v>
      </x:c>
      <x:c r="K24" s="13" t="n">
        <x:f>'03_Parameter'!J31</x:f>
        <x:v>1</x:v>
      </x:c>
      <x:c r="L24" s="28" t="n">
        <x:f>'02_Data_Layanan'!H19*K24</x:f>
        <x:v>14384</x:v>
      </x:c>
      <x:c r="M24" s="29" t="n">
        <x:f>'02_Data_Layanan'!I19*K24</x:f>
        <x:v>12461584900</x:v>
      </x:c>
      <x:c r="N24" s="11" t="n">
        <x:f>C24+F24-(I24+L24)</x:f>
        <x:v>136399.57899999997</x:v>
      </x:c>
      <x:c r="O24" s="11" t="n">
        <x:f>$B$6+N24</x:f>
        <x:v>164397.57899999997</x:v>
      </x:c>
      <x:c r="P24" s="30" t="n">
        <x:f>IF($B$6=0,0,N24/$B$6)</x:f>
        <x:v>4.871761518679905</x:v>
      </x:c>
      <x:c r="Q24" s="10" t="n">
        <x:f>D24+G24-(J24+M24)</x:f>
        <x:v>586987165382.3738</x:v>
      </x:c>
      <x:c r="R24" s="10" t="n">
        <x:f>$B$7+Q24</x:f>
        <x:v>624014200782.3738</x:v>
      </x:c>
      <x:c r="S24" s="30" t="n">
        <x:f>IF($B$7=0,0,Q24/$B$7)</x:f>
        <x:v>15.852934458327544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Infeksi &amp; Parasit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0.001528131089817256</x:v>
      </x:c>
      <x:c r="K5" s="16" t="str">
        <x:v>Setara/lebih tinggi</x:v>
      </x:c>
      <x:c r="L5" s="11" t="n">
        <x:f>'02_Data_Layanan'!Q22</x:f>
        <x:v>6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SUM('02_Data_Layanan'!H22,'02_Data_Layanan'!H23,'02_Data_Layanan'!H24,'02_Data_Layanan'!H25)</x:f>
        <x:v>2347</x:v>
      </x:c>
      <x:c r="C6" s="7" t="str"/>
      <x:c r="D6" s="7" t="str"/>
      <x:c r="E6" s="15" t="str">
        <x:v>Total Kasus</x:v>
      </x:c>
      <x:c r="F6" s="18" t="n">
        <x:f>SUM('02_Data_Layanan'!K22,'02_Data_Layanan'!K23,'02_Data_Layanan'!K24,'02_Data_Layanan'!K25)</x:f>
        <x:v>1535863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Sadikin; RS Umum Pusat Dr. Kariadi; RS Umum Daerah Dr. Saiful Anwar;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SUM('02_Data_Layanan'!I22,'02_Data_Layanan'!I23,'02_Data_Layanan'!I24,'02_Data_Layanan'!I25)</x:f>
        <x:v>7019106600</x:v>
      </x:c>
      <x:c r="C7" s="7" t="str"/>
      <x:c r="D7" s="7" t="str"/>
      <x:c r="E7" s="15" t="str">
        <x:v>Pendapatan INA</x:v>
      </x:c>
      <x:c r="F7" s="19" t="n">
        <x:f>SUM('02_Data_Layanan'!L22,'02_Data_Layanan'!L23,'02_Data_Layanan'!L24,'02_Data_Layanan'!L25)</x:f>
        <x:v>2035421209480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SUM('02_Data_Layanan'!J22,'02_Data_Layanan'!J23,'02_Data_Layanan'!J24,'02_Data_Layanan'!J25)</x:f>
        <x:v>4708750598.59</x:v>
      </x:c>
      <x:c r="C8" s="7" t="str"/>
      <x:c r="D8" s="7" t="str"/>
      <x:c r="E8" s="15" t="str">
        <x:v>Pendapatan iDRG</x:v>
      </x:c>
      <x:c r="F8" s="19" t="n">
        <x:f>SUM('02_Data_Layanan'!M22,'02_Data_Layanan'!M23,'02_Data_Layanan'!M24,'02_Data_Layanan'!M25)</x:f>
        <x:v>2303387466346.0806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'02_Data_Layanan'!H22</x:f>
        <x:v>1120</x:v>
      </x:c>
      <x:c r="C11" s="21" t="n">
        <x:f>'02_Data_Layanan'!I22</x:f>
        <x:v>1348518900</x:v>
      </x:c>
      <x:c r="D11" s="21" t="n">
        <x:f>'02_Data_Layanan'!J22</x:f>
        <x:v>1033395153.1</x:v>
      </x:c>
      <x:c r="E11" s="20" t="n">
        <x:f>'02_Data_Layanan'!K22</x:f>
        <x:v>579791</x:v>
      </x:c>
      <x:c r="F11" s="21" t="n">
        <x:f>'02_Data_Layanan'!L22</x:f>
        <x:v>369844335400</x:v>
      </x:c>
      <x:c r="G11" s="21" t="n">
        <x:f>'02_Data_Layanan'!M22</x:f>
        <x:v>434765878045.79034</x:v>
      </x:c>
      <x:c r="H11" s="20" t="n">
        <x:f>'02_Data_Layanan'!N22</x:f>
        <x:v>578671</x:v>
      </x:c>
      <x:c r="I11" s="21" t="n">
        <x:f>'02_Data_Layanan'!O22</x:f>
        <x:v>433732482892.69037</x:v>
      </x:c>
      <x:c r="J11" s="20" t="n">
        <x:f>'02_Data_Layanan'!P22</x:f>
        <x:v>558</x:v>
      </x:c>
    </x:row>
    <x:row r="12">
      <x:c r="A12" s="5" t="str">
        <x:v>Madya</x:v>
      </x:c>
      <x:c r="B12" s="20" t="n">
        <x:f>'02_Data_Layanan'!H23</x:f>
        <x:v>774</x:v>
      </x:c>
      <x:c r="C12" s="21" t="n">
        <x:f>'02_Data_Layanan'!I23</x:f>
        <x:v>2334518500</x:v>
      </x:c>
      <x:c r="D12" s="21" t="n">
        <x:f>'02_Data_Layanan'!J23</x:f>
        <x:v>1237429693.3600001</x:v>
      </x:c>
      <x:c r="E12" s="20" t="n">
        <x:f>'02_Data_Layanan'!K23</x:f>
        <x:v>760109</x:v>
      </x:c>
      <x:c r="F12" s="21" t="n">
        <x:f>'02_Data_Layanan'!L23</x:f>
        <x:v>1334849829380</x:v>
      </x:c>
      <x:c r="G12" s="21" t="n">
        <x:f>'02_Data_Layanan'!M23</x:f>
        <x:v>1506266505488.8406</x:v>
      </x:c>
      <x:c r="H12" s="20" t="n">
        <x:f>'02_Data_Layanan'!N23</x:f>
        <x:v>759335</x:v>
      </x:c>
      <x:c r="I12" s="21" t="n">
        <x:f>'02_Data_Layanan'!O23</x:f>
        <x:v>1505029075795.4805</x:v>
      </x:c>
      <x:c r="J12" s="20" t="n">
        <x:f>'02_Data_Layanan'!P23</x:f>
        <x:v>642</x:v>
      </x:c>
    </x:row>
    <x:row r="13">
      <x:c r="A13" s="5" t="str">
        <x:v>Utama</x:v>
      </x:c>
      <x:c r="B13" s="20" t="n">
        <x:f>'02_Data_Layanan'!H24</x:f>
        <x:v>389</x:v>
      </x:c>
      <x:c r="C13" s="21" t="n">
        <x:f>'02_Data_Layanan'!I24</x:f>
        <x:v>2650123400</x:v>
      </x:c>
      <x:c r="D13" s="21" t="n">
        <x:f>'02_Data_Layanan'!J24</x:f>
        <x:v>1985161219.0800002</x:v>
      </x:c>
      <x:c r="E13" s="20" t="n">
        <x:f>'02_Data_Layanan'!K24</x:f>
        <x:v>150041</x:v>
      </x:c>
      <x:c r="F13" s="21" t="n">
        <x:f>'02_Data_Layanan'!L24</x:f>
        <x:v>242854781900</x:v>
      </x:c>
      <x:c r="G13" s="21" t="n">
        <x:f>'02_Data_Layanan'!M24</x:f>
        <x:v>264632243339.25003</x:v>
      </x:c>
      <x:c r="H13" s="20" t="n">
        <x:f>'02_Data_Layanan'!N24</x:f>
        <x:v>149652</x:v>
      </x:c>
      <x:c r="I13" s="21" t="n">
        <x:f>'02_Data_Layanan'!O24</x:f>
        <x:v>262647082120.17004</x:v>
      </x:c>
      <x:c r="J13" s="20" t="n">
        <x:f>'02_Data_Layanan'!P24</x:f>
        <x:v>4</x:v>
      </x:c>
    </x:row>
    <x:row r="14">
      <x:c r="A14" s="5" t="str">
        <x:v>Paripurna</x:v>
      </x:c>
      <x:c r="B14" s="20" t="n">
        <x:f>'02_Data_Layanan'!H25</x:f>
        <x:v>64</x:v>
      </x:c>
      <x:c r="C14" s="21" t="n">
        <x:f>'02_Data_Layanan'!I25</x:f>
        <x:v>685945800</x:v>
      </x:c>
      <x:c r="D14" s="21" t="n">
        <x:f>'02_Data_Layanan'!J25</x:f>
        <x:v>452764533.05</x:v>
      </x:c>
      <x:c r="E14" s="20" t="n">
        <x:f>'02_Data_Layanan'!K25</x:f>
        <x:v>45922</x:v>
      </x:c>
      <x:c r="F14" s="21" t="n">
        <x:f>'02_Data_Layanan'!L25</x:f>
        <x:v>87872262800</x:v>
      </x:c>
      <x:c r="G14" s="21" t="n">
        <x:f>'02_Data_Layanan'!M25</x:f>
        <x:v>97722839472.1998</x:v>
      </x:c>
      <x:c r="H14" s="20" t="n">
        <x:f>'02_Data_Layanan'!N25</x:f>
        <x:v>45858</x:v>
      </x:c>
      <x:c r="I14" s="21" t="n">
        <x:f>'02_Data_Layanan'!O25</x:f>
        <x:v>97270074939.1498</x:v>
      </x:c>
      <x:c r="J14" s="20" t="n">
        <x:f>'02_Data_Layanan'!P25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'03_Parameter'!H32</x:f>
        <x:v>0.14300000000000002</x:v>
      </x:c>
      <x:c r="C19" s="26" t="n">
        <x:f>'02_Data_Layanan'!N25*B19</x:f>
        <x:v>6557.694</x:v>
      </x:c>
      <x:c r="D19" s="27" t="n">
        <x:f>'02_Data_Layanan'!O25*B19</x:f>
        <x:v>13909620716.298422</x:v>
      </x:c>
      <x:c r="E19" s="13" t="n">
        <x:f>'03_Parameter'!G32</x:f>
        <x:v>0.091</x:v>
      </x:c>
      <x:c r="F19" s="26" t="n">
        <x:f>'02_Data_Layanan'!N24*E19</x:f>
        <x:v>13618.332</x:v>
      </x:c>
      <x:c r="G19" s="27" t="n">
        <x:f>'02_Data_Layanan'!O24*E19</x:f>
        <x:v>23900884472.935474</x:v>
      </x:c>
      <x:c r="H19" s="13" t="n">
        <x:f>'03_Parameter'!I32</x:f>
        <x:v>0.5</x:v>
      </x:c>
      <x:c r="I19" s="28" t="n">
        <x:f>'02_Data_Layanan'!H22*H19</x:f>
        <x:v>560</x:v>
      </x:c>
      <x:c r="J19" s="29" t="n">
        <x:f>'02_Data_Layanan'!I22*H19</x:f>
        <x:v>674259450</x:v>
      </x:c>
      <x:c r="K19" s="13" t="n">
        <x:f>'03_Parameter'!J32</x:f>
        <x:v>0.5</x:v>
      </x:c>
      <x:c r="L19" s="28" t="n">
        <x:f>'02_Data_Layanan'!H23*K19</x:f>
        <x:v>387</x:v>
      </x:c>
      <x:c r="M19" s="29" t="n">
        <x:f>'02_Data_Layanan'!I23*K19</x:f>
        <x:v>1167259250</x:v>
      </x:c>
      <x:c r="N19" s="11" t="n">
        <x:f>C19+F19-(I19+L19)</x:f>
        <x:v>19229.026</x:v>
      </x:c>
      <x:c r="O19" s="11" t="n">
        <x:f>$B$6+N19</x:f>
        <x:v>21576.026</x:v>
      </x:c>
      <x:c r="P19" s="30" t="n">
        <x:f>IF($B$6=0,0,N19/$B$6)</x:f>
        <x:v>8.193023434171284</x:v>
      </x:c>
      <x:c r="Q19" s="10" t="n">
        <x:f>D19+G19-(J19+M19)</x:f>
        <x:v>35968986489.233894</x:v>
      </x:c>
      <x:c r="R19" s="10" t="n">
        <x:f>$B$7+Q19</x:f>
        <x:v>42988093089.233894</x:v>
      </x:c>
      <x:c r="S19" s="30" t="n">
        <x:f>IF($B$7=0,0,Q19/$B$7)</x:f>
        <x:v>5.124439410741232</x:v>
      </x:c>
    </x:row>
    <x:row r="20">
      <x:c r="A20" s="25" t="str">
        <x:v>Skenario 2</x:v>
      </x:c>
      <x:c r="B20" s="13" t="n">
        <x:f>'03_Parameter'!H33</x:f>
        <x:v>0.243</x:v>
      </x:c>
      <x:c r="C20" s="26" t="n">
        <x:f>'02_Data_Layanan'!N25*B20</x:f>
        <x:v>11143.494</x:v>
      </x:c>
      <x:c r="D20" s="27" t="n">
        <x:f>'02_Data_Layanan'!O25*B20</x:f>
        <x:v>23636628210.213398</x:v>
      </x:c>
      <x:c r="E20" s="13" t="n">
        <x:f>'03_Parameter'!G33</x:f>
        <x:v>0.191</x:v>
      </x:c>
      <x:c r="F20" s="26" t="n">
        <x:f>'02_Data_Layanan'!N24*E20</x:f>
        <x:v>28583.532</x:v>
      </x:c>
      <x:c r="G20" s="27" t="n">
        <x:f>'02_Data_Layanan'!O24*E20</x:f>
        <x:v>50165592684.95248</x:v>
      </x:c>
      <x:c r="H20" s="13" t="n">
        <x:f>'03_Parameter'!I33</x:f>
        <x:v>0.6</x:v>
      </x:c>
      <x:c r="I20" s="28" t="n">
        <x:f>'02_Data_Layanan'!H22*H20</x:f>
        <x:v>672</x:v>
      </x:c>
      <x:c r="J20" s="29" t="n">
        <x:f>'02_Data_Layanan'!I22*H20</x:f>
        <x:v>809111340</x:v>
      </x:c>
      <x:c r="K20" s="13" t="n">
        <x:f>'03_Parameter'!J33</x:f>
        <x:v>0.6</x:v>
      </x:c>
      <x:c r="L20" s="28" t="n">
        <x:f>'02_Data_Layanan'!H23*K20</x:f>
        <x:v>464.4</x:v>
      </x:c>
      <x:c r="M20" s="29" t="n">
        <x:f>'02_Data_Layanan'!I23*K20</x:f>
        <x:v>1400711100</x:v>
      </x:c>
      <x:c r="N20" s="11" t="n">
        <x:f>C20+F20-(I20+L20)</x:f>
        <x:v>38590.626</x:v>
      </x:c>
      <x:c r="O20" s="11" t="n">
        <x:f>$B$6+N20</x:f>
        <x:v>40937.626</x:v>
      </x:c>
      <x:c r="P20" s="30" t="n">
        <x:f>IF($B$6=0,0,N20/$B$6)</x:f>
        <x:v>16.442533446953558</x:v>
      </x:c>
      <x:c r="Q20" s="10" t="n">
        <x:f>D20+G20-(J20+M20)</x:f>
        <x:v>71592398455.16588</x:v>
      </x:c>
      <x:c r="R20" s="10" t="n">
        <x:f>$B$7+Q20</x:f>
        <x:v>78611505055.16588</x:v>
      </x:c>
      <x:c r="S20" s="30" t="n">
        <x:f>IF($B$7=0,0,Q20/$B$7)</x:f>
        <x:v>10.199645415723687</x:v>
      </x:c>
    </x:row>
    <x:row r="21">
      <x:c r="A21" s="25" t="str">
        <x:v>Skenario 3</x:v>
      </x:c>
      <x:c r="B21" s="13" t="n">
        <x:f>'03_Parameter'!H34</x:f>
        <x:v>0.34299999999999997</x:v>
      </x:c>
      <x:c r="C21" s="26" t="n">
        <x:f>'02_Data_Layanan'!N25*B21</x:f>
        <x:v>15729.293999999998</x:v>
      </x:c>
      <x:c r="D21" s="27" t="n">
        <x:f>'02_Data_Layanan'!O25*B21</x:f>
        <x:v>33363635704.128376</x:v>
      </x:c>
      <x:c r="E21" s="13" t="n">
        <x:f>'03_Parameter'!G34</x:f>
        <x:v>0.29100000000000004</x:v>
      </x:c>
      <x:c r="F21" s="26" t="n">
        <x:f>'02_Data_Layanan'!N24*E21</x:f>
        <x:v>43548.732</x:v>
      </x:c>
      <x:c r="G21" s="27" t="n">
        <x:f>'02_Data_Layanan'!O24*E21</x:f>
        <x:v>76430300896.9695</x:v>
      </x:c>
      <x:c r="H21" s="13" t="n">
        <x:f>'03_Parameter'!I34</x:f>
        <x:v>0.7</x:v>
      </x:c>
      <x:c r="I21" s="28" t="n">
        <x:f>'02_Data_Layanan'!H22*H21</x:f>
        <x:v>784</x:v>
      </x:c>
      <x:c r="J21" s="29" t="n">
        <x:f>'02_Data_Layanan'!I22*H21</x:f>
        <x:v>943963229.9999999</x:v>
      </x:c>
      <x:c r="K21" s="13" t="n">
        <x:f>'03_Parameter'!J34</x:f>
        <x:v>0.7</x:v>
      </x:c>
      <x:c r="L21" s="28" t="n">
        <x:f>'02_Data_Layanan'!H23*K21</x:f>
        <x:v>541.8</x:v>
      </x:c>
      <x:c r="M21" s="29" t="n">
        <x:f>'02_Data_Layanan'!I23*K21</x:f>
        <x:v>1634162950</x:v>
      </x:c>
      <x:c r="N21" s="11" t="n">
        <x:f>C21+F21-(I21+L21)</x:f>
        <x:v>57952.225999999995</x:v>
      </x:c>
      <x:c r="O21" s="11" t="n">
        <x:f>$B$6+N21</x:f>
        <x:v>60299.225999999995</x:v>
      </x:c>
      <x:c r="P21" s="30" t="n">
        <x:f>IF($B$6=0,0,N21/$B$6)</x:f>
        <x:v>24.69204345973583</x:v>
      </x:c>
      <x:c r="Q21" s="10" t="n">
        <x:f>D21+G21-(J21+M21)</x:f>
        <x:v>107215810421.09787</x:v>
      </x:c>
      <x:c r="R21" s="10" t="n">
        <x:f>$B$7+Q21</x:f>
        <x:v>114234917021.09787</x:v>
      </x:c>
      <x:c r="S21" s="30" t="n">
        <x:f>IF($B$7=0,0,Q21/$B$7)</x:f>
        <x:v>15.274851420706144</x:v>
      </x:c>
    </x:row>
    <x:row r="22">
      <x:c r="A22" s="25" t="str">
        <x:v>Skenario 4</x:v>
      </x:c>
      <x:c r="B22" s="13" t="n">
        <x:f>'03_Parameter'!H35</x:f>
        <x:v>0.44299999999999995</x:v>
      </x:c>
      <x:c r="C22" s="26" t="n">
        <x:f>'02_Data_Layanan'!N25*B22</x:f>
        <x:v>20315.093999999997</x:v>
      </x:c>
      <x:c r="D22" s="27" t="n">
        <x:f>'02_Data_Layanan'!O25*B22</x:f>
        <x:v>43090643198.04336</x:v>
      </x:c>
      <x:c r="E22" s="13" t="n">
        <x:f>'03_Parameter'!G35</x:f>
        <x:v>0.391</x:v>
      </x:c>
      <x:c r="F22" s="26" t="n">
        <x:f>'02_Data_Layanan'!N24*E22</x:f>
        <x:v>58513.932</x:v>
      </x:c>
      <x:c r="G22" s="27" t="n">
        <x:f>'02_Data_Layanan'!O24*E22</x:f>
        <x:v>102695009108.9865</x:v>
      </x:c>
      <x:c r="H22" s="13" t="n">
        <x:f>'03_Parameter'!I35</x:f>
        <x:v>0.8</x:v>
      </x:c>
      <x:c r="I22" s="28" t="n">
        <x:f>'02_Data_Layanan'!H22*H22</x:f>
        <x:v>896</x:v>
      </x:c>
      <x:c r="J22" s="29" t="n">
        <x:f>'02_Data_Layanan'!I22*H22</x:f>
        <x:v>1078815120</x:v>
      </x:c>
      <x:c r="K22" s="13" t="n">
        <x:f>'03_Parameter'!J35</x:f>
        <x:v>0.8</x:v>
      </x:c>
      <x:c r="L22" s="28" t="n">
        <x:f>'02_Data_Layanan'!H23*K22</x:f>
        <x:v>619.2</x:v>
      </x:c>
      <x:c r="M22" s="29" t="n">
        <x:f>'02_Data_Layanan'!I23*K22</x:f>
        <x:v>1867614800</x:v>
      </x:c>
      <x:c r="N22" s="11" t="n">
        <x:f>C22+F22-(I22+L22)</x:f>
        <x:v>77313.826</x:v>
      </x:c>
      <x:c r="O22" s="11" t="n">
        <x:f>$B$6+N22</x:f>
        <x:v>79660.826</x:v>
      </x:c>
      <x:c r="P22" s="30" t="n">
        <x:f>IF($B$6=0,0,N22/$B$6)</x:f>
        <x:v>32.94155347251811</x:v>
      </x:c>
      <x:c r="Q22" s="10" t="n">
        <x:f>D22+G22-(J22+M22)</x:f>
        <x:v>142839222387.02985</x:v>
      </x:c>
      <x:c r="R22" s="10" t="n">
        <x:f>$B$7+Q22</x:f>
        <x:v>149858328987.02985</x:v>
      </x:c>
      <x:c r="S22" s="30" t="n">
        <x:f>IF($B$7=0,0,Q22/$B$7)</x:f>
        <x:v>20.350057425688597</x:v>
      </x:c>
    </x:row>
    <x:row r="23">
      <x:c r="A23" s="25" t="str">
        <x:v>Skenario 5</x:v>
      </x:c>
      <x:c r="B23" s="13" t="n">
        <x:f>'03_Parameter'!H36</x:f>
        <x:v>0.5429999999999999</x:v>
      </x:c>
      <x:c r="C23" s="26" t="n">
        <x:f>'02_Data_Layanan'!N25*B23</x:f>
        <x:v>24900.893999999997</x:v>
      </x:c>
      <x:c r="D23" s="27" t="n">
        <x:f>'02_Data_Layanan'!O25*B23</x:f>
        <x:v>52817650691.95833</x:v>
      </x:c>
      <x:c r="E23" s="13" t="n">
        <x:f>'03_Parameter'!G36</x:f>
        <x:v>0.491</x:v>
      </x:c>
      <x:c r="F23" s="26" t="n">
        <x:f>'02_Data_Layanan'!N24*E23</x:f>
        <x:v>73479.132</x:v>
      </x:c>
      <x:c r="G23" s="27" t="n">
        <x:f>'02_Data_Layanan'!O24*E23</x:f>
        <x:v>128959717321.0035</x:v>
      </x:c>
      <x:c r="H23" s="13" t="n">
        <x:f>'03_Parameter'!I36</x:f>
        <x:v>0.9</x:v>
      </x:c>
      <x:c r="I23" s="28" t="n">
        <x:f>'02_Data_Layanan'!H22*H23</x:f>
        <x:v>1008</x:v>
      </x:c>
      <x:c r="J23" s="29" t="n">
        <x:f>'02_Data_Layanan'!I22*H23</x:f>
        <x:v>1213667010</x:v>
      </x:c>
      <x:c r="K23" s="13" t="n">
        <x:f>'03_Parameter'!J36</x:f>
        <x:v>0.9</x:v>
      </x:c>
      <x:c r="L23" s="28" t="n">
        <x:f>'02_Data_Layanan'!H23*K23</x:f>
        <x:v>696.6</x:v>
      </x:c>
      <x:c r="M23" s="29" t="n">
        <x:f>'02_Data_Layanan'!I23*K23</x:f>
        <x:v>2101066650</x:v>
      </x:c>
      <x:c r="N23" s="11" t="n">
        <x:f>C23+F23-(I23+L23)</x:f>
        <x:v>96675.42599999999</x:v>
      </x:c>
      <x:c r="O23" s="11" t="n">
        <x:f>$B$6+N23</x:f>
        <x:v>99022.42599999999</x:v>
      </x:c>
      <x:c r="P23" s="30" t="n">
        <x:f>IF($B$6=0,0,N23/$B$6)</x:f>
        <x:v>41.19106348530038</x:v>
      </x:c>
      <x:c r="Q23" s="10" t="n">
        <x:f>D23+G23-(J23+M23)</x:f>
        <x:v>178462634352.96182</x:v>
      </x:c>
      <x:c r="R23" s="10" t="n">
        <x:f>$B$7+Q23</x:f>
        <x:v>185481740952.96182</x:v>
      </x:c>
      <x:c r="S23" s="30" t="n">
        <x:f>IF($B$7=0,0,Q23/$B$7)</x:f>
        <x:v>25.425263430671052</x:v>
      </x:c>
    </x:row>
    <x:row r="24">
      <x:c r="A24" s="25" t="str">
        <x:v>Skenario 6</x:v>
      </x:c>
      <x:c r="B24" s="13" t="n">
        <x:f>'03_Parameter'!H37</x:f>
        <x:v>0.643</x:v>
      </x:c>
      <x:c r="C24" s="26" t="n">
        <x:f>'02_Data_Layanan'!N25*B24</x:f>
        <x:v>29486.694</x:v>
      </x:c>
      <x:c r="D24" s="27" t="n">
        <x:f>'02_Data_Layanan'!O25*B24</x:f>
        <x:v>62544658185.87332</x:v>
      </x:c>
      <x:c r="E24" s="13" t="n">
        <x:f>'03_Parameter'!G37</x:f>
        <x:v>0.591</x:v>
      </x:c>
      <x:c r="F24" s="26" t="n">
        <x:f>'02_Data_Layanan'!N24*E24</x:f>
        <x:v>88444.332</x:v>
      </x:c>
      <x:c r="G24" s="27" t="n">
        <x:f>'02_Data_Layanan'!O24*E24</x:f>
        <x:v>155224425533.02048</x:v>
      </x:c>
      <x:c r="H24" s="13" t="n">
        <x:f>'03_Parameter'!I37</x:f>
        <x:v>1</x:v>
      </x:c>
      <x:c r="I24" s="28" t="n">
        <x:f>'02_Data_Layanan'!H22*H24</x:f>
        <x:v>1120</x:v>
      </x:c>
      <x:c r="J24" s="29" t="n">
        <x:f>'02_Data_Layanan'!I22*H24</x:f>
        <x:v>1348518900</x:v>
      </x:c>
      <x:c r="K24" s="13" t="n">
        <x:f>'03_Parameter'!J37</x:f>
        <x:v>1</x:v>
      </x:c>
      <x:c r="L24" s="28" t="n">
        <x:f>'02_Data_Layanan'!H23*K24</x:f>
        <x:v>774</x:v>
      </x:c>
      <x:c r="M24" s="29" t="n">
        <x:f>'02_Data_Layanan'!I23*K24</x:f>
        <x:v>2334518500</x:v>
      </x:c>
      <x:c r="N24" s="11" t="n">
        <x:f>C24+F24-(I24+L24)</x:f>
        <x:v>116037.026</x:v>
      </x:c>
      <x:c r="O24" s="11" t="n">
        <x:f>$B$6+N24</x:f>
        <x:v>118384.026</x:v>
      </x:c>
      <x:c r="P24" s="30" t="n">
        <x:f>IF($B$6=0,0,N24/$B$6)</x:f>
        <x:v>49.44057349808266</x:v>
      </x:c>
      <x:c r="Q24" s="10" t="n">
        <x:f>D24+G24-(J24+M24)</x:f>
        <x:v>214086046318.8938</x:v>
      </x:c>
      <x:c r="R24" s="10" t="n">
        <x:f>$B$7+Q24</x:f>
        <x:v>221105152918.8938</x:v>
      </x:c>
      <x:c r="S24" s="30" t="n">
        <x:f>IF($B$7=0,0,Q24/$B$7)</x:f>
        <x:v>30.500469435653507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Jantung &amp; Pembuluh Darah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0.0037885060491763315</x:v>
      </x:c>
      <x:c r="K5" s="16" t="str">
        <x:v>Setara/lebih tinggi</x:v>
      </x:c>
      <x:c r="L5" s="11" t="n">
        <x:f>'02_Data_Layanan'!Q26</x:f>
        <x:v>16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SUM('02_Data_Layanan'!H26,'02_Data_Layanan'!H27,'02_Data_Layanan'!H28,'02_Data_Layanan'!H29)</x:f>
        <x:v>27911</x:v>
      </x:c>
      <x:c r="C6" s="7" t="str"/>
      <x:c r="D6" s="7" t="str"/>
      <x:c r="E6" s="15" t="str">
        <x:v>Total Kasus</x:v>
      </x:c>
      <x:c r="F6" s="18" t="n">
        <x:f>SUM('02_Data_Layanan'!K26,'02_Data_Layanan'!K27,'02_Data_Layanan'!K28,'02_Data_Layanan'!K29)</x:f>
        <x:v>7367284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Daerah  Arifin Achmad; RS Badan Pengusahaan Batam; RS Umum Awal Bros Batam; RS Umum Hermina Depok; RS Umum Sentra Medika Cibinong; RS Umum Pusat Dr. Hasan Sadikin; RS Umum Santosa Hospital Bandung Central; +8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SUM('02_Data_Layanan'!I26,'02_Data_Layanan'!I27,'02_Data_Layanan'!I28,'02_Data_Layanan'!I29)</x:f>
        <x:v>104958260000</x:v>
      </x:c>
      <x:c r="C7" s="7" t="str"/>
      <x:c r="D7" s="7" t="str"/>
      <x:c r="E7" s="15" t="str">
        <x:v>Pendapatan INA</x:v>
      </x:c>
      <x:c r="F7" s="19" t="n">
        <x:f>SUM('02_Data_Layanan'!L26,'02_Data_Layanan'!L27,'02_Data_Layanan'!L28,'02_Data_Layanan'!L29)</x:f>
        <x:v>6645966216200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SUM('02_Data_Layanan'!J26,'02_Data_Layanan'!J27,'02_Data_Layanan'!J28,'02_Data_Layanan'!J29)</x:f>
        <x:v>91371953005.5</x:v>
      </x:c>
      <x:c r="C8" s="7" t="str"/>
      <x:c r="D8" s="7" t="str"/>
      <x:c r="E8" s="15" t="str">
        <x:v>Pendapatan iDRG</x:v>
      </x:c>
      <x:c r="F8" s="19" t="n">
        <x:f>SUM('02_Data_Layanan'!M26,'02_Data_Layanan'!M27,'02_Data_Layanan'!M28,'02_Data_Layanan'!M29)</x:f>
        <x:v>7657752628941.522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'02_Data_Layanan'!H26</x:f>
        <x:v>12916</x:v>
      </x:c>
      <x:c r="C11" s="21" t="n">
        <x:f>'02_Data_Layanan'!I26</x:f>
        <x:v>7021735400</x:v>
      </x:c>
      <x:c r="D11" s="21" t="n">
        <x:f>'02_Data_Layanan'!J26</x:f>
        <x:v>5895734126.55</x:v>
      </x:c>
      <x:c r="E11" s="20" t="n">
        <x:f>'02_Data_Layanan'!K26</x:f>
        <x:v>4211765</x:v>
      </x:c>
      <x:c r="F11" s="21" t="n">
        <x:f>'02_Data_Layanan'!L26</x:f>
        <x:v>1459463496345</x:v>
      </x:c>
      <x:c r="G11" s="21" t="n">
        <x:f>'02_Data_Layanan'!M26</x:f>
        <x:v>1717555641331.1191</x:v>
      </x:c>
      <x:c r="H11" s="20" t="n">
        <x:f>'02_Data_Layanan'!N26</x:f>
        <x:v>4198849</x:v>
      </x:c>
      <x:c r="I11" s="21" t="n">
        <x:f>'02_Data_Layanan'!O26</x:f>
        <x:v>1711659907204.569</x:v>
      </x:c>
      <x:c r="J11" s="20" t="n">
        <x:f>'02_Data_Layanan'!P26</x:f>
        <x:v>994</x:v>
      </x:c>
    </x:row>
    <x:row r="12">
      <x:c r="A12" s="5" t="str">
        <x:v>Madya</x:v>
      </x:c>
      <x:c r="B12" s="20" t="n">
        <x:f>'02_Data_Layanan'!H27</x:f>
        <x:v>6735</x:v>
      </x:c>
      <x:c r="C12" s="21" t="n">
        <x:f>'02_Data_Layanan'!I27</x:f>
        <x:v>14869245600</x:v>
      </x:c>
      <x:c r="D12" s="21" t="n">
        <x:f>'02_Data_Layanan'!J27</x:f>
        <x:v>10672635894.58</x:v>
      </x:c>
      <x:c r="E12" s="20" t="n">
        <x:f>'02_Data_Layanan'!K27</x:f>
        <x:v>1535591</x:v>
      </x:c>
      <x:c r="F12" s="21" t="n">
        <x:f>'02_Data_Layanan'!L27</x:f>
        <x:v>2028443371605</x:v>
      </x:c>
      <x:c r="G12" s="21" t="n">
        <x:f>'02_Data_Layanan'!M27</x:f>
        <x:v>2327037511904.36</x:v>
      </x:c>
      <x:c r="H12" s="20" t="n">
        <x:f>'02_Data_Layanan'!N27</x:f>
        <x:v>1528856</x:v>
      </x:c>
      <x:c r="I12" s="21" t="n">
        <x:f>'02_Data_Layanan'!O27</x:f>
        <x:v>2316364876009.78</x:v>
      </x:c>
      <x:c r="J12" s="20" t="n">
        <x:f>'02_Data_Layanan'!P27</x:f>
        <x:v>125</x:v>
      </x:c>
    </x:row>
    <x:row r="13">
      <x:c r="A13" s="5" t="str">
        <x:v>Utama</x:v>
      </x:c>
      <x:c r="B13" s="20" t="n">
        <x:f>'02_Data_Layanan'!H28</x:f>
        <x:v>4266</x:v>
      </x:c>
      <x:c r="C13" s="21" t="n">
        <x:f>'02_Data_Layanan'!I28</x:f>
        <x:v>67055805500</x:v>
      </x:c>
      <x:c r="D13" s="21" t="n">
        <x:f>'02_Data_Layanan'!J28</x:f>
        <x:v>56764455060.58</x:v>
      </x:c>
      <x:c r="E13" s="20" t="n">
        <x:f>'02_Data_Layanan'!K28</x:f>
        <x:v>1071340</x:v>
      </x:c>
      <x:c r="F13" s="21" t="n">
        <x:f>'02_Data_Layanan'!L28</x:f>
        <x:v>2524016821605</x:v>
      </x:c>
      <x:c r="G13" s="21" t="n">
        <x:f>'02_Data_Layanan'!M28</x:f>
        <x:v>2889688944857.6226</x:v>
      </x:c>
      <x:c r="H13" s="20" t="n">
        <x:f>'02_Data_Layanan'!N28</x:f>
        <x:v>1067074</x:v>
      </x:c>
      <x:c r="I13" s="21" t="n">
        <x:f>'02_Data_Layanan'!O28</x:f>
        <x:v>2832924489797.0425</x:v>
      </x:c>
      <x:c r="J13" s="20" t="n">
        <x:f>'02_Data_Layanan'!P28</x:f>
        <x:v>10</x:v>
      </x:c>
    </x:row>
    <x:row r="14">
      <x:c r="A14" s="5" t="str">
        <x:v>Paripurna</x:v>
      </x:c>
      <x:c r="B14" s="20" t="n">
        <x:f>'02_Data_Layanan'!H29</x:f>
        <x:v>3994</x:v>
      </x:c>
      <x:c r="C14" s="21" t="n">
        <x:f>'02_Data_Layanan'!I29</x:f>
        <x:v>16011473500</x:v>
      </x:c>
      <x:c r="D14" s="21" t="n">
        <x:f>'02_Data_Layanan'!J29</x:f>
        <x:v>18039127923.79</x:v>
      </x:c>
      <x:c r="E14" s="20" t="n">
        <x:f>'02_Data_Layanan'!K29</x:f>
        <x:v>548588</x:v>
      </x:c>
      <x:c r="F14" s="21" t="n">
        <x:f>'02_Data_Layanan'!L29</x:f>
        <x:v>634042526645</x:v>
      </x:c>
      <x:c r="G14" s="21" t="n">
        <x:f>'02_Data_Layanan'!M29</x:f>
        <x:v>723470530848.4209</x:v>
      </x:c>
      <x:c r="H14" s="20" t="n">
        <x:f>'02_Data_Layanan'!N29</x:f>
        <x:v>544594</x:v>
      </x:c>
      <x:c r="I14" s="21" t="n">
        <x:f>'02_Data_Layanan'!O29</x:f>
        <x:v>705431402924.6309</x:v>
      </x:c>
      <x:c r="J14" s="20" t="n">
        <x:f>'02_Data_Layanan'!P29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'03_Parameter'!G38</x:f>
        <x:v>0.059000000000000004</x:v>
      </x:c>
      <x:c r="C19" s="26" t="n">
        <x:f>'02_Data_Layanan'!N28*B19</x:f>
        <x:v>62957.366</x:v>
      </x:c>
      <x:c r="D19" s="27" t="n">
        <x:f>'02_Data_Layanan'!O28*B19</x:f>
        <x:v>167142544898.0255</x:v>
      </x:c>
      <x:c r="E19" s="13" t="n">
        <x:f>'03_Parameter'!F38</x:f>
        <x:v>0.006999999999999999</x:v>
      </x:c>
      <x:c r="F19" s="26" t="n">
        <x:f>'02_Data_Layanan'!N27*E19</x:f>
        <x:v>10701.991999999998</x:v>
      </x:c>
      <x:c r="G19" s="27" t="n">
        <x:f>'02_Data_Layanan'!O27*E19</x:f>
        <x:v>16214554132.068457</x:v>
      </x:c>
      <x:c r="H19" s="13" t="n">
        <x:f>'03_Parameter'!I38</x:f>
        <x:v>0.5</x:v>
      </x:c>
      <x:c r="I19" s="28" t="n">
        <x:f>'02_Data_Layanan'!H26*H19</x:f>
        <x:v>6458</x:v>
      </x:c>
      <x:c r="J19" s="29" t="n">
        <x:f>'02_Data_Layanan'!I26*H19</x:f>
        <x:v>3510867700</x:v>
      </x:c>
      <x:c r="K19" s="13" t="n">
        <x:f>'03_Parameter'!L38</x:f>
        <x:v>1</x:v>
      </x:c>
      <x:c r="L19" s="28" t="n">
        <x:f>'02_Data_Layanan'!H29*K19</x:f>
        <x:v>3994</x:v>
      </x:c>
      <x:c r="M19" s="29" t="n">
        <x:f>'02_Data_Layanan'!I29*K19</x:f>
        <x:v>16011473500</x:v>
      </x:c>
      <x:c r="N19" s="11" t="n">
        <x:f>C19+F19-(I19+L19)</x:f>
        <x:v>63207.35800000001</x:v>
      </x:c>
      <x:c r="O19" s="11" t="n">
        <x:f>$B$6+N19</x:f>
        <x:v>91118.35800000001</x:v>
      </x:c>
      <x:c r="P19" s="30" t="n">
        <x:f>IF($B$6=0,0,N19/$B$6)</x:f>
        <x:v>2.264603847945255</x:v>
      </x:c>
      <x:c r="Q19" s="10" t="n">
        <x:f>D19+G19-(J19+M19)</x:f>
        <x:v>163834757830.09396</x:v>
      </x:c>
      <x:c r="R19" s="10" t="n">
        <x:f>$B$7+Q19</x:f>
        <x:v>268793017830.09396</x:v>
      </x:c>
      <x:c r="S19" s="30" t="n">
        <x:f>IF($B$7=0,0,Q19/$B$7)</x:f>
        <x:v>1.5609515423568756</x:v>
      </x:c>
    </x:row>
    <x:row r="20">
      <x:c r="A20" s="25" t="str">
        <x:v>Skenario 2</x:v>
      </x:c>
      <x:c r="B20" s="13" t="n">
        <x:f>'03_Parameter'!G39</x:f>
        <x:v>0.159</x:v>
      </x:c>
      <x:c r="C20" s="26" t="n">
        <x:f>'02_Data_Layanan'!N28*B20</x:f>
        <x:v>169664.766</x:v>
      </x:c>
      <x:c r="D20" s="27" t="n">
        <x:f>'02_Data_Layanan'!O28*B20</x:f>
        <x:v>450434993877.72974</x:v>
      </x:c>
      <x:c r="E20" s="13" t="n">
        <x:f>'03_Parameter'!F39</x:f>
        <x:v>0.107</x:v>
      </x:c>
      <x:c r="F20" s="26" t="n">
        <x:f>'02_Data_Layanan'!N27*E20</x:f>
        <x:v>163587.592</x:v>
      </x:c>
      <x:c r="G20" s="27" t="n">
        <x:f>'02_Data_Layanan'!O27*E20</x:f>
        <x:v>247851041733.04642</x:v>
      </x:c>
      <x:c r="H20" s="13" t="n">
        <x:f>'03_Parameter'!I39</x:f>
        <x:v>0.6</x:v>
      </x:c>
      <x:c r="I20" s="28" t="n">
        <x:f>'02_Data_Layanan'!H26*H20</x:f>
        <x:v>7749.599999999999</x:v>
      </x:c>
      <x:c r="J20" s="29" t="n">
        <x:f>'02_Data_Layanan'!I26*H20</x:f>
        <x:v>4213041240</x:v>
      </x:c>
      <x:c r="K20" s="13" t="n">
        <x:f>'03_Parameter'!L39</x:f>
        <x:v>1</x:v>
      </x:c>
      <x:c r="L20" s="28" t="n">
        <x:f>'02_Data_Layanan'!H29*K20</x:f>
        <x:v>3994</x:v>
      </x:c>
      <x:c r="M20" s="29" t="n">
        <x:f>'02_Data_Layanan'!I29*K20</x:f>
        <x:v>16011473500</x:v>
      </x:c>
      <x:c r="N20" s="11" t="n">
        <x:f>C20+F20-(I20+L20)</x:f>
        <x:v>321508.75800000003</x:v>
      </x:c>
      <x:c r="O20" s="11" t="n">
        <x:f>$B$6+N20</x:f>
        <x:v>349419.75800000003</x:v>
      </x:c>
      <x:c r="P20" s="30" t="n">
        <x:f>IF($B$6=0,0,N20/$B$6)</x:f>
        <x:v>11.519069829099639</x:v>
      </x:c>
      <x:c r="Q20" s="10" t="n">
        <x:f>D20+G20-(J20+M20)</x:f>
        <x:v>678061520870.7761</x:v>
      </x:c>
      <x:c r="R20" s="10" t="n">
        <x:f>$B$7+Q20</x:f>
        <x:v>783019780870.7761</x:v>
      </x:c>
      <x:c r="S20" s="30" t="n">
        <x:f>IF($B$7=0,0,Q20/$B$7)</x:f>
        <x:v>6.460296892029042</x:v>
      </x:c>
    </x:row>
    <x:row r="21">
      <x:c r="A21" s="25" t="str">
        <x:v>Skenario 3</x:v>
      </x:c>
      <x:c r="B21" s="13" t="n">
        <x:f>'03_Parameter'!G40</x:f>
        <x:v>0.259</x:v>
      </x:c>
      <x:c r="C21" s="26" t="n">
        <x:f>'02_Data_Layanan'!N28*B21</x:f>
        <x:v>276372.166</x:v>
      </x:c>
      <x:c r="D21" s="27" t="n">
        <x:f>'02_Data_Layanan'!O28*B21</x:f>
        <x:v>733727442857.4341</x:v>
      </x:c>
      <x:c r="E21" s="13" t="n">
        <x:f>'03_Parameter'!F40</x:f>
        <x:v>0.207</x:v>
      </x:c>
      <x:c r="F21" s="26" t="n">
        <x:f>'02_Data_Layanan'!N27*E21</x:f>
        <x:v>316473.192</x:v>
      </x:c>
      <x:c r="G21" s="27" t="n">
        <x:f>'02_Data_Layanan'!O27*E21</x:f>
        <x:v>479487529334.0244</x:v>
      </x:c>
      <x:c r="H21" s="13" t="n">
        <x:f>'03_Parameter'!I40</x:f>
        <x:v>0.7</x:v>
      </x:c>
      <x:c r="I21" s="28" t="n">
        <x:f>'02_Data_Layanan'!H26*H21</x:f>
        <x:v>9041.199999999999</x:v>
      </x:c>
      <x:c r="J21" s="29" t="n">
        <x:f>'02_Data_Layanan'!I26*H21</x:f>
        <x:v>4915214780</x:v>
      </x:c>
      <x:c r="K21" s="13" t="n">
        <x:f>'03_Parameter'!L40</x:f>
        <x:v>1</x:v>
      </x:c>
      <x:c r="L21" s="28" t="n">
        <x:f>'02_Data_Layanan'!H29*K21</x:f>
        <x:v>3994</x:v>
      </x:c>
      <x:c r="M21" s="29" t="n">
        <x:f>'02_Data_Layanan'!I29*K21</x:f>
        <x:v>16011473500</x:v>
      </x:c>
      <x:c r="N21" s="11" t="n">
        <x:f>C21+F21-(I21+L21)</x:f>
        <x:v>579810.158</x:v>
      </x:c>
      <x:c r="O21" s="11" t="n">
        <x:f>$B$6+N21</x:f>
        <x:v>607721.158</x:v>
      </x:c>
      <x:c r="P21" s="30" t="n">
        <x:f>IF($B$6=0,0,N21/$B$6)</x:f>
        <x:v>20.773535810254025</x:v>
      </x:c>
      <x:c r="Q21" s="10" t="n">
        <x:f>D21+G21-(J21+M21)</x:f>
        <x:v>1192288283911.4585</x:v>
      </x:c>
      <x:c r="R21" s="10" t="n">
        <x:f>$B$7+Q21</x:f>
        <x:v>1297246543911.4585</x:v>
      </x:c>
      <x:c r="S21" s="30" t="n">
        <x:f>IF($B$7=0,0,Q21/$B$7)</x:f>
        <x:v>11.359642241701211</x:v>
      </x:c>
    </x:row>
    <x:row r="22">
      <x:c r="A22" s="25" t="str">
        <x:v>Skenario 4</x:v>
      </x:c>
      <x:c r="B22" s="13" t="n">
        <x:f>'03_Parameter'!G41</x:f>
        <x:v>0.359</x:v>
      </x:c>
      <x:c r="C22" s="26" t="n">
        <x:f>'02_Data_Layanan'!N28*B22</x:f>
        <x:v>383079.566</x:v>
      </x:c>
      <x:c r="D22" s="27" t="n">
        <x:f>'02_Data_Layanan'!O28*B22</x:f>
        <x:v>1017019891837.1382</x:v>
      </x:c>
      <x:c r="E22" s="13" t="n">
        <x:f>'03_Parameter'!F41</x:f>
        <x:v>0.307</x:v>
      </x:c>
      <x:c r="F22" s="26" t="n">
        <x:f>'02_Data_Layanan'!N27*E22</x:f>
        <x:v>469358.792</x:v>
      </x:c>
      <x:c r="G22" s="27" t="n">
        <x:f>'02_Data_Layanan'!O27*E22</x:f>
        <x:v>711124016935.0024</x:v>
      </x:c>
      <x:c r="H22" s="13" t="n">
        <x:f>'03_Parameter'!I41</x:f>
        <x:v>0.8</x:v>
      </x:c>
      <x:c r="I22" s="28" t="n">
        <x:f>'02_Data_Layanan'!H26*H22</x:f>
        <x:v>10332.800000000001</x:v>
      </x:c>
      <x:c r="J22" s="29" t="n">
        <x:f>'02_Data_Layanan'!I26*H22</x:f>
        <x:v>5617388320</x:v>
      </x:c>
      <x:c r="K22" s="13" t="n">
        <x:f>'03_Parameter'!L41</x:f>
        <x:v>1</x:v>
      </x:c>
      <x:c r="L22" s="28" t="n">
        <x:f>'02_Data_Layanan'!H29*K22</x:f>
        <x:v>3994</x:v>
      </x:c>
      <x:c r="M22" s="29" t="n">
        <x:f>'02_Data_Layanan'!I29*K22</x:f>
        <x:v>16011473500</x:v>
      </x:c>
      <x:c r="N22" s="11" t="n">
        <x:f>C22+F22-(I22+L22)</x:f>
        <x:v>838111.558</x:v>
      </x:c>
      <x:c r="O22" s="11" t="n">
        <x:f>$B$6+N22</x:f>
        <x:v>866022.558</x:v>
      </x:c>
      <x:c r="P22" s="30" t="n">
        <x:f>IF($B$6=0,0,N22/$B$6)</x:f>
        <x:v>30.028001791408403</x:v>
      </x:c>
      <x:c r="Q22" s="10" t="n">
        <x:f>D22+G22-(J22+M22)</x:f>
        <x:v>1706515046952.1406</x:v>
      </x:c>
      <x:c r="R22" s="10" t="n">
        <x:f>$B$7+Q22</x:f>
        <x:v>1811473306952.1406</x:v>
      </x:c>
      <x:c r="S22" s="30" t="n">
        <x:f>IF($B$7=0,0,Q22/$B$7)</x:f>
        <x:v>16.258987591373376</x:v>
      </x:c>
    </x:row>
    <x:row r="23">
      <x:c r="A23" s="25" t="str">
        <x:v>Skenario 5</x:v>
      </x:c>
      <x:c r="B23" s="13" t="n">
        <x:f>'03_Parameter'!G42</x:f>
        <x:v>0.45899999999999996</x:v>
      </x:c>
      <x:c r="C23" s="26" t="n">
        <x:f>'02_Data_Layanan'!N28*B23</x:f>
        <x:v>489786.96599999996</x:v>
      </x:c>
      <x:c r="D23" s="27" t="n">
        <x:f>'02_Data_Layanan'!O28*B23</x:f>
        <x:v>1300312340816.8423</x:v>
      </x:c>
      <x:c r="E23" s="13" t="n">
        <x:f>'03_Parameter'!F42</x:f>
        <x:v>0.40700000000000003</x:v>
      </x:c>
      <x:c r="F23" s="26" t="n">
        <x:f>'02_Data_Layanan'!N27*E23</x:f>
        <x:v>622244.392</x:v>
      </x:c>
      <x:c r="G23" s="27" t="n">
        <x:f>'02_Data_Layanan'!O27*E23</x:f>
        <x:v>942760504535.9805</x:v>
      </x:c>
      <x:c r="H23" s="13" t="n">
        <x:f>'03_Parameter'!I42</x:f>
        <x:v>0.9</x:v>
      </x:c>
      <x:c r="I23" s="28" t="n">
        <x:f>'02_Data_Layanan'!H26*H23</x:f>
        <x:v>11624.4</x:v>
      </x:c>
      <x:c r="J23" s="29" t="n">
        <x:f>'02_Data_Layanan'!I26*H23</x:f>
        <x:v>6319561860</x:v>
      </x:c>
      <x:c r="K23" s="13" t="n">
        <x:f>'03_Parameter'!L42</x:f>
        <x:v>1</x:v>
      </x:c>
      <x:c r="L23" s="28" t="n">
        <x:f>'02_Data_Layanan'!H29*K23</x:f>
        <x:v>3994</x:v>
      </x:c>
      <x:c r="M23" s="29" t="n">
        <x:f>'02_Data_Layanan'!I29*K23</x:f>
        <x:v>16011473500</x:v>
      </x:c>
      <x:c r="N23" s="11" t="n">
        <x:f>C23+F23-(I23+L23)</x:f>
        <x:v>1096412.958</x:v>
      </x:c>
      <x:c r="O23" s="11" t="n">
        <x:f>$B$6+N23</x:f>
        <x:v>1124323.958</x:v>
      </x:c>
      <x:c r="P23" s="30" t="n">
        <x:f>IF($B$6=0,0,N23/$B$6)</x:f>
        <x:v>39.28246777256279</x:v>
      </x:c>
      <x:c r="Q23" s="10" t="n">
        <x:f>D23+G23-(J23+M23)</x:f>
        <x:v>2220741809992.8228</x:v>
      </x:c>
      <x:c r="R23" s="10" t="n">
        <x:f>$B$7+Q23</x:f>
        <x:v>2325700069992.8228</x:v>
      </x:c>
      <x:c r="S23" s="30" t="n">
        <x:f>IF($B$7=0,0,Q23/$B$7)</x:f>
        <x:v>21.158332941045543</x:v>
      </x:c>
    </x:row>
    <x:row r="24">
      <x:c r="A24" s="25" t="str">
        <x:v>Skenario 6</x:v>
      </x:c>
      <x:c r="B24" s="13" t="n">
        <x:f>'03_Parameter'!G43</x:f>
        <x:v>0.5589999999999999</x:v>
      </x:c>
      <x:c r="C24" s="26" t="n">
        <x:f>'02_Data_Layanan'!N28*B24</x:f>
        <x:v>596494.3659999999</x:v>
      </x:c>
      <x:c r="D24" s="27" t="n">
        <x:f>'02_Data_Layanan'!O28*B24</x:f>
        <x:v>1583604789796.5466</x:v>
      </x:c>
      <x:c r="E24" s="13" t="n">
        <x:f>'03_Parameter'!F43</x:f>
        <x:v>0.507</x:v>
      </x:c>
      <x:c r="F24" s="26" t="n">
        <x:f>'02_Data_Layanan'!N27*E24</x:f>
        <x:v>775129.992</x:v>
      </x:c>
      <x:c r="G24" s="27" t="n">
        <x:f>'02_Data_Layanan'!O27*E24</x:f>
        <x:v>1174396992136.9583</x:v>
      </x:c>
      <x:c r="H24" s="13" t="n">
        <x:f>'03_Parameter'!I43</x:f>
        <x:v>1</x:v>
      </x:c>
      <x:c r="I24" s="28" t="n">
        <x:f>'02_Data_Layanan'!H26*H24</x:f>
        <x:v>12916</x:v>
      </x:c>
      <x:c r="J24" s="29" t="n">
        <x:f>'02_Data_Layanan'!I26*H24</x:f>
        <x:v>7021735400</x:v>
      </x:c>
      <x:c r="K24" s="13" t="n">
        <x:f>'03_Parameter'!L43</x:f>
        <x:v>1</x:v>
      </x:c>
      <x:c r="L24" s="28" t="n">
        <x:f>'02_Data_Layanan'!H29*K24</x:f>
        <x:v>3994</x:v>
      </x:c>
      <x:c r="M24" s="29" t="n">
        <x:f>'02_Data_Layanan'!I29*K24</x:f>
        <x:v>16011473500</x:v>
      </x:c>
      <x:c r="N24" s="11" t="n">
        <x:f>C24+F24-(I24+L24)</x:f>
        <x:v>1354714.358</x:v>
      </x:c>
      <x:c r="O24" s="11" t="n">
        <x:f>$B$6+N24</x:f>
        <x:v>1382625.358</x:v>
      </x:c>
      <x:c r="P24" s="30" t="n">
        <x:f>IF($B$6=0,0,N24/$B$6)</x:f>
        <x:v>48.53693375371717</x:v>
      </x:c>
      <x:c r="Q24" s="10" t="n">
        <x:f>D24+G24-(J24+M24)</x:f>
        <x:v>2734968573033.505</x:v>
      </x:c>
      <x:c r="R24" s="10" t="n">
        <x:f>$B$7+Q24</x:f>
        <x:v>2839926833033.505</x:v>
      </x:c>
      <x:c r="S24" s="30" t="n">
        <x:f>IF($B$7=0,0,Q24/$B$7)</x:f>
        <x:v>26.05767829071771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Jiwa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0.0009637438882297192</x:v>
      </x:c>
      <x:c r="K5" s="16" t="str">
        <x:v>Setara/lebih tinggi</x:v>
      </x:c>
      <x:c r="L5" s="11" t="n">
        <x:f>'02_Data_Layanan'!Q30</x:f>
        <x:v>8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SUM('02_Data_Layanan'!H30,'02_Data_Layanan'!H31,'02_Data_Layanan'!H32,'02_Data_Layanan'!H33)</x:f>
        <x:v>2890</x:v>
      </x:c>
      <x:c r="C6" s="7" t="str"/>
      <x:c r="D6" s="7" t="str"/>
      <x:c r="E6" s="15" t="str">
        <x:v>Total Kasus</x:v>
      </x:c>
      <x:c r="F6" s="18" t="n">
        <x:f>SUM('02_Data_Layanan'!K30,'02_Data_Layanan'!K31,'02_Data_Layanan'!K32,'02_Data_Layanan'!K33)</x:f>
        <x:v>2998722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SUM('02_Data_Layanan'!I30,'02_Data_Layanan'!I31,'02_Data_Layanan'!I32,'02_Data_Layanan'!I33)</x:f>
        <x:v>1771432200</x:v>
      </x:c>
      <x:c r="C7" s="7" t="str"/>
      <x:c r="D7" s="7" t="str"/>
      <x:c r="E7" s="15" t="str">
        <x:v>Pendapatan INA</x:v>
      </x:c>
      <x:c r="F7" s="19" t="n">
        <x:f>SUM('02_Data_Layanan'!L30,'02_Data_Layanan'!L31,'02_Data_Layanan'!L32,'02_Data_Layanan'!L33)</x:f>
        <x:v>935761972350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SUM('02_Data_Layanan'!J30,'02_Data_Layanan'!J31,'02_Data_Layanan'!J32,'02_Data_Layanan'!J33)</x:f>
        <x:v>1382283210.8500001</x:v>
      </x:c>
      <x:c r="C8" s="7" t="str"/>
      <x:c r="D8" s="7" t="str"/>
      <x:c r="E8" s="15" t="str">
        <x:v>Pendapatan iDRG</x:v>
      </x:c>
      <x:c r="F8" s="19" t="n">
        <x:f>SUM('02_Data_Layanan'!M30,'02_Data_Layanan'!M31,'02_Data_Layanan'!M32,'02_Data_Layanan'!M33)</x:f>
        <x:v>1101370167452.4104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'02_Data_Layanan'!H30</x:f>
        <x:v>660</x:v>
      </x:c>
      <x:c r="C11" s="21" t="n">
        <x:f>'02_Data_Layanan'!I30</x:f>
        <x:v>268441400</x:v>
      </x:c>
      <x:c r="D11" s="21" t="n">
        <x:f>'02_Data_Layanan'!J30</x:f>
        <x:v>180797832.14000002</x:v>
      </x:c>
      <x:c r="E11" s="20" t="n">
        <x:f>'02_Data_Layanan'!K30</x:f>
        <x:v>967765</x:v>
      </x:c>
      <x:c r="F11" s="21" t="n">
        <x:f>'02_Data_Layanan'!L30</x:f>
        <x:v>233639653200</x:v>
      </x:c>
      <x:c r="G11" s="21" t="n">
        <x:f>'02_Data_Layanan'!M30</x:f>
        <x:v>264800352827.97028</x:v>
      </x:c>
      <x:c r="H11" s="20" t="n">
        <x:f>'02_Data_Layanan'!N30</x:f>
        <x:v>967105</x:v>
      </x:c>
      <x:c r="I11" s="21" t="n">
        <x:f>'02_Data_Layanan'!O30</x:f>
        <x:v>264619554995.83026</x:v>
      </x:c>
      <x:c r="J11" s="20" t="n">
        <x:f>'02_Data_Layanan'!P30</x:f>
        <x:v>767</x:v>
      </x:c>
    </x:row>
    <x:row r="12">
      <x:c r="A12" s="5" t="str">
        <x:v>Madya</x:v>
      </x:c>
      <x:c r="B12" s="20" t="n">
        <x:f>'02_Data_Layanan'!H31</x:f>
        <x:v>393</x:v>
      </x:c>
      <x:c r="C12" s="21" t="n">
        <x:f>'02_Data_Layanan'!I31</x:f>
        <x:v>282974200</x:v>
      </x:c>
      <x:c r="D12" s="21" t="n">
        <x:f>'02_Data_Layanan'!J31</x:f>
        <x:v>255386056.26999998</x:v>
      </x:c>
      <x:c r="E12" s="20" t="n">
        <x:f>'02_Data_Layanan'!K31</x:f>
        <x:v>703185</x:v>
      </x:c>
      <x:c r="F12" s="21" t="n">
        <x:f>'02_Data_Layanan'!L31</x:f>
        <x:v>331804803900</x:v>
      </x:c>
      <x:c r="G12" s="21" t="n">
        <x:f>'02_Data_Layanan'!M31</x:f>
        <x:v>406024335611.1198</x:v>
      </x:c>
      <x:c r="H12" s="20" t="n">
        <x:f>'02_Data_Layanan'!N31</x:f>
        <x:v>702792</x:v>
      </x:c>
      <x:c r="I12" s="21" t="n">
        <x:f>'02_Data_Layanan'!O31</x:f>
        <x:v>405768949554.8498</x:v>
      </x:c>
      <x:c r="J12" s="20" t="n">
        <x:f>'02_Data_Layanan'!P31</x:f>
        <x:v>137</x:v>
      </x:c>
    </x:row>
    <x:row r="13">
      <x:c r="A13" s="5" t="str">
        <x:v>Utama</x:v>
      </x:c>
      <x:c r="B13" s="20" t="n">
        <x:f>'02_Data_Layanan'!H32</x:f>
        <x:v>1120</x:v>
      </x:c>
      <x:c r="C13" s="21" t="n">
        <x:f>'02_Data_Layanan'!I32</x:f>
        <x:v>947374700</x:v>
      </x:c>
      <x:c r="D13" s="21" t="n">
        <x:f>'02_Data_Layanan'!J32</x:f>
        <x:v>776993671.49</x:v>
      </x:c>
      <x:c r="E13" s="20" t="n">
        <x:f>'02_Data_Layanan'!K32</x:f>
        <x:v>1011256</x:v>
      </x:c>
      <x:c r="F13" s="21" t="n">
        <x:f>'02_Data_Layanan'!L32</x:f>
        <x:v>292073241450</x:v>
      </x:c>
      <x:c r="G13" s="21" t="n">
        <x:f>'02_Data_Layanan'!M32</x:f>
        <x:v>342398322600.3303</x:v>
      </x:c>
      <x:c r="H13" s="20" t="n">
        <x:f>'02_Data_Layanan'!N32</x:f>
        <x:v>1010136</x:v>
      </x:c>
      <x:c r="I13" s="21" t="n">
        <x:f>'02_Data_Layanan'!O32</x:f>
        <x:v>341621328928.84033</x:v>
      </x:c>
      <x:c r="J13" s="20" t="n">
        <x:f>'02_Data_Layanan'!P32</x:f>
        <x:v>10</x:v>
      </x:c>
    </x:row>
    <x:row r="14">
      <x:c r="A14" s="5" t="str">
        <x:v>Paripurna</x:v>
      </x:c>
      <x:c r="B14" s="20" t="n">
        <x:f>'02_Data_Layanan'!H33</x:f>
        <x:v>717</x:v>
      </x:c>
      <x:c r="C14" s="21" t="n">
        <x:f>'02_Data_Layanan'!I33</x:f>
        <x:v>272641900</x:v>
      </x:c>
      <x:c r="D14" s="21" t="n">
        <x:f>'02_Data_Layanan'!J33</x:f>
        <x:v>169105650.95000002</x:v>
      </x:c>
      <x:c r="E14" s="20" t="n">
        <x:f>'02_Data_Layanan'!K33</x:f>
        <x:v>316516</x:v>
      </x:c>
      <x:c r="F14" s="21" t="n">
        <x:f>'02_Data_Layanan'!L33</x:f>
        <x:v>78244273800</x:v>
      </x:c>
      <x:c r="G14" s="21" t="n">
        <x:f>'02_Data_Layanan'!M33</x:f>
        <x:v>88147156412.98988</x:v>
      </x:c>
      <x:c r="H14" s="20" t="n">
        <x:f>'02_Data_Layanan'!N33</x:f>
        <x:v>315799</x:v>
      </x:c>
      <x:c r="I14" s="21" t="n">
        <x:f>'02_Data_Layanan'!O33</x:f>
        <x:v>87978050762.03989</x:v>
      </x:c>
      <x:c r="J14" s="20" t="n">
        <x:f>'02_Data_Layanan'!P33</x:f>
        <x:v>8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'03_Parameter'!H44</x:f>
        <x:v>0.111</x:v>
      </x:c>
      <x:c r="C19" s="26" t="n">
        <x:f>'02_Data_Layanan'!N33*B19</x:f>
        <x:v>35053.689</x:v>
      </x:c>
      <x:c r="D19" s="27" t="n">
        <x:f>'02_Data_Layanan'!O33*B19</x:f>
        <x:v>9765563634.586428</x:v>
      </x:c>
      <x:c r="E19" s="13" t="n">
        <x:f>'03_Parameter'!G44</x:f>
        <x:v>0.053</x:v>
      </x:c>
      <x:c r="F19" s="26" t="n">
        <x:f>'02_Data_Layanan'!N32*E19</x:f>
        <x:v>53537.208</x:v>
      </x:c>
      <x:c r="G19" s="27" t="n">
        <x:f>'02_Data_Layanan'!O32*E19</x:f>
        <x:v>18105930433.22854</x:v>
      </x:c>
      <x:c r="H19" s="13" t="n">
        <x:f>'03_Parameter'!I44</x:f>
        <x:v>0.5</x:v>
      </x:c>
      <x:c r="I19" s="28" t="n">
        <x:f>'02_Data_Layanan'!H30*H19</x:f>
        <x:v>330</x:v>
      </x:c>
      <x:c r="J19" s="29" t="n">
        <x:f>'02_Data_Layanan'!I30*H19</x:f>
        <x:v>134220700</x:v>
      </x:c>
      <x:c r="K19" s="13" t="n">
        <x:f>'03_Parameter'!J44</x:f>
        <x:v>0.5</x:v>
      </x:c>
      <x:c r="L19" s="28" t="n">
        <x:f>'02_Data_Layanan'!H31*K19</x:f>
        <x:v>196.5</x:v>
      </x:c>
      <x:c r="M19" s="29" t="n">
        <x:f>'02_Data_Layanan'!I31*K19</x:f>
        <x:v>141487100</x:v>
      </x:c>
      <x:c r="N19" s="11" t="n">
        <x:f>C19+F19-(I19+L19)</x:f>
        <x:v>88064.397</x:v>
      </x:c>
      <x:c r="O19" s="11" t="n">
        <x:f>$B$6+N19</x:f>
        <x:v>90954.397</x:v>
      </x:c>
      <x:c r="P19" s="30" t="n">
        <x:f>IF($B$6=0,0,N19/$B$6)</x:f>
        <x:v>30.472109688581313</x:v>
      </x:c>
      <x:c r="Q19" s="10" t="n">
        <x:f>D19+G19-(J19+M19)</x:f>
        <x:v>27595786267.814964</x:v>
      </x:c>
      <x:c r="R19" s="10" t="n">
        <x:f>$B$7+Q19</x:f>
        <x:v>29367218467.814964</x:v>
      </x:c>
      <x:c r="S19" s="30" t="n">
        <x:f>IF($B$7=0,0,Q19/$B$7)</x:f>
        <x:v>15.578234531253843</x:v>
      </x:c>
    </x:row>
    <x:row r="20">
      <x:c r="A20" s="25" t="str">
        <x:v>Skenario 2</x:v>
      </x:c>
      <x:c r="B20" s="13" t="n">
        <x:f>'03_Parameter'!H45</x:f>
        <x:v>0.21100000000000002</x:v>
      </x:c>
      <x:c r="C20" s="26" t="n">
        <x:f>'02_Data_Layanan'!N33*B20</x:f>
        <x:v>66633.589</x:v>
      </x:c>
      <x:c r="D20" s="27" t="n">
        <x:f>'02_Data_Layanan'!O33*B20</x:f>
        <x:v>18563368710.790417</x:v>
      </x:c>
      <x:c r="E20" s="13" t="n">
        <x:f>'03_Parameter'!G45</x:f>
        <x:v>0.153</x:v>
      </x:c>
      <x:c r="F20" s="26" t="n">
        <x:f>'02_Data_Layanan'!N32*E20</x:f>
        <x:v>154550.808</x:v>
      </x:c>
      <x:c r="G20" s="27" t="n">
        <x:f>'02_Data_Layanan'!O32*E20</x:f>
        <x:v>52268063326.11257</x:v>
      </x:c>
      <x:c r="H20" s="13" t="n">
        <x:f>'03_Parameter'!I45</x:f>
        <x:v>0.6</x:v>
      </x:c>
      <x:c r="I20" s="28" t="n">
        <x:f>'02_Data_Layanan'!H30*H20</x:f>
        <x:v>396</x:v>
      </x:c>
      <x:c r="J20" s="29" t="n">
        <x:f>'02_Data_Layanan'!I30*H20</x:f>
        <x:v>161064840</x:v>
      </x:c>
      <x:c r="K20" s="13" t="n">
        <x:f>'03_Parameter'!J45</x:f>
        <x:v>0.6</x:v>
      </x:c>
      <x:c r="L20" s="28" t="n">
        <x:f>'02_Data_Layanan'!H31*K20</x:f>
        <x:v>235.79999999999998</x:v>
      </x:c>
      <x:c r="M20" s="29" t="n">
        <x:f>'02_Data_Layanan'!I31*K20</x:f>
        <x:v>169784520</x:v>
      </x:c>
      <x:c r="N20" s="11" t="n">
        <x:f>C20+F20-(I20+L20)</x:f>
        <x:v>220552.597</x:v>
      </x:c>
      <x:c r="O20" s="11" t="n">
        <x:f>$B$6+N20</x:f>
        <x:v>223442.597</x:v>
      </x:c>
      <x:c r="P20" s="30" t="n">
        <x:f>IF($B$6=0,0,N20/$B$6)</x:f>
        <x:v>76.31577750865053</x:v>
      </x:c>
      <x:c r="Q20" s="10" t="n">
        <x:f>D20+G20-(J20+M20)</x:f>
        <x:v>70500582676.90298</x:v>
      </x:c>
      <x:c r="R20" s="10" t="n">
        <x:f>$B$7+Q20</x:f>
        <x:v>72272014876.90298</x:v>
      </x:c>
      <x:c r="S20" s="30" t="n">
        <x:f>IF($B$7=0,0,Q20/$B$7)</x:f>
        <x:v>39.79863450427455</x:v>
      </x:c>
    </x:row>
    <x:row r="21">
      <x:c r="A21" s="25" t="str">
        <x:v>Skenario 3</x:v>
      </x:c>
      <x:c r="B21" s="13" t="n">
        <x:f>'03_Parameter'!H46</x:f>
        <x:v>0.311</x:v>
      </x:c>
      <x:c r="C21" s="26" t="n">
        <x:f>'02_Data_Layanan'!N33*B21</x:f>
        <x:v>98213.489</x:v>
      </x:c>
      <x:c r="D21" s="27" t="n">
        <x:f>'02_Data_Layanan'!O33*B21</x:f>
        <x:v>27361173786.994404</x:v>
      </x:c>
      <x:c r="E21" s="13" t="n">
        <x:f>'03_Parameter'!G46</x:f>
        <x:v>0.253</x:v>
      </x:c>
      <x:c r="F21" s="26" t="n">
        <x:f>'02_Data_Layanan'!N32*E21</x:f>
        <x:v>255564.408</x:v>
      </x:c>
      <x:c r="G21" s="27" t="n">
        <x:f>'02_Data_Layanan'!O32*E21</x:f>
        <x:v>86430196218.9966</x:v>
      </x:c>
      <x:c r="H21" s="13" t="n">
        <x:f>'03_Parameter'!I46</x:f>
        <x:v>0.7</x:v>
      </x:c>
      <x:c r="I21" s="28" t="n">
        <x:f>'02_Data_Layanan'!H30*H21</x:f>
        <x:v>461.99999999999994</x:v>
      </x:c>
      <x:c r="J21" s="29" t="n">
        <x:f>'02_Data_Layanan'!I30*H21</x:f>
        <x:v>187908980</x:v>
      </x:c>
      <x:c r="K21" s="13" t="n">
        <x:f>'03_Parameter'!J46</x:f>
        <x:v>0.7</x:v>
      </x:c>
      <x:c r="L21" s="28" t="n">
        <x:f>'02_Data_Layanan'!H31*K21</x:f>
        <x:v>275.09999999999997</x:v>
      </x:c>
      <x:c r="M21" s="29" t="n">
        <x:f>'02_Data_Layanan'!I31*K21</x:f>
        <x:v>198081940</x:v>
      </x:c>
      <x:c r="N21" s="11" t="n">
        <x:f>C21+F21-(I21+L21)</x:f>
        <x:v>353040.797</x:v>
      </x:c>
      <x:c r="O21" s="11" t="n">
        <x:f>$B$6+N21</x:f>
        <x:v>355930.797</x:v>
      </x:c>
      <x:c r="P21" s="30" t="n">
        <x:f>IF($B$6=0,0,N21/$B$6)</x:f>
        <x:v>122.15944532871973</x:v>
      </x:c>
      <x:c r="Q21" s="10" t="n">
        <x:f>D21+G21-(J21+M21)</x:f>
        <x:v>113405379085.991</x:v>
      </x:c>
      <x:c r="R21" s="10" t="n">
        <x:f>$B$7+Q21</x:f>
        <x:v>115176811285.991</x:v>
      </x:c>
      <x:c r="S21" s="30" t="n">
        <x:f>IF($B$7=0,0,Q21/$B$7)</x:f>
        <x:v>64.01903447729526</x:v>
      </x:c>
    </x:row>
    <x:row r="22">
      <x:c r="A22" s="25" t="str">
        <x:v>Skenario 4</x:v>
      </x:c>
      <x:c r="B22" s="13" t="n">
        <x:f>'03_Parameter'!H47</x:f>
        <x:v>0.41100000000000003</x:v>
      </x:c>
      <x:c r="C22" s="26" t="n">
        <x:f>'02_Data_Layanan'!N33*B22</x:f>
        <x:v>129793.38900000001</x:v>
      </x:c>
      <x:c r="D22" s="27" t="n">
        <x:f>'02_Data_Layanan'!O33*B22</x:f>
        <x:v>36158978863.198395</x:v>
      </x:c>
      <x:c r="E22" s="13" t="n">
        <x:f>'03_Parameter'!G47</x:f>
        <x:v>0.353</x:v>
      </x:c>
      <x:c r="F22" s="26" t="n">
        <x:f>'02_Data_Layanan'!N32*E22</x:f>
        <x:v>356578.008</x:v>
      </x:c>
      <x:c r="G22" s="27" t="n">
        <x:f>'02_Data_Layanan'!O32*E22</x:f>
        <x:v>120592329111.88063</x:v>
      </x:c>
      <x:c r="H22" s="13" t="n">
        <x:f>'03_Parameter'!I47</x:f>
        <x:v>0.8</x:v>
      </x:c>
      <x:c r="I22" s="28" t="n">
        <x:f>'02_Data_Layanan'!H30*H22</x:f>
        <x:v>528</x:v>
      </x:c>
      <x:c r="J22" s="29" t="n">
        <x:f>'02_Data_Layanan'!I30*H22</x:f>
        <x:v>214753120</x:v>
      </x:c>
      <x:c r="K22" s="13" t="n">
        <x:f>'03_Parameter'!J47</x:f>
        <x:v>0.8</x:v>
      </x:c>
      <x:c r="L22" s="28" t="n">
        <x:f>'02_Data_Layanan'!H31*K22</x:f>
        <x:v>314.40000000000003</x:v>
      </x:c>
      <x:c r="M22" s="29" t="n">
        <x:f>'02_Data_Layanan'!I31*K22</x:f>
        <x:v>226379360</x:v>
      </x:c>
      <x:c r="N22" s="11" t="n">
        <x:f>C22+F22-(I22+L22)</x:f>
        <x:v>485528.997</x:v>
      </x:c>
      <x:c r="O22" s="11" t="n">
        <x:f>$B$6+N22</x:f>
        <x:v>488418.997</x:v>
      </x:c>
      <x:c r="P22" s="30" t="n">
        <x:f>IF($B$6=0,0,N22/$B$6)</x:f>
        <x:v>168.0031131487889</x:v>
      </x:c>
      <x:c r="Q22" s="10" t="n">
        <x:f>D22+G22-(J22+M22)</x:f>
        <x:v>156310175495.07904</x:v>
      </x:c>
      <x:c r="R22" s="10" t="n">
        <x:f>$B$7+Q22</x:f>
        <x:v>158081607695.07904</x:v>
      </x:c>
      <x:c r="S22" s="30" t="n">
        <x:f>IF($B$7=0,0,Q22/$B$7)</x:f>
        <x:v>88.23943445031598</x:v>
      </x:c>
    </x:row>
    <x:row r="23">
      <x:c r="A23" s="25" t="str">
        <x:v>Skenario 5</x:v>
      </x:c>
      <x:c r="B23" s="13" t="n">
        <x:f>'03_Parameter'!H48</x:f>
        <x:v>0.511</x:v>
      </x:c>
      <x:c r="C23" s="26" t="n">
        <x:f>'02_Data_Layanan'!N33*B23</x:f>
        <x:v>161373.289</x:v>
      </x:c>
      <x:c r="D23" s="27" t="n">
        <x:f>'02_Data_Layanan'!O33*B23</x:f>
        <x:v>44956783939.40238</x:v>
      </x:c>
      <x:c r="E23" s="13" t="n">
        <x:f>'03_Parameter'!G48</x:f>
        <x:v>0.45299999999999996</x:v>
      </x:c>
      <x:c r="F23" s="26" t="n">
        <x:f>'02_Data_Layanan'!N32*E23</x:f>
        <x:v>457591.60799999995</x:v>
      </x:c>
      <x:c r="G23" s="27" t="n">
        <x:f>'02_Data_Layanan'!O32*E23</x:f>
        <x:v>154754462004.76465</x:v>
      </x:c>
      <x:c r="H23" s="13" t="n">
        <x:f>'03_Parameter'!I48</x:f>
        <x:v>0.9</x:v>
      </x:c>
      <x:c r="I23" s="28" t="n">
        <x:f>'02_Data_Layanan'!H30*H23</x:f>
        <x:v>594</x:v>
      </x:c>
      <x:c r="J23" s="29" t="n">
        <x:f>'02_Data_Layanan'!I30*H23</x:f>
        <x:v>241597260</x:v>
      </x:c>
      <x:c r="K23" s="13" t="n">
        <x:f>'03_Parameter'!J48</x:f>
        <x:v>0.9</x:v>
      </x:c>
      <x:c r="L23" s="28" t="n">
        <x:f>'02_Data_Layanan'!H31*K23</x:f>
        <x:v>353.7</x:v>
      </x:c>
      <x:c r="M23" s="29" t="n">
        <x:f>'02_Data_Layanan'!I31*K23</x:f>
        <x:v>254676780</x:v>
      </x:c>
      <x:c r="N23" s="11" t="n">
        <x:f>C23+F23-(I23+L23)</x:f>
        <x:v>618017.1969999999</x:v>
      </x:c>
      <x:c r="O23" s="11" t="n">
        <x:f>$B$6+N23</x:f>
        <x:v>620907.1969999999</x:v>
      </x:c>
      <x:c r="P23" s="30" t="n">
        <x:f>IF($B$6=0,0,N23/$B$6)</x:f>
        <x:v>213.8467809688581</x:v>
      </x:c>
      <x:c r="Q23" s="10" t="n">
        <x:f>D23+G23-(J23+M23)</x:f>
        <x:v>199214971904.16702</x:v>
      </x:c>
      <x:c r="R23" s="10" t="n">
        <x:f>$B$7+Q23</x:f>
        <x:v>200986404104.16702</x:v>
      </x:c>
      <x:c r="S23" s="30" t="n">
        <x:f>IF($B$7=0,0,Q23/$B$7)</x:f>
        <x:v>112.45983442333667</x:v>
      </x:c>
    </x:row>
    <x:row r="24">
      <x:c r="A24" s="25" t="str">
        <x:v>Skenario 6</x:v>
      </x:c>
      <x:c r="B24" s="13" t="n">
        <x:f>'03_Parameter'!H49</x:f>
        <x:v>0.611</x:v>
      </x:c>
      <x:c r="C24" s="26" t="n">
        <x:f>'02_Data_Layanan'!N33*B24</x:f>
        <x:v>192953.18899999998</x:v>
      </x:c>
      <x:c r="D24" s="27" t="n">
        <x:f>'02_Data_Layanan'!O33*B24</x:f>
        <x:v>53754589015.60637</x:v>
      </x:c>
      <x:c r="E24" s="13" t="n">
        <x:f>'03_Parameter'!G49</x:f>
        <x:v>0.5529999999999999</x:v>
      </x:c>
      <x:c r="F24" s="26" t="n">
        <x:f>'02_Data_Layanan'!N32*E24</x:f>
        <x:v>558605.208</x:v>
      </x:c>
      <x:c r="G24" s="27" t="n">
        <x:f>'02_Data_Layanan'!O32*E24</x:f>
        <x:v>188916594897.64868</x:v>
      </x:c>
      <x:c r="H24" s="13" t="n">
        <x:f>'03_Parameter'!I49</x:f>
        <x:v>1</x:v>
      </x:c>
      <x:c r="I24" s="28" t="n">
        <x:f>'02_Data_Layanan'!H30*H24</x:f>
        <x:v>660</x:v>
      </x:c>
      <x:c r="J24" s="29" t="n">
        <x:f>'02_Data_Layanan'!I30*H24</x:f>
        <x:v>268441400</x:v>
      </x:c>
      <x:c r="K24" s="13" t="n">
        <x:f>'03_Parameter'!J49</x:f>
        <x:v>1</x:v>
      </x:c>
      <x:c r="L24" s="28" t="n">
        <x:f>'02_Data_Layanan'!H31*K24</x:f>
        <x:v>393</x:v>
      </x:c>
      <x:c r="M24" s="29" t="n">
        <x:f>'02_Data_Layanan'!I31*K24</x:f>
        <x:v>282974200</x:v>
      </x:c>
      <x:c r="N24" s="11" t="n">
        <x:f>C24+F24-(I24+L24)</x:f>
        <x:v>750505.397</x:v>
      </x:c>
      <x:c r="O24" s="11" t="n">
        <x:f>$B$6+N24</x:f>
        <x:v>753395.397</x:v>
      </x:c>
      <x:c r="P24" s="30" t="n">
        <x:f>IF($B$6=0,0,N24/$B$6)</x:f>
        <x:v>259.6904487889273</x:v>
      </x:c>
      <x:c r="Q24" s="10" t="n">
        <x:f>D24+G24-(J24+M24)</x:f>
        <x:v>242119768313.25507</x:v>
      </x:c>
      <x:c r="R24" s="10" t="n">
        <x:f>$B$7+Q24</x:f>
        <x:v>243891200513.25507</x:v>
      </x:c>
      <x:c r="S24" s="30" t="n">
        <x:f>IF($B$7=0,0,Q24/$B$7)</x:f>
        <x:v>136.6802343963574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Keracunan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0.013581294852997916</x:v>
      </x:c>
      <x:c r="K5" s="16" t="str">
        <x:v>Setara/lebih tinggi</x:v>
      </x:c>
      <x:c r="L5" s="11" t="n">
        <x:f>'02_Data_Layanan'!Q34</x:f>
        <x:v>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SUM('02_Data_Layanan'!H34,'02_Data_Layanan'!H35,'02_Data_Layanan'!H36,'02_Data_Layanan'!H37)</x:f>
        <x:v>176</x:v>
      </x:c>
      <x:c r="C6" s="7" t="str"/>
      <x:c r="D6" s="7" t="str"/>
      <x:c r="E6" s="15" t="str">
        <x:v>Total Kasus</x:v>
      </x:c>
      <x:c r="F6" s="18" t="n">
        <x:f>SUM('02_Data_Layanan'!K34,'02_Data_Layanan'!K35,'02_Data_Layanan'!K36,'02_Data_Layanan'!K37)</x:f>
        <x:v>12959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Awal Bros Batam; RS Umum Pusat Dr. Hasan Sadikin; RS Umum Pusat Dr. Kariadi; RS Umum Daerah Dr. Saiful Anwar;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SUM('02_Data_Layanan'!I34,'02_Data_Layanan'!I35,'02_Data_Layanan'!I36,'02_Data_Layanan'!I37)</x:f>
        <x:v>595372500</x:v>
      </x:c>
      <x:c r="C7" s="7" t="str"/>
      <x:c r="D7" s="7" t="str"/>
      <x:c r="E7" s="15" t="str">
        <x:v>Pendapatan INA</x:v>
      </x:c>
      <x:c r="F7" s="19" t="n">
        <x:f>SUM('02_Data_Layanan'!L34,'02_Data_Layanan'!L35,'02_Data_Layanan'!L36,'02_Data_Layanan'!L37)</x:f>
        <x:v>31046878100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SUM('02_Data_Layanan'!J34,'02_Data_Layanan'!J35,'02_Data_Layanan'!J36,'02_Data_Layanan'!J37)</x:f>
        <x:v>603012328.1999999</x:v>
      </x:c>
      <x:c r="C8" s="7" t="str"/>
      <x:c r="D8" s="7" t="str"/>
      <x:c r="E8" s="15" t="str">
        <x:v>Pendapatan iDRG</x:v>
      </x:c>
      <x:c r="F8" s="19" t="n">
        <x:f>SUM('02_Data_Layanan'!M34,'02_Data_Layanan'!M35,'02_Data_Layanan'!M36,'02_Data_Layanan'!M37)</x:f>
        <x:v>44344383226.40004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'02_Data_Layanan'!H34</x:f>
        <x:v>19</x:v>
      </x:c>
      <x:c r="C11" s="21" t="n">
        <x:f>'02_Data_Layanan'!I34</x:f>
        <x:v>72143400</x:v>
      </x:c>
      <x:c r="D11" s="21" t="n">
        <x:f>'02_Data_Layanan'!J34</x:f>
        <x:v>74558393</x:v>
      </x:c>
      <x:c r="E11" s="20" t="n">
        <x:f>'02_Data_Layanan'!K34</x:f>
        <x:v>1786</x:v>
      </x:c>
      <x:c r="F11" s="21" t="n">
        <x:f>'02_Data_Layanan'!L34</x:f>
        <x:v>4392307200</x:v>
      </x:c>
      <x:c r="G11" s="21" t="n">
        <x:f>'02_Data_Layanan'!M34</x:f>
        <x:v>6298023300.39999</x:v>
      </x:c>
      <x:c r="H11" s="20" t="n">
        <x:f>'02_Data_Layanan'!N34</x:f>
        <x:v>1767</x:v>
      </x:c>
      <x:c r="I11" s="21" t="n">
        <x:f>'02_Data_Layanan'!O34</x:f>
        <x:v>6223464907.39999</x:v>
      </x:c>
      <x:c r="J11" s="20" t="n">
        <x:f>'02_Data_Layanan'!P34</x:f>
        <x:v>634</x:v>
      </x:c>
    </x:row>
    <x:row r="12">
      <x:c r="A12" s="5" t="str">
        <x:v>Madya</x:v>
      </x:c>
      <x:c r="B12" s="20" t="n">
        <x:f>'02_Data_Layanan'!H35</x:f>
        <x:v>14</x:v>
      </x:c>
      <x:c r="C12" s="21" t="n">
        <x:f>'02_Data_Layanan'!I35</x:f>
        <x:v>80432700</x:v>
      </x:c>
      <x:c r="D12" s="21" t="n">
        <x:f>'02_Data_Layanan'!J35</x:f>
        <x:v>73539099</x:v>
      </x:c>
      <x:c r="E12" s="20" t="n">
        <x:f>'02_Data_Layanan'!K35</x:f>
        <x:v>7722</x:v>
      </x:c>
      <x:c r="F12" s="21" t="n">
        <x:f>'02_Data_Layanan'!L35</x:f>
        <x:v>18596356100</x:v>
      </x:c>
      <x:c r="G12" s="21" t="n">
        <x:f>'02_Data_Layanan'!M35</x:f>
        <x:v>26608264193.20007</x:v>
      </x:c>
      <x:c r="H12" s="20" t="n">
        <x:f>'02_Data_Layanan'!N35</x:f>
        <x:v>7708</x:v>
      </x:c>
      <x:c r="I12" s="21" t="n">
        <x:f>'02_Data_Layanan'!O35</x:f>
        <x:v>26534725094.20007</x:v>
      </x:c>
      <x:c r="J12" s="20" t="n">
        <x:f>'02_Data_Layanan'!P35</x:f>
        <x:v>159</x:v>
      </x:c>
    </x:row>
    <x:row r="13">
      <x:c r="A13" s="5" t="str">
        <x:v>Utama</x:v>
      </x:c>
      <x:c r="B13" s="20" t="n">
        <x:f>'02_Data_Layanan'!H36</x:f>
        <x:v>142</x:v>
      </x:c>
      <x:c r="C13" s="21" t="n">
        <x:f>'02_Data_Layanan'!I36</x:f>
        <x:v>436075500</x:v>
      </x:c>
      <x:c r="D13" s="21" t="n">
        <x:f>'02_Data_Layanan'!J36</x:f>
        <x:v>451780382.8</x:v>
      </x:c>
      <x:c r="E13" s="20" t="n">
        <x:f>'02_Data_Layanan'!K36</x:f>
        <x:v>3263</x:v>
      </x:c>
      <x:c r="F13" s="21" t="n">
        <x:f>'02_Data_Layanan'!L36</x:f>
        <x:v>7571019800</x:v>
      </x:c>
      <x:c r="G13" s="21" t="n">
        <x:f>'02_Data_Layanan'!M36</x:f>
        <x:v>10741134544.799976</x:v>
      </x:c>
      <x:c r="H13" s="20" t="n">
        <x:f>'02_Data_Layanan'!N36</x:f>
        <x:v>3121</x:v>
      </x:c>
      <x:c r="I13" s="21" t="n">
        <x:f>'02_Data_Layanan'!O36</x:f>
        <x:v>10289354161.999977</x:v>
      </x:c>
      <x:c r="J13" s="20" t="n">
        <x:f>'02_Data_Layanan'!P36</x:f>
        <x:v>75</x:v>
      </x:c>
    </x:row>
    <x:row r="14">
      <x:c r="A14" s="5" t="str">
        <x:v>Paripurna</x:v>
      </x:c>
      <x:c r="B14" s="20" t="n">
        <x:f>'02_Data_Layanan'!H37</x:f>
        <x:v>1</x:v>
      </x:c>
      <x:c r="C14" s="21" t="n">
        <x:f>'02_Data_Layanan'!I37</x:f>
        <x:v>6720900</x:v>
      </x:c>
      <x:c r="D14" s="21" t="n">
        <x:f>'02_Data_Layanan'!J37</x:f>
        <x:v>3134453.4</x:v>
      </x:c>
      <x:c r="E14" s="20" t="n">
        <x:f>'02_Data_Layanan'!K37</x:f>
        <x:v>188</x:v>
      </x:c>
      <x:c r="F14" s="21" t="n">
        <x:f>'02_Data_Layanan'!L37</x:f>
        <x:v>487195000</x:v>
      </x:c>
      <x:c r="G14" s="21" t="n">
        <x:f>'02_Data_Layanan'!M37</x:f>
        <x:v>696961187.9999996</x:v>
      </x:c>
      <x:c r="H14" s="20" t="n">
        <x:f>'02_Data_Layanan'!N37</x:f>
        <x:v>187</x:v>
      </x:c>
      <x:c r="I14" s="21" t="n">
        <x:f>'02_Data_Layanan'!O37</x:f>
        <x:v>693826734.5999997</x:v>
      </x:c>
      <x:c r="J14" s="20" t="n">
        <x:f>'02_Data_Layanan'!P37</x:f>
        <x:v>7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'03_Parameter'!H50</x:f>
        <x:v>0.125</x:v>
      </x:c>
      <x:c r="C19" s="26" t="n">
        <x:f>'02_Data_Layanan'!N37*B19</x:f>
        <x:v>23.375</x:v>
      </x:c>
      <x:c r="D19" s="27" t="n">
        <x:f>'02_Data_Layanan'!O37*B19</x:f>
        <x:v>86728341.82499996</x:v>
      </x:c>
      <x:c r="E19" s="13" t="n">
        <x:f>'03_Parameter'!G50</x:f>
        <x:v>0.012</x:v>
      </x:c>
      <x:c r="F19" s="26" t="n">
        <x:f>'02_Data_Layanan'!N36*E19</x:f>
        <x:v>37.452</x:v>
      </x:c>
      <x:c r="G19" s="27" t="n">
        <x:f>'02_Data_Layanan'!O36*E19</x:f>
        <x:v>123472249.94399972</x:v>
      </x:c>
      <x:c r="H19" s="13" t="n">
        <x:f>'03_Parameter'!I50</x:f>
        <x:v>0.5</x:v>
      </x:c>
      <x:c r="I19" s="28" t="n">
        <x:f>'02_Data_Layanan'!H34*H19</x:f>
        <x:v>9.5</x:v>
      </x:c>
      <x:c r="J19" s="29" t="n">
        <x:f>'02_Data_Layanan'!I34*H19</x:f>
        <x:v>36071700</x:v>
      </x:c>
      <x:c r="K19" s="13" t="n">
        <x:f>'03_Parameter'!J50</x:f>
        <x:v>0.5</x:v>
      </x:c>
      <x:c r="L19" s="28" t="n">
        <x:f>'02_Data_Layanan'!H35*K19</x:f>
        <x:v>7</x:v>
      </x:c>
      <x:c r="M19" s="29" t="n">
        <x:f>'02_Data_Layanan'!I35*K19</x:f>
        <x:v>40216350</x:v>
      </x:c>
      <x:c r="N19" s="11" t="n">
        <x:f>C19+F19-(I19+L19)</x:f>
        <x:v>44.327</x:v>
      </x:c>
      <x:c r="O19" s="11" t="n">
        <x:f>$B$6+N19</x:f>
        <x:v>220.327</x:v>
      </x:c>
      <x:c r="P19" s="30" t="n">
        <x:f>IF($B$6=0,0,N19/$B$6)</x:f>
        <x:v>0.2518579545454545</x:v>
      </x:c>
      <x:c r="Q19" s="10" t="n">
        <x:f>D19+G19-(J19+M19)</x:f>
        <x:v>133912541.7689997</x:v>
      </x:c>
      <x:c r="R19" s="10" t="n">
        <x:f>$B$7+Q19</x:f>
        <x:v>729285041.7689997</x:v>
      </x:c>
      <x:c r="S19" s="30" t="n">
        <x:f>IF($B$7=0,0,Q19/$B$7)</x:f>
        <x:v>0.2249222827204812</x:v>
      </x:c>
    </x:row>
    <x:row r="20">
      <x:c r="A20" s="25" t="str">
        <x:v>Skenario 2</x:v>
      </x:c>
      <x:c r="B20" s="13" t="n">
        <x:f>'03_Parameter'!H51</x:f>
        <x:v>0.225</x:v>
      </x:c>
      <x:c r="C20" s="26" t="n">
        <x:f>'02_Data_Layanan'!N37*B20</x:f>
        <x:v>42.075</x:v>
      </x:c>
      <x:c r="D20" s="27" t="n">
        <x:f>'02_Data_Layanan'!O37*B20</x:f>
        <x:v>156111015.28499994</x:v>
      </x:c>
      <x:c r="E20" s="13" t="n">
        <x:f>'03_Parameter'!G51</x:f>
        <x:v>0.11199999999999999</x:v>
      </x:c>
      <x:c r="F20" s="26" t="n">
        <x:f>'02_Data_Layanan'!N36*E20</x:f>
        <x:v>349.55199999999996</x:v>
      </x:c>
      <x:c r="G20" s="27" t="n">
        <x:f>'02_Data_Layanan'!O36*E20</x:f>
        <x:v>1152407666.1439974</x:v>
      </x:c>
      <x:c r="H20" s="13" t="n">
        <x:f>'03_Parameter'!I51</x:f>
        <x:v>0.6</x:v>
      </x:c>
      <x:c r="I20" s="28" t="n">
        <x:f>'02_Data_Layanan'!H34*H20</x:f>
        <x:v>11.4</x:v>
      </x:c>
      <x:c r="J20" s="29" t="n">
        <x:f>'02_Data_Layanan'!I34*H20</x:f>
        <x:v>43286040</x:v>
      </x:c>
      <x:c r="K20" s="13" t="n">
        <x:f>'03_Parameter'!J51</x:f>
        <x:v>0.6</x:v>
      </x:c>
      <x:c r="L20" s="28" t="n">
        <x:f>'02_Data_Layanan'!H35*K20</x:f>
        <x:v>8.4</x:v>
      </x:c>
      <x:c r="M20" s="29" t="n">
        <x:f>'02_Data_Layanan'!I35*K20</x:f>
        <x:v>48259620</x:v>
      </x:c>
      <x:c r="N20" s="11" t="n">
        <x:f>C20+F20-(I20+L20)</x:f>
        <x:v>371.82699999999994</x:v>
      </x:c>
      <x:c r="O20" s="11" t="n">
        <x:f>$B$6+N20</x:f>
        <x:v>547.827</x:v>
      </x:c>
      <x:c r="P20" s="30" t="n">
        <x:f>IF($B$6=0,0,N20/$B$6)</x:f>
        <x:v>2.1126534090909086</x:v>
      </x:c>
      <x:c r="Q20" s="10" t="n">
        <x:f>D20+G20-(J20+M20)</x:f>
        <x:v>1216973021.4289973</x:v>
      </x:c>
      <x:c r="R20" s="10" t="n">
        <x:f>$B$7+Q20</x:f>
        <x:v>1812345521.4289973</x:v>
      </x:c>
      <x:c r="S20" s="30" t="n">
        <x:f>IF($B$7=0,0,Q20/$B$7)</x:f>
        <x:v>2.0440531288042316</x:v>
      </x:c>
    </x:row>
    <x:row r="21">
      <x:c r="A21" s="25" t="str">
        <x:v>Skenario 3</x:v>
      </x:c>
      <x:c r="B21" s="13" t="n">
        <x:f>'03_Parameter'!H52</x:f>
        <x:v>0.325</x:v>
      </x:c>
      <x:c r="C21" s="26" t="n">
        <x:f>'02_Data_Layanan'!N37*B21</x:f>
        <x:v>60.775</x:v>
      </x:c>
      <x:c r="D21" s="27" t="n">
        <x:f>'02_Data_Layanan'!O37*B21</x:f>
        <x:v>225493688.7449999</x:v>
      </x:c>
      <x:c r="E21" s="13" t="n">
        <x:f>'03_Parameter'!G52</x:f>
        <x:v>0.212</x:v>
      </x:c>
      <x:c r="F21" s="26" t="n">
        <x:f>'02_Data_Layanan'!N36*E21</x:f>
        <x:v>661.6519999999999</x:v>
      </x:c>
      <x:c r="G21" s="27" t="n">
        <x:f>'02_Data_Layanan'!O36*E21</x:f>
        <x:v>2181343082.343995</x:v>
      </x:c>
      <x:c r="H21" s="13" t="n">
        <x:f>'03_Parameter'!I52</x:f>
        <x:v>0.7</x:v>
      </x:c>
      <x:c r="I21" s="28" t="n">
        <x:f>'02_Data_Layanan'!H34*H21</x:f>
        <x:v>13.299999999999999</x:v>
      </x:c>
      <x:c r="J21" s="29" t="n">
        <x:f>'02_Data_Layanan'!I34*H21</x:f>
        <x:v>50500380</x:v>
      </x:c>
      <x:c r="K21" s="13" t="n">
        <x:f>'03_Parameter'!J52</x:f>
        <x:v>0.7</x:v>
      </x:c>
      <x:c r="L21" s="28" t="n">
        <x:f>'02_Data_Layanan'!H35*K21</x:f>
        <x:v>9.799999999999999</x:v>
      </x:c>
      <x:c r="M21" s="29" t="n">
        <x:f>'02_Data_Layanan'!I35*K21</x:f>
        <x:v>56302890</x:v>
      </x:c>
      <x:c r="N21" s="11" t="n">
        <x:f>C21+F21-(I21+L21)</x:f>
        <x:v>699.3269999999999</x:v>
      </x:c>
      <x:c r="O21" s="11" t="n">
        <x:f>$B$6+N21</x:f>
        <x:v>875.3269999999999</x:v>
      </x:c>
      <x:c r="P21" s="30" t="n">
        <x:f>IF($B$6=0,0,N21/$B$6)</x:f>
        <x:v>3.973448863636363</x:v>
      </x:c>
      <x:c r="Q21" s="10" t="n">
        <x:f>D21+G21-(J21+M21)</x:f>
        <x:v>2300033501.088995</x:v>
      </x:c>
      <x:c r="R21" s="10" t="n">
        <x:f>$B$7+Q21</x:f>
        <x:v>2895406001.088995</x:v>
      </x:c>
      <x:c r="S21" s="30" t="n">
        <x:f>IF($B$7=0,0,Q21/$B$7)</x:f>
        <x:v>3.8631839748879817</x:v>
      </x:c>
    </x:row>
    <x:row r="22">
      <x:c r="A22" s="25" t="str">
        <x:v>Skenario 4</x:v>
      </x:c>
      <x:c r="B22" s="13" t="n">
        <x:f>'03_Parameter'!H53</x:f>
        <x:v>0.425</x:v>
      </x:c>
      <x:c r="C22" s="26" t="n">
        <x:f>'02_Data_Layanan'!N37*B22</x:f>
        <x:v>79.475</x:v>
      </x:c>
      <x:c r="D22" s="27" t="n">
        <x:f>'02_Data_Layanan'!O37*B22</x:f>
        <x:v>294876362.20499986</x:v>
      </x:c>
      <x:c r="E22" s="13" t="n">
        <x:f>'03_Parameter'!G53</x:f>
        <x:v>0.312</x:v>
      </x:c>
      <x:c r="F22" s="26" t="n">
        <x:f>'02_Data_Layanan'!N36*E22</x:f>
        <x:v>973.752</x:v>
      </x:c>
      <x:c r="G22" s="27" t="n">
        <x:f>'02_Data_Layanan'!O36*E22</x:f>
        <x:v>3210278498.543993</x:v>
      </x:c>
      <x:c r="H22" s="13" t="n">
        <x:f>'03_Parameter'!I53</x:f>
        <x:v>0.8</x:v>
      </x:c>
      <x:c r="I22" s="28" t="n">
        <x:f>'02_Data_Layanan'!H34*H22</x:f>
        <x:v>15.200000000000001</x:v>
      </x:c>
      <x:c r="J22" s="29" t="n">
        <x:f>'02_Data_Layanan'!I34*H22</x:f>
        <x:v>57714720</x:v>
      </x:c>
      <x:c r="K22" s="13" t="n">
        <x:f>'03_Parameter'!J53</x:f>
        <x:v>0.8</x:v>
      </x:c>
      <x:c r="L22" s="28" t="n">
        <x:f>'02_Data_Layanan'!H35*K22</x:f>
        <x:v>11.200000000000001</x:v>
      </x:c>
      <x:c r="M22" s="29" t="n">
        <x:f>'02_Data_Layanan'!I35*K22</x:f>
        <x:v>64346160</x:v>
      </x:c>
      <x:c r="N22" s="11" t="n">
        <x:f>C22+F22-(I22+L22)</x:f>
        <x:v>1026.8269999999998</x:v>
      </x:c>
      <x:c r="O22" s="11" t="n">
        <x:f>$B$6+N22</x:f>
        <x:v>1202.8269999999998</x:v>
      </x:c>
      <x:c r="P22" s="30" t="n">
        <x:f>IF($B$6=0,0,N22/$B$6)</x:f>
        <x:v>5.834244318181817</x:v>
      </x:c>
      <x:c r="Q22" s="10" t="n">
        <x:f>D22+G22-(J22+M22)</x:f>
        <x:v>3383093980.748993</x:v>
      </x:c>
      <x:c r="R22" s="10" t="n">
        <x:f>$B$7+Q22</x:f>
        <x:v>3978466480.748993</x:v>
      </x:c>
      <x:c r="S22" s="30" t="n">
        <x:f>IF($B$7=0,0,Q22/$B$7)</x:f>
        <x:v>5.682314820971733</x:v>
      </x:c>
    </x:row>
    <x:row r="23">
      <x:c r="A23" s="25" t="str">
        <x:v>Skenario 5</x:v>
      </x:c>
      <x:c r="B23" s="13" t="n">
        <x:f>'03_Parameter'!H54</x:f>
        <x:v>0.525</x:v>
      </x:c>
      <x:c r="C23" s="26" t="n">
        <x:f>'02_Data_Layanan'!N37*B23</x:f>
        <x:v>98.175</x:v>
      </x:c>
      <x:c r="D23" s="27" t="n">
        <x:f>'02_Data_Layanan'!O37*B23</x:f>
        <x:v>364259035.66499984</x:v>
      </x:c>
      <x:c r="E23" s="13" t="n">
        <x:f>'03_Parameter'!G54</x:f>
        <x:v>0.41200000000000003</x:v>
      </x:c>
      <x:c r="F23" s="26" t="n">
        <x:f>'02_Data_Layanan'!N36*E23</x:f>
        <x:v>1285.852</x:v>
      </x:c>
      <x:c r="G23" s="27" t="n">
        <x:f>'02_Data_Layanan'!O36*E23</x:f>
        <x:v>4239213914.743991</x:v>
      </x:c>
      <x:c r="H23" s="13" t="n">
        <x:f>'03_Parameter'!I54</x:f>
        <x:v>0.9</x:v>
      </x:c>
      <x:c r="I23" s="28" t="n">
        <x:f>'02_Data_Layanan'!H34*H23</x:f>
        <x:v>17.1</x:v>
      </x:c>
      <x:c r="J23" s="29" t="n">
        <x:f>'02_Data_Layanan'!I34*H23</x:f>
        <x:v>64929060</x:v>
      </x:c>
      <x:c r="K23" s="13" t="n">
        <x:f>'03_Parameter'!J54</x:f>
        <x:v>0.9</x:v>
      </x:c>
      <x:c r="L23" s="28" t="n">
        <x:f>'02_Data_Layanan'!H35*K23</x:f>
        <x:v>12.6</x:v>
      </x:c>
      <x:c r="M23" s="29" t="n">
        <x:f>'02_Data_Layanan'!I35*K23</x:f>
        <x:v>72389430</x:v>
      </x:c>
      <x:c r="N23" s="11" t="n">
        <x:f>C23+F23-(I23+L23)</x:f>
        <x:v>1354.327</x:v>
      </x:c>
      <x:c r="O23" s="11" t="n">
        <x:f>$B$6+N23</x:f>
        <x:v>1530.327</x:v>
      </x:c>
      <x:c r="P23" s="30" t="n">
        <x:f>IF($B$6=0,0,N23/$B$6)</x:f>
        <x:v>7.695039772727273</x:v>
      </x:c>
      <x:c r="Q23" s="10" t="n">
        <x:f>D23+G23-(J23+M23)</x:f>
        <x:v>4466154460.408991</x:v>
      </x:c>
      <x:c r="R23" s="10" t="n">
        <x:f>$B$7+Q23</x:f>
        <x:v>5061526960.408991</x:v>
      </x:c>
      <x:c r="S23" s="30" t="n">
        <x:f>IF($B$7=0,0,Q23/$B$7)</x:f>
        <x:v>7.501445667055483</x:v>
      </x:c>
    </x:row>
    <x:row r="24">
      <x:c r="A24" s="25" t="str">
        <x:v>Skenario 6</x:v>
      </x:c>
      <x:c r="B24" s="13" t="n">
        <x:f>'03_Parameter'!H55</x:f>
        <x:v>0.625</x:v>
      </x:c>
      <x:c r="C24" s="26" t="n">
        <x:f>'02_Data_Layanan'!N37*B24</x:f>
        <x:v>116.875</x:v>
      </x:c>
      <x:c r="D24" s="27" t="n">
        <x:f>'02_Data_Layanan'!O37*B24</x:f>
        <x:v>433641709.12499976</x:v>
      </x:c>
      <x:c r="E24" s="13" t="n">
        <x:f>'03_Parameter'!G55</x:f>
        <x:v>0.512</x:v>
      </x:c>
      <x:c r="F24" s="26" t="n">
        <x:f>'02_Data_Layanan'!N36*E24</x:f>
        <x:v>1597.952</x:v>
      </x:c>
      <x:c r="G24" s="27" t="n">
        <x:f>'02_Data_Layanan'!O36*E24</x:f>
        <x:v>5268149330.943989</x:v>
      </x:c>
      <x:c r="H24" s="13" t="n">
        <x:f>'03_Parameter'!I55</x:f>
        <x:v>1</x:v>
      </x:c>
      <x:c r="I24" s="28" t="n">
        <x:f>'02_Data_Layanan'!H34*H24</x:f>
        <x:v>19</x:v>
      </x:c>
      <x:c r="J24" s="29" t="n">
        <x:f>'02_Data_Layanan'!I34*H24</x:f>
        <x:v>72143400</x:v>
      </x:c>
      <x:c r="K24" s="13" t="n">
        <x:f>'03_Parameter'!J55</x:f>
        <x:v>1</x:v>
      </x:c>
      <x:c r="L24" s="28" t="n">
        <x:f>'02_Data_Layanan'!H35*K24</x:f>
        <x:v>14</x:v>
      </x:c>
      <x:c r="M24" s="29" t="n">
        <x:f>'02_Data_Layanan'!I35*K24</x:f>
        <x:v>80432700</x:v>
      </x:c>
      <x:c r="N24" s="11" t="n">
        <x:f>C24+F24-(I24+L24)</x:f>
        <x:v>1681.827</x:v>
      </x:c>
      <x:c r="O24" s="11" t="n">
        <x:f>$B$6+N24</x:f>
        <x:v>1857.827</x:v>
      </x:c>
      <x:c r="P24" s="30" t="n">
        <x:f>IF($B$6=0,0,N24/$B$6)</x:f>
        <x:v>9.555835227272727</x:v>
      </x:c>
      <x:c r="Q24" s="10" t="n">
        <x:f>D24+G24-(J24+M24)</x:f>
        <x:v>5549214940.068989</x:v>
      </x:c>
      <x:c r="R24" s="10" t="n">
        <x:f>$B$7+Q24</x:f>
        <x:v>6144587440.068989</x:v>
      </x:c>
      <x:c r="S24" s="30" t="n">
        <x:f>IF($B$7=0,0,Q24/$B$7)</x:f>
        <x:v>9.320576513139235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Kulit &amp; Penyakit Kelamin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0.01045414601465773</x:v>
      </x:c>
      <x:c r="K5" s="16" t="str">
        <x:v>Setara/lebih tinggi</x:v>
      </x:c>
      <x:c r="L5" s="11" t="n">
        <x:f>'02_Data_Layanan'!Q38</x:f>
        <x:v>4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SUM('02_Data_Layanan'!H38,'02_Data_Layanan'!H39,'02_Data_Layanan'!H40,'02_Data_Layanan'!H41)</x:f>
        <x:v>18023</x:v>
      </x:c>
      <x:c r="C6" s="7" t="str"/>
      <x:c r="D6" s="7" t="str"/>
      <x:c r="E6" s="15" t="str">
        <x:v>Total Kasus</x:v>
      </x:c>
      <x:c r="F6" s="18" t="n">
        <x:f>SUM('02_Data_Layanan'!K38,'02_Data_Layanan'!K39,'02_Data_Layanan'!K40,'02_Data_Layanan'!K41)</x:f>
        <x:v>1724005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SUM('02_Data_Layanan'!I38,'02_Data_Layanan'!I39,'02_Data_Layanan'!I40,'02_Data_Layanan'!I41)</x:f>
        <x:v>8662794800</x:v>
      </x:c>
      <x:c r="C7" s="7" t="str"/>
      <x:c r="D7" s="7" t="str"/>
      <x:c r="E7" s="15" t="str">
        <x:v>Pendapatan INA</x:v>
      </x:c>
      <x:c r="F7" s="19" t="n">
        <x:f>SUM('02_Data_Layanan'!L38,'02_Data_Layanan'!L39,'02_Data_Layanan'!L40,'02_Data_Layanan'!L41)</x:f>
        <x:v>501323856555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SUM('02_Data_Layanan'!J38,'02_Data_Layanan'!J39,'02_Data_Layanan'!J40,'02_Data_Layanan'!J41)</x:f>
        <x:v>6500922751.110001</x:v>
      </x:c>
      <x:c r="C8" s="7" t="str"/>
      <x:c r="D8" s="7" t="str"/>
      <x:c r="E8" s="15" t="str">
        <x:v>Pendapatan iDRG</x:v>
      </x:c>
      <x:c r="F8" s="19" t="n">
        <x:f>SUM('02_Data_Layanan'!M38,'02_Data_Layanan'!M39,'02_Data_Layanan'!M40,'02_Data_Layanan'!M41)</x:f>
        <x:v>580657701003.6497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'02_Data_Layanan'!H38</x:f>
        <x:v>5996</x:v>
      </x:c>
      <x:c r="C11" s="21" t="n">
        <x:f>'02_Data_Layanan'!I38</x:f>
        <x:v>2502003100</x:v>
      </x:c>
      <x:c r="D11" s="21" t="n">
        <x:f>'02_Data_Layanan'!J38</x:f>
        <x:v>2316780738.93</x:v>
      </x:c>
      <x:c r="E11" s="20" t="n">
        <x:f>'02_Data_Layanan'!K38</x:f>
        <x:v>804715</x:v>
      </x:c>
      <x:c r="F11" s="21" t="n">
        <x:f>'02_Data_Layanan'!L38</x:f>
        <x:v>187608602900</x:v>
      </x:c>
      <x:c r="G11" s="21" t="n">
        <x:f>'02_Data_Layanan'!M38</x:f>
        <x:v>223722836493.47995</x:v>
      </x:c>
      <x:c r="H11" s="20" t="n">
        <x:f>'02_Data_Layanan'!N38</x:f>
        <x:v>798719</x:v>
      </x:c>
      <x:c r="I11" s="21" t="n">
        <x:f>'02_Data_Layanan'!O38</x:f>
        <x:v>221406055754.54996</x:v>
      </x:c>
      <x:c r="J11" s="20" t="n">
        <x:f>'02_Data_Layanan'!P38</x:f>
        <x:v>1220</x:v>
      </x:c>
    </x:row>
    <x:row r="12">
      <x:c r="A12" s="5" t="str">
        <x:v>Madya</x:v>
      </x:c>
      <x:c r="B12" s="20" t="n">
        <x:f>'02_Data_Layanan'!H39</x:f>
        <x:v>4867</x:v>
      </x:c>
      <x:c r="C12" s="21" t="n">
        <x:f>'02_Data_Layanan'!I39</x:f>
        <x:v>2707795600</x:v>
      </x:c>
      <x:c r="D12" s="21" t="n">
        <x:f>'02_Data_Layanan'!J39</x:f>
        <x:v>1590355865.78</x:v>
      </x:c>
      <x:c r="E12" s="20" t="n">
        <x:f>'02_Data_Layanan'!K39</x:f>
        <x:v>352931</x:v>
      </x:c>
      <x:c r="F12" s="21" t="n">
        <x:f>'02_Data_Layanan'!L39</x:f>
        <x:v>149688408955</x:v>
      </x:c>
      <x:c r="G12" s="21" t="n">
        <x:f>'02_Data_Layanan'!M39</x:f>
        <x:v>170983381425.77972</x:v>
      </x:c>
      <x:c r="H12" s="20" t="n">
        <x:f>'02_Data_Layanan'!N39</x:f>
        <x:v>348064</x:v>
      </x:c>
      <x:c r="I12" s="21" t="n">
        <x:f>'02_Data_Layanan'!O39</x:f>
        <x:v>169393025559.99973</x:v>
      </x:c>
      <x:c r="J12" s="20" t="n">
        <x:f>'02_Data_Layanan'!P39</x:f>
        <x:v>224</x:v>
      </x:c>
    </x:row>
    <x:row r="13">
      <x:c r="A13" s="5" t="str">
        <x:v>Utama</x:v>
      </x:c>
      <x:c r="B13" s="20" t="n">
        <x:f>'02_Data_Layanan'!H40</x:f>
        <x:v>7100</x:v>
      </x:c>
      <x:c r="C13" s="21" t="n">
        <x:f>'02_Data_Layanan'!I40</x:f>
        <x:v>3413862100</x:v>
      </x:c>
      <x:c r="D13" s="21" t="n">
        <x:f>'02_Data_Layanan'!J40</x:f>
        <x:v>2569172172.88</x:v>
      </x:c>
      <x:c r="E13" s="20" t="n">
        <x:f>'02_Data_Layanan'!K40</x:f>
        <x:v>557837</x:v>
      </x:c>
      <x:c r="F13" s="21" t="n">
        <x:f>'02_Data_Layanan'!L40</x:f>
        <x:v>155935036600</x:v>
      </x:c>
      <x:c r="G13" s="21" t="n">
        <x:f>'02_Data_Layanan'!M40</x:f>
        <x:v>180125580748.59</x:v>
      </x:c>
      <x:c r="H13" s="20" t="n">
        <x:f>'02_Data_Layanan'!N40</x:f>
        <x:v>550737</x:v>
      </x:c>
      <x:c r="I13" s="21" t="n">
        <x:f>'02_Data_Layanan'!O40</x:f>
        <x:v>177556408575.71</x:v>
      </x:c>
      <x:c r="J13" s="20" t="n">
        <x:f>'02_Data_Layanan'!P40</x:f>
        <x:v>4</x:v>
      </x:c>
    </x:row>
    <x:row r="14">
      <x:c r="A14" s="5" t="str">
        <x:v>Paripurna</x:v>
      </x:c>
      <x:c r="B14" s="20" t="n">
        <x:f>'02_Data_Layanan'!H41</x:f>
        <x:v>60</x:v>
      </x:c>
      <x:c r="C14" s="21" t="n">
        <x:f>'02_Data_Layanan'!I41</x:f>
        <x:v>39134000</x:v>
      </x:c>
      <x:c r="D14" s="21" t="n">
        <x:f>'02_Data_Layanan'!J41</x:f>
        <x:v>24613973.52</x:v>
      </x:c>
      <x:c r="E14" s="20" t="n">
        <x:f>'02_Data_Layanan'!K41</x:f>
        <x:v>8522</x:v>
      </x:c>
      <x:c r="F14" s="21" t="n">
        <x:f>'02_Data_Layanan'!L41</x:f>
        <x:v>8091808100</x:v>
      </x:c>
      <x:c r="G14" s="21" t="n">
        <x:f>'02_Data_Layanan'!M41</x:f>
        <x:v>5825902335.799991</x:v>
      </x:c>
      <x:c r="H14" s="20" t="n">
        <x:f>'02_Data_Layanan'!N41</x:f>
        <x:v>8462</x:v>
      </x:c>
      <x:c r="I14" s="21" t="n">
        <x:f>'02_Data_Layanan'!O41</x:f>
        <x:v>5801288362.27999</x:v>
      </x:c>
      <x:c r="J14" s="20" t="n">
        <x:f>'02_Data_Layanan'!P41</x:f>
        <x:v>4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'03_Parameter'!H56</x:f>
        <x:v>0.2</x:v>
      </x:c>
      <x:c r="C19" s="26" t="n">
        <x:f>'02_Data_Layanan'!N41*B19</x:f>
        <x:v>1692.4</x:v>
      </x:c>
      <x:c r="D19" s="27" t="n">
        <x:f>'02_Data_Layanan'!O41*B19</x:f>
        <x:v>1160257672.4559982</x:v>
      </x:c>
      <x:c r="E19" s="13" t="n">
        <x:f>'03_Parameter'!G56</x:f>
        <x:v>0.111</x:v>
      </x:c>
      <x:c r="F19" s="26" t="n">
        <x:f>'02_Data_Layanan'!N40*E19</x:f>
        <x:v>61131.807</x:v>
      </x:c>
      <x:c r="G19" s="27" t="n">
        <x:f>'02_Data_Layanan'!O40*E19</x:f>
        <x:v>19708761351.90381</x:v>
      </x:c>
      <x:c r="H19" s="13" t="n">
        <x:f>'03_Parameter'!I56</x:f>
        <x:v>0.5</x:v>
      </x:c>
      <x:c r="I19" s="28" t="n">
        <x:f>'02_Data_Layanan'!H38*H19</x:f>
        <x:v>2998</x:v>
      </x:c>
      <x:c r="J19" s="29" t="n">
        <x:f>'02_Data_Layanan'!I38*H19</x:f>
        <x:v>1251001550</x:v>
      </x:c>
      <x:c r="K19" s="13" t="n">
        <x:f>'03_Parameter'!J56</x:f>
        <x:v>0.5</x:v>
      </x:c>
      <x:c r="L19" s="28" t="n">
        <x:f>'02_Data_Layanan'!H39*K19</x:f>
        <x:v>2433.5</x:v>
      </x:c>
      <x:c r="M19" s="29" t="n">
        <x:f>'02_Data_Layanan'!I39*K19</x:f>
        <x:v>1353897800</x:v>
      </x:c>
      <x:c r="N19" s="11" t="n">
        <x:f>C19+F19-(I19+L19)</x:f>
        <x:v>57392.707</x:v>
      </x:c>
      <x:c r="O19" s="11" t="n">
        <x:f>$B$6+N19</x:f>
        <x:v>75415.707</x:v>
      </x:c>
      <x:c r="P19" s="30" t="n">
        <x:f>IF($B$6=0,0,N19/$B$6)</x:f>
        <x:v>3.184414747822227</x:v>
      </x:c>
      <x:c r="Q19" s="10" t="n">
        <x:f>D19+G19-(J19+M19)</x:f>
        <x:v>18264119674.359806</x:v>
      </x:c>
      <x:c r="R19" s="10" t="n">
        <x:f>$B$7+Q19</x:f>
        <x:v>26926914474.359806</x:v>
      </x:c>
      <x:c r="S19" s="30" t="n">
        <x:f>IF($B$7=0,0,Q19/$B$7)</x:f>
        <x:v>2.1083403331174146</x:v>
      </x:c>
    </x:row>
    <x:row r="20">
      <x:c r="A20" s="25" t="str">
        <x:v>Skenario 2</x:v>
      </x:c>
      <x:c r="B20" s="13" t="n">
        <x:f>'03_Parameter'!H57</x:f>
        <x:v>0.3</x:v>
      </x:c>
      <x:c r="C20" s="26" t="n">
        <x:f>'02_Data_Layanan'!N41*B20</x:f>
        <x:v>2538.6</x:v>
      </x:c>
      <x:c r="D20" s="27" t="n">
        <x:f>'02_Data_Layanan'!O41*B20</x:f>
        <x:v>1740386508.683997</x:v>
      </x:c>
      <x:c r="E20" s="13" t="n">
        <x:f>'03_Parameter'!G57</x:f>
        <x:v>0.21100000000000002</x:v>
      </x:c>
      <x:c r="F20" s="26" t="n">
        <x:f>'02_Data_Layanan'!N40*E20</x:f>
        <x:v>116205.50700000001</x:v>
      </x:c>
      <x:c r="G20" s="27" t="n">
        <x:f>'02_Data_Layanan'!O40*E20</x:f>
        <x:v>37464402209.474815</x:v>
      </x:c>
      <x:c r="H20" s="13" t="n">
        <x:f>'03_Parameter'!I57</x:f>
        <x:v>0.6</x:v>
      </x:c>
      <x:c r="I20" s="28" t="n">
        <x:f>'02_Data_Layanan'!H38*H20</x:f>
        <x:v>3597.6</x:v>
      </x:c>
      <x:c r="J20" s="29" t="n">
        <x:f>'02_Data_Layanan'!I38*H20</x:f>
        <x:v>1501201860</x:v>
      </x:c>
      <x:c r="K20" s="13" t="n">
        <x:f>'03_Parameter'!J57</x:f>
        <x:v>0.6</x:v>
      </x:c>
      <x:c r="L20" s="28" t="n">
        <x:f>'02_Data_Layanan'!H39*K20</x:f>
        <x:v>2920.2</x:v>
      </x:c>
      <x:c r="M20" s="29" t="n">
        <x:f>'02_Data_Layanan'!I39*K20</x:f>
        <x:v>1624677360</x:v>
      </x:c>
      <x:c r="N20" s="11" t="n">
        <x:f>C20+F20-(I20+L20)</x:f>
        <x:v>112226.30700000002</x:v>
      </x:c>
      <x:c r="O20" s="11" t="n">
        <x:f>$B$6+N20</x:f>
        <x:v>130249.30700000002</x:v>
      </x:c>
      <x:c r="P20" s="30" t="n">
        <x:f>IF($B$6=0,0,N20/$B$6)</x:f>
        <x:v>6.226838317705155</x:v>
      </x:c>
      <x:c r="Q20" s="10" t="n">
        <x:f>D20+G20-(J20+M20)</x:f>
        <x:v>36078909498.15881</x:v>
      </x:c>
      <x:c r="R20" s="10" t="n">
        <x:f>$B$7+Q20</x:f>
        <x:v>44741704298.15881</x:v>
      </x:c>
      <x:c r="S20" s="30" t="n">
        <x:f>IF($B$7=0,0,Q20/$B$7)</x:f>
        <x:v>4.164811741605471</x:v>
      </x:c>
    </x:row>
    <x:row r="21">
      <x:c r="A21" s="25" t="str">
        <x:v>Skenario 3</x:v>
      </x:c>
      <x:c r="B21" s="13" t="n">
        <x:f>'03_Parameter'!H58</x:f>
        <x:v>0.4</x:v>
      </x:c>
      <x:c r="C21" s="26" t="n">
        <x:f>'02_Data_Layanan'!N41*B21</x:f>
        <x:v>3384.8</x:v>
      </x:c>
      <x:c r="D21" s="27" t="n">
        <x:f>'02_Data_Layanan'!O41*B21</x:f>
        <x:v>2320515344.9119964</x:v>
      </x:c>
      <x:c r="E21" s="13" t="n">
        <x:f>'03_Parameter'!G58</x:f>
        <x:v>0.311</x:v>
      </x:c>
      <x:c r="F21" s="26" t="n">
        <x:f>'02_Data_Layanan'!N40*E21</x:f>
        <x:v>171279.207</x:v>
      </x:c>
      <x:c r="G21" s="27" t="n">
        <x:f>'02_Data_Layanan'!O40*E21</x:f>
        <x:v>55220043067.04581</x:v>
      </x:c>
      <x:c r="H21" s="13" t="n">
        <x:f>'03_Parameter'!I58</x:f>
        <x:v>0.7</x:v>
      </x:c>
      <x:c r="I21" s="28" t="n">
        <x:f>'02_Data_Layanan'!H38*H21</x:f>
        <x:v>4197.2</x:v>
      </x:c>
      <x:c r="J21" s="29" t="n">
        <x:f>'02_Data_Layanan'!I38*H21</x:f>
        <x:v>1751402170</x:v>
      </x:c>
      <x:c r="K21" s="13" t="n">
        <x:f>'03_Parameter'!J58</x:f>
        <x:v>0.7</x:v>
      </x:c>
      <x:c r="L21" s="28" t="n">
        <x:f>'02_Data_Layanan'!H39*K21</x:f>
        <x:v>3406.8999999999996</x:v>
      </x:c>
      <x:c r="M21" s="29" t="n">
        <x:f>'02_Data_Layanan'!I39*K21</x:f>
        <x:v>1895456919.9999998</x:v>
      </x:c>
      <x:c r="N21" s="11" t="n">
        <x:f>C21+F21-(I21+L21)</x:f>
        <x:v>167059.90699999998</x:v>
      </x:c>
      <x:c r="O21" s="11" t="n">
        <x:f>$B$6+N21</x:f>
        <x:v>185082.90699999998</x:v>
      </x:c>
      <x:c r="P21" s="30" t="n">
        <x:f>IF($B$6=0,0,N21/$B$6)</x:f>
        <x:v>9.269261887588081</x:v>
      </x:c>
      <x:c r="Q21" s="10" t="n">
        <x:f>D21+G21-(J21+M21)</x:f>
        <x:v>53893699321.9578</x:v>
      </x:c>
      <x:c r="R21" s="10" t="n">
        <x:f>$B$7+Q21</x:f>
        <x:v>62556494121.9578</x:v>
      </x:c>
      <x:c r="S21" s="30" t="n">
        <x:f>IF($B$7=0,0,Q21/$B$7)</x:f>
        <x:v>6.221283150093524</x:v>
      </x:c>
    </x:row>
    <x:row r="22">
      <x:c r="A22" s="25" t="str">
        <x:v>Skenario 4</x:v>
      </x:c>
      <x:c r="B22" s="13" t="n">
        <x:f>'03_Parameter'!H59</x:f>
        <x:v>0.5</x:v>
      </x:c>
      <x:c r="C22" s="26" t="n">
        <x:f>'02_Data_Layanan'!N41*B22</x:f>
        <x:v>4231</x:v>
      </x:c>
      <x:c r="D22" s="27" t="n">
        <x:f>'02_Data_Layanan'!O41*B22</x:f>
        <x:v>2900644181.139995</x:v>
      </x:c>
      <x:c r="E22" s="13" t="n">
        <x:f>'03_Parameter'!G59</x:f>
        <x:v>0.41100000000000003</x:v>
      </x:c>
      <x:c r="F22" s="26" t="n">
        <x:f>'02_Data_Layanan'!N40*E22</x:f>
        <x:v>226352.907</x:v>
      </x:c>
      <x:c r="G22" s="27" t="n">
        <x:f>'02_Data_Layanan'!O40*E22</x:f>
        <x:v>72975683924.6168</x:v>
      </x:c>
      <x:c r="H22" s="13" t="n">
        <x:f>'03_Parameter'!I59</x:f>
        <x:v>0.8</x:v>
      </x:c>
      <x:c r="I22" s="28" t="n">
        <x:f>'02_Data_Layanan'!H38*H22</x:f>
        <x:v>4796.8</x:v>
      </x:c>
      <x:c r="J22" s="29" t="n">
        <x:f>'02_Data_Layanan'!I38*H22</x:f>
        <x:v>2001602480</x:v>
      </x:c>
      <x:c r="K22" s="13" t="n">
        <x:f>'03_Parameter'!J59</x:f>
        <x:v>0.8</x:v>
      </x:c>
      <x:c r="L22" s="28" t="n">
        <x:f>'02_Data_Layanan'!H39*K22</x:f>
        <x:v>3893.6000000000004</x:v>
      </x:c>
      <x:c r="M22" s="29" t="n">
        <x:f>'02_Data_Layanan'!I39*K22</x:f>
        <x:v>2166236480</x:v>
      </x:c>
      <x:c r="N22" s="11" t="n">
        <x:f>C22+F22-(I22+L22)</x:f>
        <x:v>221893.507</x:v>
      </x:c>
      <x:c r="O22" s="11" t="n">
        <x:f>$B$6+N22</x:f>
        <x:v>239916.507</x:v>
      </x:c>
      <x:c r="P22" s="30" t="n">
        <x:f>IF($B$6=0,0,N22/$B$6)</x:f>
        <x:v>12.31168545747101</x:v>
      </x:c>
      <x:c r="Q22" s="10" t="n">
        <x:f>D22+G22-(J22+M22)</x:f>
        <x:v>71708489145.7568</x:v>
      </x:c>
      <x:c r="R22" s="10" t="n">
        <x:f>$B$7+Q22</x:f>
        <x:v>80371283945.7568</x:v>
      </x:c>
      <x:c r="S22" s="30" t="n">
        <x:f>IF($B$7=0,0,Q22/$B$7)</x:f>
        <x:v>8.277754558581579</x:v>
      </x:c>
    </x:row>
    <x:row r="23">
      <x:c r="A23" s="25" t="str">
        <x:v>Skenario 5</x:v>
      </x:c>
      <x:c r="B23" s="13" t="n">
        <x:f>'03_Parameter'!H60</x:f>
        <x:v>0.6</x:v>
      </x:c>
      <x:c r="C23" s="26" t="n">
        <x:f>'02_Data_Layanan'!N41*B23</x:f>
        <x:v>5077.2</x:v>
      </x:c>
      <x:c r="D23" s="27" t="n">
        <x:f>'02_Data_Layanan'!O41*B23</x:f>
        <x:v>3480773017.367994</x:v>
      </x:c>
      <x:c r="E23" s="13" t="n">
        <x:f>'03_Parameter'!G60</x:f>
        <x:v>0.511</x:v>
      </x:c>
      <x:c r="F23" s="26" t="n">
        <x:f>'02_Data_Layanan'!N40*E23</x:f>
        <x:v>281426.607</x:v>
      </x:c>
      <x:c r="G23" s="27" t="n">
        <x:f>'02_Data_Layanan'!O40*E23</x:f>
        <x:v>90731324782.1878</x:v>
      </x:c>
      <x:c r="H23" s="13" t="n">
        <x:f>'03_Parameter'!I60</x:f>
        <x:v>0.9</x:v>
      </x:c>
      <x:c r="I23" s="28" t="n">
        <x:f>'02_Data_Layanan'!H38*H23</x:f>
        <x:v>5396.400000000001</x:v>
      </x:c>
      <x:c r="J23" s="29" t="n">
        <x:f>'02_Data_Layanan'!I38*H23</x:f>
        <x:v>2251802790</x:v>
      </x:c>
      <x:c r="K23" s="13" t="n">
        <x:f>'03_Parameter'!J60</x:f>
        <x:v>0.9</x:v>
      </x:c>
      <x:c r="L23" s="28" t="n">
        <x:f>'02_Data_Layanan'!H39*K23</x:f>
        <x:v>4380.3</x:v>
      </x:c>
      <x:c r="M23" s="29" t="n">
        <x:f>'02_Data_Layanan'!I39*K23</x:f>
        <x:v>2437016040</x:v>
      </x:c>
      <x:c r="N23" s="11" t="n">
        <x:f>C23+F23-(I23+L23)</x:f>
        <x:v>276727.107</x:v>
      </x:c>
      <x:c r="O23" s="11" t="n">
        <x:f>$B$6+N23</x:f>
        <x:v>294750.107</x:v>
      </x:c>
      <x:c r="P23" s="30" t="n">
        <x:f>IF($B$6=0,0,N23/$B$6)</x:f>
        <x:v>15.354109027353937</x:v>
      </x:c>
      <x:c r="Q23" s="10" t="n">
        <x:f>D23+G23-(J23+M23)</x:f>
        <x:v>89523278969.5558</x:v>
      </x:c>
      <x:c r="R23" s="10" t="n">
        <x:f>$B$7+Q23</x:f>
        <x:v>98186073769.5558</x:v>
      </x:c>
      <x:c r="S23" s="30" t="n">
        <x:f>IF($B$7=0,0,Q23/$B$7)</x:f>
        <x:v>10.334225967069635</x:v>
      </x:c>
    </x:row>
    <x:row r="24">
      <x:c r="A24" s="25" t="str">
        <x:v>Skenario 6</x:v>
      </x:c>
      <x:c r="B24" s="13" t="n">
        <x:f>'03_Parameter'!H61</x:f>
        <x:v>0.7</x:v>
      </x:c>
      <x:c r="C24" s="26" t="n">
        <x:f>'02_Data_Layanan'!N41*B24</x:f>
        <x:v>5923.4</x:v>
      </x:c>
      <x:c r="D24" s="27" t="n">
        <x:f>'02_Data_Layanan'!O41*B24</x:f>
        <x:v>4060901853.595993</x:v>
      </x:c>
      <x:c r="E24" s="13" t="n">
        <x:f>'03_Parameter'!G61</x:f>
        <x:v>0.611</x:v>
      </x:c>
      <x:c r="F24" s="26" t="n">
        <x:f>'02_Data_Layanan'!N40*E24</x:f>
        <x:v>336500.307</x:v>
      </x:c>
      <x:c r="G24" s="27" t="n">
        <x:f>'02_Data_Layanan'!O40*E24</x:f>
        <x:v>108486965639.7588</x:v>
      </x:c>
      <x:c r="H24" s="13" t="n">
        <x:f>'03_Parameter'!I61</x:f>
        <x:v>1</x:v>
      </x:c>
      <x:c r="I24" s="28" t="n">
        <x:f>'02_Data_Layanan'!H38*H24</x:f>
        <x:v>5996</x:v>
      </x:c>
      <x:c r="J24" s="29" t="n">
        <x:f>'02_Data_Layanan'!I38*H24</x:f>
        <x:v>2502003100</x:v>
      </x:c>
      <x:c r="K24" s="13" t="n">
        <x:f>'03_Parameter'!J61</x:f>
        <x:v>1</x:v>
      </x:c>
      <x:c r="L24" s="28" t="n">
        <x:f>'02_Data_Layanan'!H39*K24</x:f>
        <x:v>4867</x:v>
      </x:c>
      <x:c r="M24" s="29" t="n">
        <x:f>'02_Data_Layanan'!I39*K24</x:f>
        <x:v>2707795600</x:v>
      </x:c>
      <x:c r="N24" s="11" t="n">
        <x:f>C24+F24-(I24+L24)</x:f>
        <x:v>331560.707</x:v>
      </x:c>
      <x:c r="O24" s="11" t="n">
        <x:f>$B$6+N24</x:f>
        <x:v>349583.707</x:v>
      </x:c>
      <x:c r="P24" s="30" t="n">
        <x:f>IF($B$6=0,0,N24/$B$6)</x:f>
        <x:v>18.396532597236863</x:v>
      </x:c>
      <x:c r="Q24" s="10" t="n">
        <x:f>D24+G24-(J24+M24)</x:f>
        <x:v>107338068793.3548</x:v>
      </x:c>
      <x:c r="R24" s="10" t="n">
        <x:f>$B$7+Q24</x:f>
        <x:v>116000863593.3548</x:v>
      </x:c>
      <x:c r="S24" s="30" t="n">
        <x:f>IF($B$7=0,0,Q24/$B$7)</x:f>
        <x:v>12.39069737555769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Luka Bakar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0.007356405145859757</x:v>
      </x:c>
      <x:c r="K5" s="16" t="str">
        <x:v>Setara/lebih tinggi</x:v>
      </x:c>
      <x:c r="L5" s="11" t="n">
        <x:f>'02_Data_Layanan'!Q42</x:f>
        <x:v>10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SUM('02_Data_Layanan'!H42,'02_Data_Layanan'!H43,'02_Data_Layanan'!H44,'02_Data_Layanan'!H45)</x:f>
        <x:v>203</x:v>
      </x:c>
      <x:c r="C6" s="7" t="str"/>
      <x:c r="D6" s="7" t="str"/>
      <x:c r="E6" s="15" t="str">
        <x:v>Total Kasus</x:v>
      </x:c>
      <x:c r="F6" s="18" t="n">
        <x:f>SUM('02_Data_Layanan'!K42,'02_Data_Layanan'!K43,'02_Data_Layanan'!K44,'02_Data_Layanan'!K45)</x:f>
        <x:v>27595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 Awal Bros Pekanbaru; RS Umum Pusat Dr. Hasan Sadikin; RS Umum Santosa Hospital Bandung Kopo; RS Primaya Bekasi Barat; RS Umum Pusat Dr. Kariadi; RS Umum Daerah Dr. Saiful Anwar; RS Umum Daerah Dr. Soetomo; +2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SUM('02_Data_Layanan'!I42,'02_Data_Layanan'!I43,'02_Data_Layanan'!I44,'02_Data_Layanan'!I45)</x:f>
        <x:v>913488100</x:v>
      </x:c>
      <x:c r="C7" s="7" t="str"/>
      <x:c r="D7" s="7" t="str"/>
      <x:c r="E7" s="15" t="str">
        <x:v>Pendapatan INA</x:v>
      </x:c>
      <x:c r="F7" s="19" t="n">
        <x:f>SUM('02_Data_Layanan'!L42,'02_Data_Layanan'!L43,'02_Data_Layanan'!L44,'02_Data_Layanan'!L45)</x:f>
        <x:v>79539708500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SUM('02_Data_Layanan'!J42,'02_Data_Layanan'!J43,'02_Data_Layanan'!J44,'02_Data_Layanan'!J45)</x:f>
        <x:v>628184037.8800001</x:v>
      </x:c>
      <x:c r="C8" s="7" t="str"/>
      <x:c r="D8" s="7" t="str"/>
      <x:c r="E8" s="15" t="str">
        <x:v>Pendapatan iDRG</x:v>
      </x:c>
      <x:c r="F8" s="19" t="n">
        <x:f>SUM('02_Data_Layanan'!M42,'02_Data_Layanan'!M43,'02_Data_Layanan'!M44,'02_Data_Layanan'!M45)</x:f>
        <x:v>89237177347.9499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'02_Data_Layanan'!H42</x:f>
        <x:v>89</x:v>
      </x:c>
      <x:c r="C11" s="21" t="n">
        <x:f>'02_Data_Layanan'!I42</x:f>
        <x:v>100303500</x:v>
      </x:c>
      <x:c r="D11" s="21" t="n">
        <x:f>'02_Data_Layanan'!J42</x:f>
        <x:v>101113156.47</x:v>
      </x:c>
      <x:c r="E11" s="20" t="n">
        <x:f>'02_Data_Layanan'!K42</x:f>
        <x:v>14781</x:v>
      </x:c>
      <x:c r="F11" s="21" t="n">
        <x:f>'02_Data_Layanan'!L42</x:f>
        <x:v>7800974500</x:v>
      </x:c>
      <x:c r="G11" s="21" t="n">
        <x:f>'02_Data_Layanan'!M42</x:f>
        <x:v>10324197258.690023</x:v>
      </x:c>
      <x:c r="H11" s="20" t="n">
        <x:f>'02_Data_Layanan'!N42</x:f>
        <x:v>14692</x:v>
      </x:c>
      <x:c r="I11" s="21" t="n">
        <x:f>'02_Data_Layanan'!O42</x:f>
        <x:v>10223084102.220024</x:v>
      </x:c>
      <x:c r="J11" s="20" t="n">
        <x:f>'02_Data_Layanan'!P42</x:f>
        <x:v>898</x:v>
      </x:c>
    </x:row>
    <x:row r="12">
      <x:c r="A12" s="5" t="str">
        <x:v>Madya</x:v>
      </x:c>
      <x:c r="B12" s="20" t="n">
        <x:f>'02_Data_Layanan'!H43</x:f>
        <x:v>32</x:v>
      </x:c>
      <x:c r="C12" s="21" t="n">
        <x:f>'02_Data_Layanan'!I43</x:f>
        <x:v>113577300</x:v>
      </x:c>
      <x:c r="D12" s="21" t="n">
        <x:f>'02_Data_Layanan'!J43</x:f>
        <x:v>56579904.279999994</x:v>
      </x:c>
      <x:c r="E12" s="20" t="n">
        <x:f>'02_Data_Layanan'!K43</x:f>
        <x:v>4712</x:v>
      </x:c>
      <x:c r="F12" s="21" t="n">
        <x:f>'02_Data_Layanan'!L43</x:f>
        <x:v>14708531100</x:v>
      </x:c>
      <x:c r="G12" s="21" t="n">
        <x:f>'02_Data_Layanan'!M43</x:f>
        <x:v>16833679197.300005</x:v>
      </x:c>
      <x:c r="H12" s="20" t="n">
        <x:f>'02_Data_Layanan'!N43</x:f>
        <x:v>4680</x:v>
      </x:c>
      <x:c r="I12" s="21" t="n">
        <x:f>'02_Data_Layanan'!O43</x:f>
        <x:v>16777099293.020004</x:v>
      </x:c>
      <x:c r="J12" s="20" t="n">
        <x:f>'02_Data_Layanan'!P43</x:f>
        <x:v>132</x:v>
      </x:c>
    </x:row>
    <x:row r="13">
      <x:c r="A13" s="5" t="str">
        <x:v>Utama</x:v>
      </x:c>
      <x:c r="B13" s="20" t="n">
        <x:f>'02_Data_Layanan'!H44</x:f>
        <x:v>79</x:v>
      </x:c>
      <x:c r="C13" s="21" t="n">
        <x:f>'02_Data_Layanan'!I44</x:f>
        <x:v>698476000</x:v>
      </x:c>
      <x:c r="D13" s="21" t="n">
        <x:f>'02_Data_Layanan'!J44</x:f>
        <x:v>469688012.37000006</x:v>
      </x:c>
      <x:c r="E13" s="20" t="n">
        <x:f>'02_Data_Layanan'!K44</x:f>
        <x:v>7886</x:v>
      </x:c>
      <x:c r="F13" s="21" t="n">
        <x:f>'02_Data_Layanan'!L44</x:f>
        <x:v>55477122900</x:v>
      </x:c>
      <x:c r="G13" s="21" t="n">
        <x:f>'02_Data_Layanan'!M44</x:f>
        <x:v>60701474933.08988</x:v>
      </x:c>
      <x:c r="H13" s="20" t="n">
        <x:f>'02_Data_Layanan'!N44</x:f>
        <x:v>7807</x:v>
      </x:c>
      <x:c r="I13" s="21" t="n">
        <x:f>'02_Data_Layanan'!O44</x:f>
        <x:v>60231786920.71988</x:v>
      </x:c>
      <x:c r="J13" s="20" t="n">
        <x:f>'02_Data_Layanan'!P44</x:f>
        <x:v>27</x:v>
      </x:c>
    </x:row>
    <x:row r="14">
      <x:c r="A14" s="5" t="str">
        <x:v>Paripurna</x:v>
      </x:c>
      <x:c r="B14" s="20" t="n">
        <x:f>'02_Data_Layanan'!H45</x:f>
        <x:v>3</x:v>
      </x:c>
      <x:c r="C14" s="21" t="n">
        <x:f>'02_Data_Layanan'!I45</x:f>
        <x:v>1131300</x:v>
      </x:c>
      <x:c r="D14" s="21" t="n">
        <x:f>'02_Data_Layanan'!J45</x:f>
        <x:v>802964.76</x:v>
      </x:c>
      <x:c r="E14" s="20" t="n">
        <x:f>'02_Data_Layanan'!K45</x:f>
        <x:v>216</x:v>
      </x:c>
      <x:c r="F14" s="21" t="n">
        <x:f>'02_Data_Layanan'!L45</x:f>
        <x:v>1553080000</x:v>
      </x:c>
      <x:c r="G14" s="21" t="n">
        <x:f>'02_Data_Layanan'!M45</x:f>
        <x:v>1377825958.87</x:v>
      </x:c>
      <x:c r="H14" s="20" t="n">
        <x:f>'02_Data_Layanan'!N45</x:f>
        <x:v>213</x:v>
      </x:c>
      <x:c r="I14" s="21" t="n">
        <x:f>'02_Data_Layanan'!O45</x:f>
        <x:v>1377022994.11</x:v>
      </x:c>
      <x:c r="J14" s="20" t="n">
        <x:f>'02_Data_Layanan'!P45</x:f>
        <x:v>10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'03_Parameter'!H62</x:f>
        <x:v>0.091</x:v>
      </x:c>
      <x:c r="C19" s="26" t="n">
        <x:f>'02_Data_Layanan'!N45*B19</x:f>
        <x:v>19.383</x:v>
      </x:c>
      <x:c r="D19" s="27" t="n">
        <x:f>'02_Data_Layanan'!O45*B19</x:f>
        <x:v>125309092.46400999</x:v>
      </x:c>
      <x:c r="E19" s="13" t="n">
        <x:f>'03_Parameter'!G62</x:f>
        <x:v>0.026000000000000002</x:v>
      </x:c>
      <x:c r="F19" s="26" t="n">
        <x:f>'02_Data_Layanan'!N44*E19</x:f>
        <x:v>202.98200000000003</x:v>
      </x:c>
      <x:c r="G19" s="27" t="n">
        <x:f>'02_Data_Layanan'!O44*E19</x:f>
        <x:v>1566026459.938717</x:v>
      </x:c>
      <x:c r="H19" s="13" t="n">
        <x:f>'03_Parameter'!I62</x:f>
        <x:v>0.5</x:v>
      </x:c>
      <x:c r="I19" s="28" t="n">
        <x:f>'02_Data_Layanan'!H42*H19</x:f>
        <x:v>44.5</x:v>
      </x:c>
      <x:c r="J19" s="29" t="n">
        <x:f>'02_Data_Layanan'!I42*H19</x:f>
        <x:v>50151750</x:v>
      </x:c>
      <x:c r="K19" s="13" t="n">
        <x:f>'03_Parameter'!J62</x:f>
        <x:v>0.5</x:v>
      </x:c>
      <x:c r="L19" s="28" t="n">
        <x:f>'02_Data_Layanan'!H43*K19</x:f>
        <x:v>16</x:v>
      </x:c>
      <x:c r="M19" s="29" t="n">
        <x:f>'02_Data_Layanan'!I43*K19</x:f>
        <x:v>56788650</x:v>
      </x:c>
      <x:c r="N19" s="11" t="n">
        <x:f>C19+F19-(I19+L19)</x:f>
        <x:v>161.86500000000004</x:v>
      </x:c>
      <x:c r="O19" s="11" t="n">
        <x:f>$B$6+N19</x:f>
        <x:v>364.865</x:v>
      </x:c>
      <x:c r="P19" s="30" t="n">
        <x:f>IF($B$6=0,0,N19/$B$6)</x:f>
        <x:v>0.7973645320197046</x:v>
      </x:c>
      <x:c r="Q19" s="10" t="n">
        <x:f>D19+G19-(J19+M19)</x:f>
        <x:v>1584395152.402727</x:v>
      </x:c>
      <x:c r="R19" s="10" t="n">
        <x:f>$B$7+Q19</x:f>
        <x:v>2497883252.402727</x:v>
      </x:c>
      <x:c r="S19" s="30" t="n">
        <x:f>IF($B$7=0,0,Q19/$B$7)</x:f>
        <x:v>1.734445311770046</x:v>
      </x:c>
    </x:row>
    <x:row r="20">
      <x:c r="A20" s="25" t="str">
        <x:v>Skenario 2</x:v>
      </x:c>
      <x:c r="B20" s="13" t="n">
        <x:f>'03_Parameter'!H63</x:f>
        <x:v>0.191</x:v>
      </x:c>
      <x:c r="C20" s="26" t="n">
        <x:f>'02_Data_Layanan'!N45*B20</x:f>
        <x:v>40.683</x:v>
      </x:c>
      <x:c r="D20" s="27" t="n">
        <x:f>'02_Data_Layanan'!O45*B20</x:f>
        <x:v>263011391.87500998</x:v>
      </x:c>
      <x:c r="E20" s="13" t="n">
        <x:f>'03_Parameter'!G63</x:f>
        <x:v>0.126</x:v>
      </x:c>
      <x:c r="F20" s="26" t="n">
        <x:f>'02_Data_Layanan'!N44*E20</x:f>
        <x:v>983.682</x:v>
      </x:c>
      <x:c r="G20" s="27" t="n">
        <x:f>'02_Data_Layanan'!O44*E20</x:f>
        <x:v>7589205152.010705</x:v>
      </x:c>
      <x:c r="H20" s="13" t="n">
        <x:f>'03_Parameter'!I63</x:f>
        <x:v>0.6</x:v>
      </x:c>
      <x:c r="I20" s="28" t="n">
        <x:f>'02_Data_Layanan'!H42*H20</x:f>
        <x:v>53.4</x:v>
      </x:c>
      <x:c r="J20" s="29" t="n">
        <x:f>'02_Data_Layanan'!I42*H20</x:f>
        <x:v>60182100</x:v>
      </x:c>
      <x:c r="K20" s="13" t="n">
        <x:f>'03_Parameter'!J63</x:f>
        <x:v>0.6</x:v>
      </x:c>
      <x:c r="L20" s="28" t="n">
        <x:f>'02_Data_Layanan'!H43*K20</x:f>
        <x:v>19.2</x:v>
      </x:c>
      <x:c r="M20" s="29" t="n">
        <x:f>'02_Data_Layanan'!I43*K20</x:f>
        <x:v>68146380</x:v>
      </x:c>
      <x:c r="N20" s="11" t="n">
        <x:f>C20+F20-(I20+L20)</x:f>
        <x:v>951.765</x:v>
      </x:c>
      <x:c r="O20" s="11" t="n">
        <x:f>$B$6+N20</x:f>
        <x:v>1154.7649999999999</x:v>
      </x:c>
      <x:c r="P20" s="30" t="n">
        <x:f>IF($B$6=0,0,N20/$B$6)</x:f>
        <x:v>4.688497536945813</x:v>
      </x:c>
      <x:c r="Q20" s="10" t="n">
        <x:f>D20+G20-(J20+M20)</x:f>
        <x:v>7723888063.885715</x:v>
      </x:c>
      <x:c r="R20" s="10" t="n">
        <x:f>$B$7+Q20</x:f>
        <x:v>8637376163.885715</x:v>
      </x:c>
      <x:c r="S20" s="30" t="n">
        <x:f>IF($B$7=0,0,Q20/$B$7)</x:f>
        <x:v>8.45537896321333</x:v>
      </x:c>
    </x:row>
    <x:row r="21">
      <x:c r="A21" s="25" t="str">
        <x:v>Skenario 3</x:v>
      </x:c>
      <x:c r="B21" s="13" t="n">
        <x:f>'03_Parameter'!H64</x:f>
        <x:v>0.29100000000000004</x:v>
      </x:c>
      <x:c r="C21" s="26" t="n">
        <x:f>'02_Data_Layanan'!N45*B21</x:f>
        <x:v>61.98300000000001</x:v>
      </x:c>
      <x:c r="D21" s="27" t="n">
        <x:f>'02_Data_Layanan'!O45*B21</x:f>
        <x:v>400713691.28601</x:v>
      </x:c>
      <x:c r="E21" s="13" t="n">
        <x:f>'03_Parameter'!G64</x:f>
        <x:v>0.226</x:v>
      </x:c>
      <x:c r="F21" s="26" t="n">
        <x:f>'02_Data_Layanan'!N44*E21</x:f>
        <x:v>1764.382</x:v>
      </x:c>
      <x:c r="G21" s="27" t="n">
        <x:f>'02_Data_Layanan'!O44*E21</x:f>
        <x:v>13612383844.082693</x:v>
      </x:c>
      <x:c r="H21" s="13" t="n">
        <x:f>'03_Parameter'!I64</x:f>
        <x:v>0.7</x:v>
      </x:c>
      <x:c r="I21" s="28" t="n">
        <x:f>'02_Data_Layanan'!H42*H21</x:f>
        <x:v>62.3</x:v>
      </x:c>
      <x:c r="J21" s="29" t="n">
        <x:f>'02_Data_Layanan'!I42*H21</x:f>
        <x:v>70212450</x:v>
      </x:c>
      <x:c r="K21" s="13" t="n">
        <x:f>'03_Parameter'!J64</x:f>
        <x:v>0.7</x:v>
      </x:c>
      <x:c r="L21" s="28" t="n">
        <x:f>'02_Data_Layanan'!H43*K21</x:f>
        <x:v>22.4</x:v>
      </x:c>
      <x:c r="M21" s="29" t="n">
        <x:f>'02_Data_Layanan'!I43*K21</x:f>
        <x:v>79504110</x:v>
      </x:c>
      <x:c r="N21" s="11" t="n">
        <x:f>C21+F21-(I21+L21)</x:f>
        <x:v>1741.665</x:v>
      </x:c>
      <x:c r="O21" s="11" t="n">
        <x:f>$B$6+N21</x:f>
        <x:v>1944.665</x:v>
      </x:c>
      <x:c r="P21" s="30" t="n">
        <x:f>IF($B$6=0,0,N21/$B$6)</x:f>
        <x:v>8.579630541871921</x:v>
      </x:c>
      <x:c r="Q21" s="10" t="n">
        <x:f>D21+G21-(J21+M21)</x:f>
        <x:v>13863380975.368704</x:v>
      </x:c>
      <x:c r="R21" s="10" t="n">
        <x:f>$B$7+Q21</x:f>
        <x:v>14776869075.368704</x:v>
      </x:c>
      <x:c r="S21" s="30" t="n">
        <x:f>IF($B$7=0,0,Q21/$B$7)</x:f>
        <x:v>15.176312614656615</x:v>
      </x:c>
    </x:row>
    <x:row r="22">
      <x:c r="A22" s="25" t="str">
        <x:v>Skenario 4</x:v>
      </x:c>
      <x:c r="B22" s="13" t="n">
        <x:f>'03_Parameter'!H65</x:f>
        <x:v>0.391</x:v>
      </x:c>
      <x:c r="C22" s="26" t="n">
        <x:f>'02_Data_Layanan'!N45*B22</x:f>
        <x:v>83.283</x:v>
      </x:c>
      <x:c r="D22" s="27" t="n">
        <x:f>'02_Data_Layanan'!O45*B22</x:f>
        <x:v>538415990.6970099</x:v>
      </x:c>
      <x:c r="E22" s="13" t="n">
        <x:f>'03_Parameter'!G65</x:f>
        <x:v>0.326</x:v>
      </x:c>
      <x:c r="F22" s="26" t="n">
        <x:f>'02_Data_Layanan'!N44*E22</x:f>
        <x:v>2545.082</x:v>
      </x:c>
      <x:c r="G22" s="27" t="n">
        <x:f>'02_Data_Layanan'!O44*E22</x:f>
        <x:v>19635562536.154682</x:v>
      </x:c>
      <x:c r="H22" s="13" t="n">
        <x:f>'03_Parameter'!I65</x:f>
        <x:v>0.8</x:v>
      </x:c>
      <x:c r="I22" s="28" t="n">
        <x:f>'02_Data_Layanan'!H42*H22</x:f>
        <x:v>71.2</x:v>
      </x:c>
      <x:c r="J22" s="29" t="n">
        <x:f>'02_Data_Layanan'!I42*H22</x:f>
        <x:v>80242800</x:v>
      </x:c>
      <x:c r="K22" s="13" t="n">
        <x:f>'03_Parameter'!J65</x:f>
        <x:v>0.8</x:v>
      </x:c>
      <x:c r="L22" s="28" t="n">
        <x:f>'02_Data_Layanan'!H43*K22</x:f>
        <x:v>25.6</x:v>
      </x:c>
      <x:c r="M22" s="29" t="n">
        <x:f>'02_Data_Layanan'!I43*K22</x:f>
        <x:v>90861840</x:v>
      </x:c>
      <x:c r="N22" s="11" t="n">
        <x:f>C22+F22-(I22+L22)</x:f>
        <x:v>2531.5649999999996</x:v>
      </x:c>
      <x:c r="O22" s="11" t="n">
        <x:f>$B$6+N22</x:f>
        <x:v>2734.5649999999996</x:v>
      </x:c>
      <x:c r="P22" s="30" t="n">
        <x:f>IF($B$6=0,0,N22/$B$6)</x:f>
        <x:v>12.470763546798027</x:v>
      </x:c>
      <x:c r="Q22" s="10" t="n">
        <x:f>D22+G22-(J22+M22)</x:f>
        <x:v>20002873886.851692</x:v>
      </x:c>
      <x:c r="R22" s="10" t="n">
        <x:f>$B$7+Q22</x:f>
        <x:v>20916361986.851692</x:v>
      </x:c>
      <x:c r="S22" s="30" t="n">
        <x:f>IF($B$7=0,0,Q22/$B$7)</x:f>
        <x:v>21.8972462660999</x:v>
      </x:c>
    </x:row>
    <x:row r="23">
      <x:c r="A23" s="25" t="str">
        <x:v>Skenario 5</x:v>
      </x:c>
      <x:c r="B23" s="13" t="n">
        <x:f>'03_Parameter'!H66</x:f>
        <x:v>0.491</x:v>
      </x:c>
      <x:c r="C23" s="26" t="n">
        <x:f>'02_Data_Layanan'!N45*B23</x:f>
        <x:v>104.583</x:v>
      </x:c>
      <x:c r="D23" s="27" t="n">
        <x:f>'02_Data_Layanan'!O45*B23</x:f>
        <x:v>676118290.1080099</x:v>
      </x:c>
      <x:c r="E23" s="13" t="n">
        <x:f>'03_Parameter'!G66</x:f>
        <x:v>0.426</x:v>
      </x:c>
      <x:c r="F23" s="26" t="n">
        <x:f>'02_Data_Layanan'!N44*E23</x:f>
        <x:v>3325.7819999999997</x:v>
      </x:c>
      <x:c r="G23" s="27" t="n">
        <x:f>'02_Data_Layanan'!O44*E23</x:f>
        <x:v>25658741228.22667</x:v>
      </x:c>
      <x:c r="H23" s="13" t="n">
        <x:f>'03_Parameter'!I66</x:f>
        <x:v>0.9</x:v>
      </x:c>
      <x:c r="I23" s="28" t="n">
        <x:f>'02_Data_Layanan'!H42*H23</x:f>
        <x:v>80.10000000000001</x:v>
      </x:c>
      <x:c r="J23" s="29" t="n">
        <x:f>'02_Data_Layanan'!I42*H23</x:f>
        <x:v>90273150</x:v>
      </x:c>
      <x:c r="K23" s="13" t="n">
        <x:f>'03_Parameter'!J66</x:f>
        <x:v>0.9</x:v>
      </x:c>
      <x:c r="L23" s="28" t="n">
        <x:f>'02_Data_Layanan'!H43*K23</x:f>
        <x:v>28.8</x:v>
      </x:c>
      <x:c r="M23" s="29" t="n">
        <x:f>'02_Data_Layanan'!I43*K23</x:f>
        <x:v>102219570</x:v>
      </x:c>
      <x:c r="N23" s="11" t="n">
        <x:f>C23+F23-(I23+L23)</x:f>
        <x:v>3321.4649999999997</x:v>
      </x:c>
      <x:c r="O23" s="11" t="n">
        <x:f>$B$6+N23</x:f>
        <x:v>3524.4649999999997</x:v>
      </x:c>
      <x:c r="P23" s="30" t="n">
        <x:f>IF($B$6=0,0,N23/$B$6)</x:f>
        <x:v>16.361896551724136</x:v>
      </x:c>
      <x:c r="Q23" s="10" t="n">
        <x:f>D23+G23-(J23+M23)</x:f>
        <x:v>26142366798.33468</x:v>
      </x:c>
      <x:c r="R23" s="10" t="n">
        <x:f>$B$7+Q23</x:f>
        <x:v>27055854898.33468</x:v>
      </x:c>
      <x:c r="S23" s="30" t="n">
        <x:f>IF($B$7=0,0,Q23/$B$7)</x:f>
        <x:v>28.618179917543184</x:v>
      </x:c>
    </x:row>
    <x:row r="24">
      <x:c r="A24" s="25" t="str">
        <x:v>Skenario 6</x:v>
      </x:c>
      <x:c r="B24" s="13" t="n">
        <x:f>'03_Parameter'!H67</x:f>
        <x:v>0.591</x:v>
      </x:c>
      <x:c r="C24" s="26" t="n">
        <x:f>'02_Data_Layanan'!N45*B24</x:f>
        <x:v>125.883</x:v>
      </x:c>
      <x:c r="D24" s="27" t="n">
        <x:f>'02_Data_Layanan'!O45*B24</x:f>
        <x:v>813820589.51901</x:v>
      </x:c>
      <x:c r="E24" s="13" t="n">
        <x:f>'03_Parameter'!G67</x:f>
        <x:v>0.526</x:v>
      </x:c>
      <x:c r="F24" s="26" t="n">
        <x:f>'02_Data_Layanan'!N44*E24</x:f>
        <x:v>4106.482</x:v>
      </x:c>
      <x:c r="G24" s="27" t="n">
        <x:f>'02_Data_Layanan'!O44*E24</x:f>
        <x:v>31681919920.298656</x:v>
      </x:c>
      <x:c r="H24" s="13" t="n">
        <x:f>'03_Parameter'!I67</x:f>
        <x:v>1</x:v>
      </x:c>
      <x:c r="I24" s="28" t="n">
        <x:f>'02_Data_Layanan'!H42*H24</x:f>
        <x:v>89</x:v>
      </x:c>
      <x:c r="J24" s="29" t="n">
        <x:f>'02_Data_Layanan'!I42*H24</x:f>
        <x:v>100303500</x:v>
      </x:c>
      <x:c r="K24" s="13" t="n">
        <x:f>'03_Parameter'!J67</x:f>
        <x:v>1</x:v>
      </x:c>
      <x:c r="L24" s="28" t="n">
        <x:f>'02_Data_Layanan'!H43*K24</x:f>
        <x:v>32</x:v>
      </x:c>
      <x:c r="M24" s="29" t="n">
        <x:f>'02_Data_Layanan'!I43*K24</x:f>
        <x:v>113577300</x:v>
      </x:c>
      <x:c r="N24" s="11" t="n">
        <x:f>C24+F24-(I24+L24)</x:f>
        <x:v>4111.365</x:v>
      </x:c>
      <x:c r="O24" s="11" t="n">
        <x:f>$B$6+N24</x:f>
        <x:v>4314.365</x:v>
      </x:c>
      <x:c r="P24" s="30" t="n">
        <x:f>IF($B$6=0,0,N24/$B$6)</x:f>
        <x:v>20.253029556650244</x:v>
      </x:c>
      <x:c r="Q24" s="10" t="n">
        <x:f>D24+G24-(J24+M24)</x:f>
        <x:v>32281859709.817665</x:v>
      </x:c>
      <x:c r="R24" s="10" t="n">
        <x:f>$B$7+Q24</x:f>
        <x:v>33195347809.817665</x:v>
      </x:c>
      <x:c r="S24" s="30" t="n">
        <x:f>IF($B$7=0,0,Q24/$B$7)</x:f>
        <x:v>35.33911356898646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Mata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0.0025645111628484845</x:v>
      </x:c>
      <x:c r="K5" s="16" t="str">
        <x:v>Setara/lebih tinggi</x:v>
      </x:c>
      <x:c r="L5" s="11" t="n">
        <x:f>'02_Data_Layanan'!Q46</x:f>
        <x:v>17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SUM('02_Data_Layanan'!H46,'02_Data_Layanan'!H47,'02_Data_Layanan'!H48,'02_Data_Layanan'!H49)</x:f>
        <x:v>9495</x:v>
      </x:c>
      <x:c r="C6" s="7" t="str"/>
      <x:c r="D6" s="7" t="str"/>
      <x:c r="E6" s="15" t="str">
        <x:v>Total Kasus</x:v>
      </x:c>
      <x:c r="F6" s="18" t="n">
        <x:f>SUM('02_Data_Layanan'!K46,'02_Data_Layanan'!K47,'02_Data_Layanan'!K48,'02_Data_Layanan'!K49)</x:f>
        <x:v>3702460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MATA PADANG EYE CENTER KHATIB; RS Umum Daerah Dr. Achmad Mochtar; RS Umum  Awal Bros Pekanbaru; RS Umum Awal Bros Batam; RS Khusus Mata Cicendo; RS Umum Hermina Bekasi; RS Primaya Bekasi Barat; RS Umum Purbowangi; +9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SUM('02_Data_Layanan'!I46,'02_Data_Layanan'!I47,'02_Data_Layanan'!I48,'02_Data_Layanan'!I49)</x:f>
        <x:v>12140273400</x:v>
      </x:c>
      <x:c r="C7" s="7" t="str"/>
      <x:c r="D7" s="7" t="str"/>
      <x:c r="E7" s="15" t="str">
        <x:v>Pendapatan INA</x:v>
      </x:c>
      <x:c r="F7" s="19" t="n">
        <x:f>SUM('02_Data_Layanan'!L46,'02_Data_Layanan'!L47,'02_Data_Layanan'!L48,'02_Data_Layanan'!L49)</x:f>
        <x:v>3120636496805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SUM('02_Data_Layanan'!J46,'02_Data_Layanan'!J47,'02_Data_Layanan'!J48,'02_Data_Layanan'!J49)</x:f>
        <x:v>10596883230.28</x:v>
      </x:c>
      <x:c r="C8" s="7" t="str"/>
      <x:c r="D8" s="7" t="str"/>
      <x:c r="E8" s="15" t="str">
        <x:v>Pendapatan iDRG</x:v>
      </x:c>
      <x:c r="F8" s="19" t="n">
        <x:f>SUM('02_Data_Layanan'!M46,'02_Data_Layanan'!M47,'02_Data_Layanan'!M48,'02_Data_Layanan'!M49)</x:f>
        <x:v>3259978474792.671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'02_Data_Layanan'!H46</x:f>
        <x:v>3397</x:v>
      </x:c>
      <x:c r="C11" s="21" t="n">
        <x:f>'02_Data_Layanan'!I46</x:f>
        <x:v>1437033400</x:v>
      </x:c>
      <x:c r="D11" s="21" t="n">
        <x:f>'02_Data_Layanan'!J46</x:f>
        <x:v>959286216.99</x:v>
      </x:c>
      <x:c r="E11" s="20" t="n">
        <x:f>'02_Data_Layanan'!K46</x:f>
        <x:v>2009444</x:v>
      </x:c>
      <x:c r="F11" s="21" t="n">
        <x:f>'02_Data_Layanan'!L46</x:f>
        <x:v>476534976600</x:v>
      </x:c>
      <x:c r="G11" s="21" t="n">
        <x:f>'02_Data_Layanan'!M46</x:f>
        <x:v>543537789715.77985</x:v>
      </x:c>
      <x:c r="H11" s="20" t="n">
        <x:f>'02_Data_Layanan'!N46</x:f>
        <x:v>2006047</x:v>
      </x:c>
      <x:c r="I11" s="21" t="n">
        <x:f>'02_Data_Layanan'!O46</x:f>
        <x:v>542578503498.78986</x:v>
      </x:c>
      <x:c r="J11" s="20" t="n">
        <x:f>'02_Data_Layanan'!P46</x:f>
        <x:v>546</x:v>
      </x:c>
    </x:row>
    <x:row r="12">
      <x:c r="A12" s="5" t="str">
        <x:v>Madya</x:v>
      </x:c>
      <x:c r="B12" s="20" t="n">
        <x:f>'02_Data_Layanan'!H47</x:f>
        <x:v>3664</x:v>
      </x:c>
      <x:c r="C12" s="21" t="n">
        <x:f>'02_Data_Layanan'!I47</x:f>
        <x:v>4506044400</x:v>
      </x:c>
      <x:c r="D12" s="21" t="n">
        <x:f>'02_Data_Layanan'!J47</x:f>
        <x:v>3785187954.11</x:v>
      </x:c>
      <x:c r="E12" s="20" t="n">
        <x:f>'02_Data_Layanan'!K47</x:f>
        <x:v>936878</x:v>
      </x:c>
      <x:c r="F12" s="21" t="n">
        <x:f>'02_Data_Layanan'!L47</x:f>
        <x:v>1807427746405</x:v>
      </x:c>
      <x:c r="G12" s="21" t="n">
        <x:f>'02_Data_Layanan'!M47</x:f>
        <x:v>1830496617260.0198</x:v>
      </x:c>
      <x:c r="H12" s="20" t="n">
        <x:f>'02_Data_Layanan'!N47</x:f>
        <x:v>933214</x:v>
      </x:c>
      <x:c r="I12" s="21" t="n">
        <x:f>'02_Data_Layanan'!O47</x:f>
        <x:v>1826711429305.9097</x:v>
      </x:c>
      <x:c r="J12" s="20" t="n">
        <x:f>'02_Data_Layanan'!P47</x:f>
        <x:v>449</x:v>
      </x:c>
    </x:row>
    <x:row r="13">
      <x:c r="A13" s="5" t="str">
        <x:v>Utama</x:v>
      </x:c>
      <x:c r="B13" s="20" t="n">
        <x:f>'02_Data_Layanan'!H48</x:f>
        <x:v>1747</x:v>
      </x:c>
      <x:c r="C13" s="21" t="n">
        <x:f>'02_Data_Layanan'!I48</x:f>
        <x:v>5697043000</x:v>
      </x:c>
      <x:c r="D13" s="21" t="n">
        <x:f>'02_Data_Layanan'!J48</x:f>
        <x:v>5330412177.91</x:v>
      </x:c>
      <x:c r="E13" s="20" t="n">
        <x:f>'02_Data_Layanan'!K48</x:f>
        <x:v>650599</x:v>
      </x:c>
      <x:c r="F13" s="21" t="n">
        <x:f>'02_Data_Layanan'!L48</x:f>
        <x:v>743969179700</x:v>
      </x:c>
      <x:c r="G13" s="21" t="n">
        <x:f>'02_Data_Layanan'!M48</x:f>
        <x:v>783290886496.9312</x:v>
      </x:c>
      <x:c r="H13" s="20" t="n">
        <x:f>'02_Data_Layanan'!N48</x:f>
        <x:v>648852</x:v>
      </x:c>
      <x:c r="I13" s="21" t="n">
        <x:f>'02_Data_Layanan'!O48</x:f>
        <x:v>777960474319.0211</x:v>
      </x:c>
      <x:c r="J13" s="20" t="n">
        <x:f>'02_Data_Layanan'!P48</x:f>
        <x:v>11</x:v>
      </x:c>
    </x:row>
    <x:row r="14">
      <x:c r="A14" s="5" t="str">
        <x:v>Paripurna</x:v>
      </x:c>
      <x:c r="B14" s="20" t="n">
        <x:f>'02_Data_Layanan'!H49</x:f>
        <x:v>687</x:v>
      </x:c>
      <x:c r="C14" s="21" t="n">
        <x:f>'02_Data_Layanan'!I49</x:f>
        <x:v>500152600</x:v>
      </x:c>
      <x:c r="D14" s="21" t="n">
        <x:f>'02_Data_Layanan'!J49</x:f>
        <x:v>521996881.27</x:v>
      </x:c>
      <x:c r="E14" s="20" t="n">
        <x:f>'02_Data_Layanan'!K49</x:f>
        <x:v>105539</x:v>
      </x:c>
      <x:c r="F14" s="21" t="n">
        <x:f>'02_Data_Layanan'!L49</x:f>
        <x:v>92704594100</x:v>
      </x:c>
      <x:c r="G14" s="21" t="n">
        <x:f>'02_Data_Layanan'!M49</x:f>
        <x:v>102653181319.94016</x:v>
      </x:c>
      <x:c r="H14" s="20" t="n">
        <x:f>'02_Data_Layanan'!N49</x:f>
        <x:v>104852</x:v>
      </x:c>
      <x:c r="I14" s="21" t="n">
        <x:f>'02_Data_Layanan'!O49</x:f>
        <x:v>102131184438.67015</x:v>
      </x:c>
      <x:c r="J14" s="20" t="n">
        <x:f>'02_Data_Layanan'!P49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'03_Parameter'!G68</x:f>
        <x:v>0.055999999999999994</x:v>
      </x:c>
      <x:c r="C19" s="26" t="n">
        <x:f>'02_Data_Layanan'!N48*B19</x:f>
        <x:v>36335.712</x:v>
      </x:c>
      <x:c r="D19" s="27" t="n">
        <x:f>'02_Data_Layanan'!O48*B19</x:f>
        <x:v>43565786561.86518</x:v>
      </x:c>
      <x:c r="E19" s="13" t="n">
        <x:f>'03_Parameter'!F68</x:f>
        <x:v>0.002</x:v>
      </x:c>
      <x:c r="F19" s="26" t="n">
        <x:f>'02_Data_Layanan'!N47*E19</x:f>
        <x:v>1866.428</x:v>
      </x:c>
      <x:c r="G19" s="27" t="n">
        <x:f>'02_Data_Layanan'!O47*E19</x:f>
        <x:v>3653422858.6118193</x:v>
      </x:c>
      <x:c r="H19" s="13" t="n">
        <x:f>'03_Parameter'!I68</x:f>
        <x:v>0.5</x:v>
      </x:c>
      <x:c r="I19" s="28" t="n">
        <x:f>'02_Data_Layanan'!H46*H19</x:f>
        <x:v>1698.5</x:v>
      </x:c>
      <x:c r="J19" s="29" t="n">
        <x:f>'02_Data_Layanan'!I46*H19</x:f>
        <x:v>718516700</x:v>
      </x:c>
      <x:c r="K19" s="13" t="n">
        <x:f>'03_Parameter'!L68</x:f>
        <x:v>1</x:v>
      </x:c>
      <x:c r="L19" s="28" t="n">
        <x:f>'02_Data_Layanan'!H49*K19</x:f>
        <x:v>687</x:v>
      </x:c>
      <x:c r="M19" s="29" t="n">
        <x:f>'02_Data_Layanan'!I49*K19</x:f>
        <x:v>500152600</x:v>
      </x:c>
      <x:c r="N19" s="11" t="n">
        <x:f>C19+F19-(I19+L19)</x:f>
        <x:v>35816.64</x:v>
      </x:c>
      <x:c r="O19" s="11" t="n">
        <x:f>$B$6+N19</x:f>
        <x:v>45311.64</x:v>
      </x:c>
      <x:c r="P19" s="30" t="n">
        <x:f>IF($B$6=0,0,N19/$B$6)</x:f>
        <x:v>3.7721579778830963</x:v>
      </x:c>
      <x:c r="Q19" s="10" t="n">
        <x:f>D19+G19-(J19+M19)</x:f>
        <x:v>46000540120.477</x:v>
      </x:c>
      <x:c r="R19" s="10" t="n">
        <x:f>$B$7+Q19</x:f>
        <x:v>58140813520.477</x:v>
      </x:c>
      <x:c r="S19" s="30" t="n">
        <x:f>IF($B$7=0,0,Q19/$B$7)</x:f>
        <x:v>3.7890860118913796</x:v>
      </x:c>
    </x:row>
    <x:row r="20">
      <x:c r="A20" s="25" t="str">
        <x:v>Skenario 2</x:v>
      </x:c>
      <x:c r="B20" s="13" t="n">
        <x:f>'03_Parameter'!G69</x:f>
        <x:v>0.156</x:v>
      </x:c>
      <x:c r="C20" s="26" t="n">
        <x:f>'02_Data_Layanan'!N48*B20</x:f>
        <x:v>101220.912</x:v>
      </x:c>
      <x:c r="D20" s="27" t="n">
        <x:f>'02_Data_Layanan'!O48*B20</x:f>
        <x:v>121361833993.76729</x:v>
      </x:c>
      <x:c r="E20" s="13" t="n">
        <x:f>'03_Parameter'!F69</x:f>
        <x:v>0.102</x:v>
      </x:c>
      <x:c r="F20" s="26" t="n">
        <x:f>'02_Data_Layanan'!N47*E20</x:f>
        <x:v>95187.828</x:v>
      </x:c>
      <x:c r="G20" s="27" t="n">
        <x:f>'02_Data_Layanan'!O47*E20</x:f>
        <x:v>186324565789.2028</x:v>
      </x:c>
      <x:c r="H20" s="13" t="n">
        <x:f>'03_Parameter'!I69</x:f>
        <x:v>0.6</x:v>
      </x:c>
      <x:c r="I20" s="28" t="n">
        <x:f>'02_Data_Layanan'!H46*H20</x:f>
        <x:v>2038.1999999999998</x:v>
      </x:c>
      <x:c r="J20" s="29" t="n">
        <x:f>'02_Data_Layanan'!I46*H20</x:f>
        <x:v>862220040</x:v>
      </x:c>
      <x:c r="K20" s="13" t="n">
        <x:f>'03_Parameter'!L69</x:f>
        <x:v>1</x:v>
      </x:c>
      <x:c r="L20" s="28" t="n">
        <x:f>'02_Data_Layanan'!H49*K20</x:f>
        <x:v>687</x:v>
      </x:c>
      <x:c r="M20" s="29" t="n">
        <x:f>'02_Data_Layanan'!I49*K20</x:f>
        <x:v>500152600</x:v>
      </x:c>
      <x:c r="N20" s="11" t="n">
        <x:f>C20+F20-(I20+L20)</x:f>
        <x:v>193683.53999999998</x:v>
      </x:c>
      <x:c r="O20" s="11" t="n">
        <x:f>$B$6+N20</x:f>
        <x:v>203178.53999999998</x:v>
      </x:c>
      <x:c r="P20" s="30" t="n">
        <x:f>IF($B$6=0,0,N20/$B$6)</x:f>
        <x:v>20.39847709320695</x:v>
      </x:c>
      <x:c r="Q20" s="10" t="n">
        <x:f>D20+G20-(J20+M20)</x:f>
        <x:v>306324027142.9701</x:v>
      </x:c>
      <x:c r="R20" s="10" t="n">
        <x:f>$B$7+Q20</x:f>
        <x:v>318464300542.9701</x:v>
      </x:c>
      <x:c r="S20" s="30" t="n">
        <x:f>IF($B$7=0,0,Q20/$B$7)</x:f>
        <x:v>25.232053434889703</x:v>
      </x:c>
    </x:row>
    <x:row r="21">
      <x:c r="A21" s="25" t="str">
        <x:v>Skenario 3</x:v>
      </x:c>
      <x:c r="B21" s="13" t="n">
        <x:f>'03_Parameter'!G70</x:f>
        <x:v>0.256</x:v>
      </x:c>
      <x:c r="C21" s="26" t="n">
        <x:f>'02_Data_Layanan'!N48*B21</x:f>
        <x:v>166106.112</x:v>
      </x:c>
      <x:c r="D21" s="27" t="n">
        <x:f>'02_Data_Layanan'!O48*B21</x:f>
        <x:v>199157881425.6694</x:v>
      </x:c>
      <x:c r="E21" s="13" t="n">
        <x:f>'03_Parameter'!F70</x:f>
        <x:v>0.20199999999999999</x:v>
      </x:c>
      <x:c r="F21" s="26" t="n">
        <x:f>'02_Data_Layanan'!N47*E21</x:f>
        <x:v>188509.22799999997</x:v>
      </x:c>
      <x:c r="G21" s="27" t="n">
        <x:f>'02_Data_Layanan'!O47*E21</x:f>
        <x:v>368995708719.7937</x:v>
      </x:c>
      <x:c r="H21" s="13" t="n">
        <x:f>'03_Parameter'!I70</x:f>
        <x:v>0.7</x:v>
      </x:c>
      <x:c r="I21" s="28" t="n">
        <x:f>'02_Data_Layanan'!H46*H21</x:f>
        <x:v>2377.8999999999996</x:v>
      </x:c>
      <x:c r="J21" s="29" t="n">
        <x:f>'02_Data_Layanan'!I46*H21</x:f>
        <x:v>1005923379.9999999</x:v>
      </x:c>
      <x:c r="K21" s="13" t="n">
        <x:f>'03_Parameter'!L70</x:f>
        <x:v>1</x:v>
      </x:c>
      <x:c r="L21" s="28" t="n">
        <x:f>'02_Data_Layanan'!H49*K21</x:f>
        <x:v>687</x:v>
      </x:c>
      <x:c r="M21" s="29" t="n">
        <x:f>'02_Data_Layanan'!I49*K21</x:f>
        <x:v>500152600</x:v>
      </x:c>
      <x:c r="N21" s="11" t="n">
        <x:f>C21+F21-(I21+L21)</x:f>
        <x:v>351550.43999999994</x:v>
      </x:c>
      <x:c r="O21" s="11" t="n">
        <x:f>$B$6+N21</x:f>
        <x:v>361045.43999999994</x:v>
      </x:c>
      <x:c r="P21" s="30" t="n">
        <x:f>IF($B$6=0,0,N21/$B$6)</x:f>
        <x:v>37.0247962085308</x:v>
      </x:c>
      <x:c r="Q21" s="10" t="n">
        <x:f>D21+G21-(J21+M21)</x:f>
        <x:v>566647514165.4631</x:v>
      </x:c>
      <x:c r="R21" s="10" t="n">
        <x:f>$B$7+Q21</x:f>
        <x:v>578787787565.4631</x:v>
      </x:c>
      <x:c r="S21" s="30" t="n">
        <x:f>IF($B$7=0,0,Q21/$B$7)</x:f>
        <x:v>46.67502085788802</x:v>
      </x:c>
    </x:row>
    <x:row r="22">
      <x:c r="A22" s="25" t="str">
        <x:v>Skenario 4</x:v>
      </x:c>
      <x:c r="B22" s="13" t="n">
        <x:f>'03_Parameter'!G71</x:f>
        <x:v>0.35600000000000004</x:v>
      </x:c>
      <x:c r="C22" s="26" t="n">
        <x:f>'02_Data_Layanan'!N48*B22</x:f>
        <x:v>230991.31200000003</x:v>
      </x:c>
      <x:c r="D22" s="27" t="n">
        <x:f>'02_Data_Layanan'!O48*B22</x:f>
        <x:v>276953928857.57153</x:v>
      </x:c>
      <x:c r="E22" s="13" t="n">
        <x:f>'03_Parameter'!F71</x:f>
        <x:v>0.302</x:v>
      </x:c>
      <x:c r="F22" s="26" t="n">
        <x:f>'02_Data_Layanan'!N47*E22</x:f>
        <x:v>281830.62799999997</x:v>
      </x:c>
      <x:c r="G22" s="27" t="n">
        <x:f>'02_Data_Layanan'!O47*E22</x:f>
        <x:v>551666851650.3846</x:v>
      </x:c>
      <x:c r="H22" s="13" t="n">
        <x:f>'03_Parameter'!I71</x:f>
        <x:v>0.8</x:v>
      </x:c>
      <x:c r="I22" s="28" t="n">
        <x:f>'02_Data_Layanan'!H46*H22</x:f>
        <x:v>2717.6000000000004</x:v>
      </x:c>
      <x:c r="J22" s="29" t="n">
        <x:f>'02_Data_Layanan'!I46*H22</x:f>
        <x:v>1149626720</x:v>
      </x:c>
      <x:c r="K22" s="13" t="n">
        <x:f>'03_Parameter'!L71</x:f>
        <x:v>1</x:v>
      </x:c>
      <x:c r="L22" s="28" t="n">
        <x:f>'02_Data_Layanan'!H49*K22</x:f>
        <x:v>687</x:v>
      </x:c>
      <x:c r="M22" s="29" t="n">
        <x:f>'02_Data_Layanan'!I49*K22</x:f>
        <x:v>500152600</x:v>
      </x:c>
      <x:c r="N22" s="11" t="n">
        <x:f>C22+F22-(I22+L22)</x:f>
        <x:v>509417.34</x:v>
      </x:c>
      <x:c r="O22" s="11" t="n">
        <x:f>$B$6+N22</x:f>
        <x:v>518912.34</x:v>
      </x:c>
      <x:c r="P22" s="30" t="n">
        <x:f>IF($B$6=0,0,N22/$B$6)</x:f>
        <x:v>53.65111532385466</x:v>
      </x:c>
      <x:c r="Q22" s="10" t="n">
        <x:f>D22+G22-(J22+M22)</x:f>
        <x:v>826971001187.9562</x:v>
      </x:c>
      <x:c r="R22" s="10" t="n">
        <x:f>$B$7+Q22</x:f>
        <x:v>839111274587.9562</x:v>
      </x:c>
      <x:c r="S22" s="30" t="n">
        <x:f>IF($B$7=0,0,Q22/$B$7)</x:f>
        <x:v>68.11798828088634</x:v>
      </x:c>
    </x:row>
    <x:row r="23">
      <x:c r="A23" s="25" t="str">
        <x:v>Skenario 5</x:v>
      </x:c>
      <x:c r="B23" s="13" t="n">
        <x:f>'03_Parameter'!G72</x:f>
        <x:v>0.456</x:v>
      </x:c>
      <x:c r="C23" s="26" t="n">
        <x:f>'02_Data_Layanan'!N48*B23</x:f>
        <x:v>295876.512</x:v>
      </x:c>
      <x:c r="D23" s="27" t="n">
        <x:f>'02_Data_Layanan'!O48*B23</x:f>
        <x:v>354749976289.47363</x:v>
      </x:c>
      <x:c r="E23" s="13" t="n">
        <x:f>'03_Parameter'!F72</x:f>
        <x:v>0.402</x:v>
      </x:c>
      <x:c r="F23" s="26" t="n">
        <x:f>'02_Data_Layanan'!N47*E23</x:f>
        <x:v>375152.02800000005</x:v>
      </x:c>
      <x:c r="G23" s="27" t="n">
        <x:f>'02_Data_Layanan'!O47*E23</x:f>
        <x:v>734337994580.9757</x:v>
      </x:c>
      <x:c r="H23" s="13" t="n">
        <x:f>'03_Parameter'!I72</x:f>
        <x:v>0.9</x:v>
      </x:c>
      <x:c r="I23" s="28" t="n">
        <x:f>'02_Data_Layanan'!H46*H23</x:f>
        <x:v>3057.3</x:v>
      </x:c>
      <x:c r="J23" s="29" t="n">
        <x:f>'02_Data_Layanan'!I46*H23</x:f>
        <x:v>1293330060</x:v>
      </x:c>
      <x:c r="K23" s="13" t="n">
        <x:f>'03_Parameter'!L72</x:f>
        <x:v>1</x:v>
      </x:c>
      <x:c r="L23" s="28" t="n">
        <x:f>'02_Data_Layanan'!H49*K23</x:f>
        <x:v>687</x:v>
      </x:c>
      <x:c r="M23" s="29" t="n">
        <x:f>'02_Data_Layanan'!I49*K23</x:f>
        <x:v>500152600</x:v>
      </x:c>
      <x:c r="N23" s="11" t="n">
        <x:f>C23+F23-(I23+L23)</x:f>
        <x:v>667284.24</x:v>
      </x:c>
      <x:c r="O23" s="11" t="n">
        <x:f>$B$6+N23</x:f>
        <x:v>676779.24</x:v>
      </x:c>
      <x:c r="P23" s="30" t="n">
        <x:f>IF($B$6=0,0,N23/$B$6)</x:f>
        <x:v>70.27743443917852</x:v>
      </x:c>
      <x:c r="Q23" s="10" t="n">
        <x:f>D23+G23-(J23+M23)</x:f>
        <x:v>1087294488210.4493</x:v>
      </x:c>
      <x:c r="R23" s="10" t="n">
        <x:f>$B$7+Q23</x:f>
        <x:v>1099434761610.4493</x:v>
      </x:c>
      <x:c r="S23" s="30" t="n">
        <x:f>IF($B$7=0,0,Q23/$B$7)</x:f>
        <x:v>89.56095570388467</x:v>
      </x:c>
    </x:row>
    <x:row r="24">
      <x:c r="A24" s="25" t="str">
        <x:v>Skenario 6</x:v>
      </x:c>
      <x:c r="B24" s="13" t="n">
        <x:f>'03_Parameter'!G73</x:f>
        <x:v>0.556</x:v>
      </x:c>
      <x:c r="C24" s="26" t="n">
        <x:f>'02_Data_Layanan'!N48*B24</x:f>
        <x:v>360761.71200000006</x:v>
      </x:c>
      <x:c r="D24" s="27" t="n">
        <x:f>'02_Data_Layanan'!O48*B24</x:f>
        <x:v>432546023721.3758</x:v>
      </x:c>
      <x:c r="E24" s="13" t="n">
        <x:f>'03_Parameter'!F73</x:f>
        <x:v>0.502</x:v>
      </x:c>
      <x:c r="F24" s="26" t="n">
        <x:f>'02_Data_Layanan'!N47*E24</x:f>
        <x:v>468473.428</x:v>
      </x:c>
      <x:c r="G24" s="27" t="n">
        <x:f>'02_Data_Layanan'!O47*E24</x:f>
        <x:v>917009137511.5667</x:v>
      </x:c>
      <x:c r="H24" s="13" t="n">
        <x:f>'03_Parameter'!I73</x:f>
        <x:v>1</x:v>
      </x:c>
      <x:c r="I24" s="28" t="n">
        <x:f>'02_Data_Layanan'!H46*H24</x:f>
        <x:v>3397</x:v>
      </x:c>
      <x:c r="J24" s="29" t="n">
        <x:f>'02_Data_Layanan'!I46*H24</x:f>
        <x:v>1437033400</x:v>
      </x:c>
      <x:c r="K24" s="13" t="n">
        <x:f>'03_Parameter'!L73</x:f>
        <x:v>1</x:v>
      </x:c>
      <x:c r="L24" s="28" t="n">
        <x:f>'02_Data_Layanan'!H49*K24</x:f>
        <x:v>687</x:v>
      </x:c>
      <x:c r="M24" s="29" t="n">
        <x:f>'02_Data_Layanan'!I49*K24</x:f>
        <x:v>500152600</x:v>
      </x:c>
      <x:c r="N24" s="11" t="n">
        <x:f>C24+F24-(I24+L24)</x:f>
        <x:v>825151.1400000001</x:v>
      </x:c>
      <x:c r="O24" s="11" t="n">
        <x:f>$B$6+N24</x:f>
        <x:v>834646.1400000001</x:v>
      </x:c>
      <x:c r="P24" s="30" t="n">
        <x:f>IF($B$6=0,0,N24/$B$6)</x:f>
        <x:v>86.90375355450239</x:v>
      </x:c>
      <x:c r="Q24" s="10" t="n">
        <x:f>D24+G24-(J24+M24)</x:f>
        <x:v>1347617975232.9424</x:v>
      </x:c>
      <x:c r="R24" s="10" t="n">
        <x:f>$B$7+Q24</x:f>
        <x:v>1359758248632.9424</x:v>
      </x:c>
      <x:c r="S24" s="30" t="n">
        <x:f>IF($B$7=0,0,Q24/$B$7)</x:f>
        <x:v>111.003923126883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Muskuloskeletal &amp; Jaringan Lunak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0.0063556638242255065</x:v>
      </x:c>
      <x:c r="K5" s="16" t="str">
        <x:v>Setara/lebih tinggi</x:v>
      </x:c>
      <x:c r="L5" s="11" t="n">
        <x:f>'02_Data_Layanan'!Q50</x:f>
        <x:v>6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SUM('02_Data_Layanan'!H50,'02_Data_Layanan'!H51,'02_Data_Layanan'!H52,'02_Data_Layanan'!H53)</x:f>
        <x:v>40891</x:v>
      </x:c>
      <x:c r="C6" s="7" t="str"/>
      <x:c r="D6" s="7" t="str"/>
      <x:c r="E6" s="15" t="str">
        <x:v>Total Kasus</x:v>
      </x:c>
      <x:c r="F6" s="18" t="n">
        <x:f>SUM('02_Data_Layanan'!K50,'02_Data_Layanan'!K51,'02_Data_Layanan'!K52,'02_Data_Layanan'!K53)</x:f>
        <x:v>6433789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Sadikin; RS Orthopedi Prof. Dr. R. Soeharso; RS Umum Pusat Dr. Kariadi;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SUM('02_Data_Layanan'!I50,'02_Data_Layanan'!I51,'02_Data_Layanan'!I52,'02_Data_Layanan'!I53)</x:f>
        <x:v>80126950100</x:v>
      </x:c>
      <x:c r="C7" s="7" t="str"/>
      <x:c r="D7" s="7" t="str"/>
      <x:c r="E7" s="15" t="str">
        <x:v>Pendapatan INA</x:v>
      </x:c>
      <x:c r="F7" s="19" t="n">
        <x:f>SUM('02_Data_Layanan'!L50,'02_Data_Layanan'!L51,'02_Data_Layanan'!L52,'02_Data_Layanan'!L53)</x:f>
        <x:v>5775423624655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SUM('02_Data_Layanan'!J50,'02_Data_Layanan'!J51,'02_Data_Layanan'!J52,'02_Data_Layanan'!J53)</x:f>
        <x:v>71083257195.62999</x:v>
      </x:c>
      <x:c r="C8" s="7" t="str"/>
      <x:c r="D8" s="7" t="str"/>
      <x:c r="E8" s="15" t="str">
        <x:v>Pendapatan iDRG</x:v>
      </x:c>
      <x:c r="F8" s="19" t="n">
        <x:f>SUM('02_Data_Layanan'!M50,'02_Data_Layanan'!M51,'02_Data_Layanan'!M52,'02_Data_Layanan'!M53)</x:f>
        <x:v>6574963492237.277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'02_Data_Layanan'!H50</x:f>
        <x:v>22627</x:v>
      </x:c>
      <x:c r="C11" s="21" t="n">
        <x:f>'02_Data_Layanan'!I50</x:f>
        <x:v>20092376200</x:v>
      </x:c>
      <x:c r="D11" s="21" t="n">
        <x:f>'02_Data_Layanan'!J50</x:f>
        <x:v>15900121946.619999</x:v>
      </x:c>
      <x:c r="E11" s="20" t="n">
        <x:f>'02_Data_Layanan'!K50</x:f>
        <x:v>4709353</x:v>
      </x:c>
      <x:c r="F11" s="21" t="n">
        <x:f>'02_Data_Layanan'!L50</x:f>
        <x:v>1851148406350</x:v>
      </x:c>
      <x:c r="G11" s="21" t="n">
        <x:f>'02_Data_Layanan'!M50</x:f>
        <x:v>2012624159102.59</x:v>
      </x:c>
      <x:c r="H11" s="20" t="n">
        <x:f>'02_Data_Layanan'!N50</x:f>
        <x:v>4686726</x:v>
      </x:c>
      <x:c r="I11" s="21" t="n">
        <x:f>'02_Data_Layanan'!O50</x:f>
        <x:v>1996724037155.97</x:v>
      </x:c>
      <x:c r="J11" s="20" t="n">
        <x:f>'02_Data_Layanan'!P50</x:f>
        <x:v>1168</x:v>
      </x:c>
    </x:row>
    <x:row r="12">
      <x:c r="A12" s="5" t="str">
        <x:v>Madya</x:v>
      </x:c>
      <x:c r="B12" s="20" t="n">
        <x:f>'02_Data_Layanan'!H51</x:f>
        <x:v>11020</x:v>
      </x:c>
      <x:c r="C12" s="21" t="n">
        <x:f>'02_Data_Layanan'!I51</x:f>
        <x:v>21650769700</x:v>
      </x:c>
      <x:c r="D12" s="21" t="n">
        <x:f>'02_Data_Layanan'!J51</x:f>
        <x:v>19161568645.8</x:v>
      </x:c>
      <x:c r="E12" s="20" t="n">
        <x:f>'02_Data_Layanan'!K51</x:f>
        <x:v>1233602</x:v>
      </x:c>
      <x:c r="F12" s="21" t="n">
        <x:f>'02_Data_Layanan'!L51</x:f>
        <x:v>2378203044505</x:v>
      </x:c>
      <x:c r="G12" s="21" t="n">
        <x:f>'02_Data_Layanan'!M51</x:f>
        <x:v>2932849316170.459</x:v>
      </x:c>
      <x:c r="H12" s="20" t="n">
        <x:f>'02_Data_Layanan'!N51</x:f>
        <x:v>1222582</x:v>
      </x:c>
      <x:c r="I12" s="21" t="n">
        <x:f>'02_Data_Layanan'!O51</x:f>
        <x:v>2913687747524.659</x:v>
      </x:c>
      <x:c r="J12" s="20" t="n">
        <x:f>'02_Data_Layanan'!P51</x:f>
        <x:v>119</x:v>
      </x:c>
    </x:row>
    <x:row r="13">
      <x:c r="A13" s="5" t="str">
        <x:v>Utama</x:v>
      </x:c>
      <x:c r="B13" s="20" t="n">
        <x:f>'02_Data_Layanan'!H52</x:f>
        <x:v>6634</x:v>
      </x:c>
      <x:c r="C13" s="21" t="n">
        <x:f>'02_Data_Layanan'!I52</x:f>
        <x:v>21528399200</x:v>
      </x:c>
      <x:c r="D13" s="21" t="n">
        <x:f>'02_Data_Layanan'!J52</x:f>
        <x:v>20741240673.239998</x:v>
      </x:c>
      <x:c r="E13" s="20" t="n">
        <x:f>'02_Data_Layanan'!K52</x:f>
        <x:v>341875</x:v>
      </x:c>
      <x:c r="F13" s="21" t="n">
        <x:f>'02_Data_Layanan'!L52</x:f>
        <x:v>1037942362700</x:v>
      </x:c>
      <x:c r="G13" s="21" t="n">
        <x:f>'02_Data_Layanan'!M52</x:f>
        <x:v>1108214600325.9885</x:v>
      </x:c>
      <x:c r="H13" s="20" t="n">
        <x:f>'02_Data_Layanan'!N52</x:f>
        <x:v>335241</x:v>
      </x:c>
      <x:c r="I13" s="21" t="n">
        <x:f>'02_Data_Layanan'!O52</x:f>
        <x:v>1087473359652.7485</x:v>
      </x:c>
      <x:c r="J13" s="20" t="n">
        <x:f>'02_Data_Layanan'!P52</x:f>
        <x:v>16</x:v>
      </x:c>
    </x:row>
    <x:row r="14">
      <x:c r="A14" s="5" t="str">
        <x:v>Paripurna</x:v>
      </x:c>
      <x:c r="B14" s="20" t="n">
        <x:f>'02_Data_Layanan'!H53</x:f>
        <x:v>610</x:v>
      </x:c>
      <x:c r="C14" s="21" t="n">
        <x:f>'02_Data_Layanan'!I53</x:f>
        <x:v>16855405000</x:v>
      </x:c>
      <x:c r="D14" s="21" t="n">
        <x:f>'02_Data_Layanan'!J53</x:f>
        <x:v>15280325929.97</x:v>
      </x:c>
      <x:c r="E14" s="20" t="n">
        <x:f>'02_Data_Layanan'!K53</x:f>
        <x:v>148959</x:v>
      </x:c>
      <x:c r="F14" s="21" t="n">
        <x:f>'02_Data_Layanan'!L53</x:f>
        <x:v>508129811100</x:v>
      </x:c>
      <x:c r="G14" s="21" t="n">
        <x:f>'02_Data_Layanan'!M53</x:f>
        <x:v>521275416638.2401</x:v>
      </x:c>
      <x:c r="H14" s="20" t="n">
        <x:f>'02_Data_Layanan'!N53</x:f>
        <x:v>148349</x:v>
      </x:c>
      <x:c r="I14" s="21" t="n">
        <x:f>'02_Data_Layanan'!O53</x:f>
        <x:v>505995090708.27014</x:v>
      </x:c>
      <x:c r="J14" s="20" t="n">
        <x:f>'02_Data_Layanan'!P53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'03_Parameter'!H74</x:f>
        <x:v>0.14300000000000002</x:v>
      </x:c>
      <x:c r="C19" s="26" t="n">
        <x:f>'02_Data_Layanan'!N53*B19</x:f>
        <x:v>21213.907000000003</x:v>
      </x:c>
      <x:c r="D19" s="27" t="n">
        <x:f>'02_Data_Layanan'!O53*B19</x:f>
        <x:v>72357297971.28264</x:v>
      </x:c>
      <x:c r="E19" s="13" t="n">
        <x:f>'03_Parameter'!G74</x:f>
        <x:v>0.043</x:v>
      </x:c>
      <x:c r="F19" s="26" t="n">
        <x:f>'02_Data_Layanan'!N52*E19</x:f>
        <x:v>14415.363</x:v>
      </x:c>
      <x:c r="G19" s="27" t="n">
        <x:f>'02_Data_Layanan'!O52*E19</x:f>
        <x:v>46761354465.068184</x:v>
      </x:c>
      <x:c r="H19" s="13" t="n">
        <x:f>'03_Parameter'!I74</x:f>
        <x:v>0.5</x:v>
      </x:c>
      <x:c r="I19" s="28" t="n">
        <x:f>'02_Data_Layanan'!H50*H19</x:f>
        <x:v>11313.5</x:v>
      </x:c>
      <x:c r="J19" s="29" t="n">
        <x:f>'02_Data_Layanan'!I50*H19</x:f>
        <x:v>10046188100</x:v>
      </x:c>
      <x:c r="K19" s="13" t="n">
        <x:f>'03_Parameter'!J74</x:f>
        <x:v>0.5</x:v>
      </x:c>
      <x:c r="L19" s="28" t="n">
        <x:f>'02_Data_Layanan'!H51*K19</x:f>
        <x:v>5510</x:v>
      </x:c>
      <x:c r="M19" s="29" t="n">
        <x:f>'02_Data_Layanan'!I51*K19</x:f>
        <x:v>10825384850</x:v>
      </x:c>
      <x:c r="N19" s="11" t="n">
        <x:f>C19+F19-(I19+L19)</x:f>
        <x:v>18805.770000000004</x:v>
      </x:c>
      <x:c r="O19" s="11" t="n">
        <x:f>$B$6+N19</x:f>
        <x:v>59696.770000000004</x:v>
      </x:c>
      <x:c r="P19" s="30" t="n">
        <x:f>IF($B$6=0,0,N19/$B$6)</x:f>
        <x:v>0.4598999779902669</x:v>
      </x:c>
      <x:c r="Q19" s="10" t="n">
        <x:f>D19+G19-(J19+M19)</x:f>
        <x:v>98247079486.35083</x:v>
      </x:c>
      <x:c r="R19" s="10" t="n">
        <x:f>$B$7+Q19</x:f>
        <x:v>178374029586.35083</x:v>
      </x:c>
      <x:c r="S19" s="30" t="n">
        <x:f>IF($B$7=0,0,Q19/$B$7)</x:f>
        <x:v>1.2261427567595742</x:v>
      </x:c>
    </x:row>
    <x:row r="20">
      <x:c r="A20" s="25" t="str">
        <x:v>Skenario 2</x:v>
      </x:c>
      <x:c r="B20" s="13" t="n">
        <x:f>'03_Parameter'!H75</x:f>
        <x:v>0.243</x:v>
      </x:c>
      <x:c r="C20" s="26" t="n">
        <x:f>'02_Data_Layanan'!N53*B20</x:f>
        <x:v>36048.807</x:v>
      </x:c>
      <x:c r="D20" s="27" t="n">
        <x:f>'02_Data_Layanan'!O53*B20</x:f>
        <x:v>122956807042.10963</x:v>
      </x:c>
      <x:c r="E20" s="13" t="n">
        <x:f>'03_Parameter'!G75</x:f>
        <x:v>0.14300000000000002</x:v>
      </x:c>
      <x:c r="F20" s="26" t="n">
        <x:f>'02_Data_Layanan'!N52*E20</x:f>
        <x:v>47939.463</x:v>
      </x:c>
      <x:c r="G20" s="27" t="n">
        <x:f>'02_Data_Layanan'!O52*E20</x:f>
        <x:v>155508690430.34305</x:v>
      </x:c>
      <x:c r="H20" s="13" t="n">
        <x:f>'03_Parameter'!I75</x:f>
        <x:v>0.6</x:v>
      </x:c>
      <x:c r="I20" s="28" t="n">
        <x:f>'02_Data_Layanan'!H50*H20</x:f>
        <x:v>13576.199999999999</x:v>
      </x:c>
      <x:c r="J20" s="29" t="n">
        <x:f>'02_Data_Layanan'!I50*H20</x:f>
        <x:v>12055425720</x:v>
      </x:c>
      <x:c r="K20" s="13" t="n">
        <x:f>'03_Parameter'!J75</x:f>
        <x:v>0.6</x:v>
      </x:c>
      <x:c r="L20" s="28" t="n">
        <x:f>'02_Data_Layanan'!H51*K20</x:f>
        <x:v>6612</x:v>
      </x:c>
      <x:c r="M20" s="29" t="n">
        <x:f>'02_Data_Layanan'!I51*K20</x:f>
        <x:v>12990461820</x:v>
      </x:c>
      <x:c r="N20" s="11" t="n">
        <x:f>C20+F20-(I20+L20)</x:f>
        <x:v>63800.07000000001</x:v>
      </x:c>
      <x:c r="O20" s="11" t="n">
        <x:f>$B$6+N20</x:f>
        <x:v>104691.07</x:v>
      </x:c>
      <x:c r="P20" s="30" t="n">
        <x:f>IF($B$6=0,0,N20/$B$6)</x:f>
        <x:v>1.5602472426695362</x:v>
      </x:c>
      <x:c r="Q20" s="10" t="n">
        <x:f>D20+G20-(J20+M20)</x:f>
        <x:v>253419609932.4527</x:v>
      </x:c>
      <x:c r="R20" s="10" t="n">
        <x:f>$B$7+Q20</x:f>
        <x:v>333546560032.4527</x:v>
      </x:c>
      <x:c r="S20" s="30" t="n">
        <x:f>IF($B$7=0,0,Q20/$B$7)</x:f>
        <x:v>3.1627262689542044</x:v>
      </x:c>
    </x:row>
    <x:row r="21">
      <x:c r="A21" s="25" t="str">
        <x:v>Skenario 3</x:v>
      </x:c>
      <x:c r="B21" s="13" t="n">
        <x:f>'03_Parameter'!H76</x:f>
        <x:v>0.34299999999999997</x:v>
      </x:c>
      <x:c r="C21" s="26" t="n">
        <x:f>'02_Data_Layanan'!N53*B21</x:f>
        <x:v>50883.706999999995</x:v>
      </x:c>
      <x:c r="D21" s="27" t="n">
        <x:f>'02_Data_Layanan'!O53*B21</x:f>
        <x:v>173556316112.93665</x:v>
      </x:c>
      <x:c r="E21" s="13" t="n">
        <x:f>'03_Parameter'!G76</x:f>
        <x:v>0.243</x:v>
      </x:c>
      <x:c r="F21" s="26" t="n">
        <x:f>'02_Data_Layanan'!N52*E21</x:f>
        <x:v>81463.563</x:v>
      </x:c>
      <x:c r="G21" s="27" t="n">
        <x:f>'02_Data_Layanan'!O52*E21</x:f>
        <x:v>264256026395.6179</x:v>
      </x:c>
      <x:c r="H21" s="13" t="n">
        <x:f>'03_Parameter'!I76</x:f>
        <x:v>0.7</x:v>
      </x:c>
      <x:c r="I21" s="28" t="n">
        <x:f>'02_Data_Layanan'!H50*H21</x:f>
        <x:v>15838.9</x:v>
      </x:c>
      <x:c r="J21" s="29" t="n">
        <x:f>'02_Data_Layanan'!I50*H21</x:f>
        <x:v>14064663340</x:v>
      </x:c>
      <x:c r="K21" s="13" t="n">
        <x:f>'03_Parameter'!J76</x:f>
        <x:v>0.7</x:v>
      </x:c>
      <x:c r="L21" s="28" t="n">
        <x:f>'02_Data_Layanan'!H51*K21</x:f>
        <x:v>7713.999999999999</x:v>
      </x:c>
      <x:c r="M21" s="29" t="n">
        <x:f>'02_Data_Layanan'!I51*K21</x:f>
        <x:v>15155538789.999998</x:v>
      </x:c>
      <x:c r="N21" s="11" t="n">
        <x:f>C21+F21-(I21+L21)</x:f>
        <x:v>108794.37</x:v>
      </x:c>
      <x:c r="O21" s="11" t="n">
        <x:f>$B$6+N21</x:f>
        <x:v>149685.37</x:v>
      </x:c>
      <x:c r="P21" s="30" t="n">
        <x:f>IF($B$6=0,0,N21/$B$6)</x:f>
        <x:v>2.6605945073488053</x:v>
      </x:c>
      <x:c r="Q21" s="10" t="n">
        <x:f>D21+G21-(J21+M21)</x:f>
        <x:v>408592140378.55457</x:v>
      </x:c>
      <x:c r="R21" s="10" t="n">
        <x:f>$B$7+Q21</x:f>
        <x:v>488719090478.55457</x:v>
      </x:c>
      <x:c r="S21" s="30" t="n">
        <x:f>IF($B$7=0,0,Q21/$B$7)</x:f>
        <x:v>5.099309781148834</x:v>
      </x:c>
    </x:row>
    <x:row r="22">
      <x:c r="A22" s="25" t="str">
        <x:v>Skenario 4</x:v>
      </x:c>
      <x:c r="B22" s="13" t="n">
        <x:f>'03_Parameter'!H77</x:f>
        <x:v>0.44299999999999995</x:v>
      </x:c>
      <x:c r="C22" s="26" t="n">
        <x:f>'02_Data_Layanan'!N53*B22</x:f>
        <x:v>65718.60699999999</x:v>
      </x:c>
      <x:c r="D22" s="27" t="n">
        <x:f>'02_Data_Layanan'!O53*B22</x:f>
        <x:v>224155825183.76364</x:v>
      </x:c>
      <x:c r="E22" s="13" t="n">
        <x:f>'03_Parameter'!G77</x:f>
        <x:v>0.34299999999999997</x:v>
      </x:c>
      <x:c r="F22" s="26" t="n">
        <x:f>'02_Data_Layanan'!N52*E22</x:f>
        <x:v>114987.66299999999</x:v>
      </x:c>
      <x:c r="G22" s="27" t="n">
        <x:f>'02_Data_Layanan'!O52*E22</x:f>
        <x:v>373003362360.8927</x:v>
      </x:c>
      <x:c r="H22" s="13" t="n">
        <x:f>'03_Parameter'!I77</x:f>
        <x:v>0.8</x:v>
      </x:c>
      <x:c r="I22" s="28" t="n">
        <x:f>'02_Data_Layanan'!H50*H22</x:f>
        <x:v>18101.600000000002</x:v>
      </x:c>
      <x:c r="J22" s="29" t="n">
        <x:f>'02_Data_Layanan'!I50*H22</x:f>
        <x:v>16073900960</x:v>
      </x:c>
      <x:c r="K22" s="13" t="n">
        <x:f>'03_Parameter'!J77</x:f>
        <x:v>0.8</x:v>
      </x:c>
      <x:c r="L22" s="28" t="n">
        <x:f>'02_Data_Layanan'!H51*K22</x:f>
        <x:v>8816</x:v>
      </x:c>
      <x:c r="M22" s="29" t="n">
        <x:f>'02_Data_Layanan'!I51*K22</x:f>
        <x:v>17320615760</x:v>
      </x:c>
      <x:c r="N22" s="11" t="n">
        <x:f>C22+F22-(I22+L22)</x:f>
        <x:v>153788.66999999995</x:v>
      </x:c>
      <x:c r="O22" s="11" t="n">
        <x:f>$B$6+N22</x:f>
        <x:v>194679.66999999995</x:v>
      </x:c>
      <x:c r="P22" s="30" t="n">
        <x:f>IF($B$6=0,0,N22/$B$6)</x:f>
        <x:v>3.7609417720280733</x:v>
      </x:c>
      <x:c r="Q22" s="10" t="n">
        <x:f>D22+G22-(J22+M22)</x:f>
        <x:v>563764670824.6564</x:v>
      </x:c>
      <x:c r="R22" s="10" t="n">
        <x:f>$B$7+Q22</x:f>
        <x:v>643891620924.6564</x:v>
      </x:c>
      <x:c r="S22" s="30" t="n">
        <x:f>IF($B$7=0,0,Q22/$B$7)</x:f>
        <x:v>7.035893293343464</x:v>
      </x:c>
    </x:row>
    <x:row r="23">
      <x:c r="A23" s="25" t="str">
        <x:v>Skenario 5</x:v>
      </x:c>
      <x:c r="B23" s="13" t="n">
        <x:f>'03_Parameter'!H78</x:f>
        <x:v>0.5429999999999999</x:v>
      </x:c>
      <x:c r="C23" s="26" t="n">
        <x:f>'02_Data_Layanan'!N53*B23</x:f>
        <x:v>80553.50699999998</x:v>
      </x:c>
      <x:c r="D23" s="27" t="n">
        <x:f>'02_Data_Layanan'!O53*B23</x:f>
        <x:v>274755334254.59064</x:v>
      </x:c>
      <x:c r="E23" s="13" t="n">
        <x:f>'03_Parameter'!G78</x:f>
        <x:v>0.44299999999999995</x:v>
      </x:c>
      <x:c r="F23" s="26" t="n">
        <x:f>'02_Data_Layanan'!N52*E23</x:f>
        <x:v>148511.76299999998</x:v>
      </x:c>
      <x:c r="G23" s="27" t="n">
        <x:f>'02_Data_Layanan'!O52*E23</x:f>
        <x:v>481750698326.16754</x:v>
      </x:c>
      <x:c r="H23" s="13" t="n">
        <x:f>'03_Parameter'!I78</x:f>
        <x:v>0.9</x:v>
      </x:c>
      <x:c r="I23" s="28" t="n">
        <x:f>'02_Data_Layanan'!H50*H23</x:f>
        <x:v>20364.3</x:v>
      </x:c>
      <x:c r="J23" s="29" t="n">
        <x:f>'02_Data_Layanan'!I50*H23</x:f>
        <x:v>18083138580</x:v>
      </x:c>
      <x:c r="K23" s="13" t="n">
        <x:f>'03_Parameter'!J78</x:f>
        <x:v>0.9</x:v>
      </x:c>
      <x:c r="L23" s="28" t="n">
        <x:f>'02_Data_Layanan'!H51*K23</x:f>
        <x:v>9918</x:v>
      </x:c>
      <x:c r="M23" s="29" t="n">
        <x:f>'02_Data_Layanan'!I51*K23</x:f>
        <x:v>19485692730</x:v>
      </x:c>
      <x:c r="N23" s="11" t="n">
        <x:f>C23+F23-(I23+L23)</x:f>
        <x:v>198782.96999999997</x:v>
      </x:c>
      <x:c r="O23" s="11" t="n">
        <x:f>$B$6+N23</x:f>
        <x:v>239673.96999999997</x:v>
      </x:c>
      <x:c r="P23" s="30" t="n">
        <x:f>IF($B$6=0,0,N23/$B$6)</x:f>
        <x:v>4.861289036707343</x:v>
      </x:c>
      <x:c r="Q23" s="10" t="n">
        <x:f>D23+G23-(J23+M23)</x:f>
        <x:v>718937201270.7582</x:v>
      </x:c>
      <x:c r="R23" s="10" t="n">
        <x:f>$B$7+Q23</x:f>
        <x:v>799064151370.7582</x:v>
      </x:c>
      <x:c r="S23" s="30" t="n">
        <x:f>IF($B$7=0,0,Q23/$B$7)</x:f>
        <x:v>8.972476805538093</x:v>
      </x:c>
    </x:row>
    <x:row r="24">
      <x:c r="A24" s="25" t="str">
        <x:v>Skenario 6</x:v>
      </x:c>
      <x:c r="B24" s="13" t="n">
        <x:f>'03_Parameter'!H79</x:f>
        <x:v>0.643</x:v>
      </x:c>
      <x:c r="C24" s="26" t="n">
        <x:f>'02_Data_Layanan'!N53*B24</x:f>
        <x:v>95388.407</x:v>
      </x:c>
      <x:c r="D24" s="27" t="n">
        <x:f>'02_Data_Layanan'!O53*B24</x:f>
        <x:v>325354843325.4177</x:v>
      </x:c>
      <x:c r="E24" s="13" t="n">
        <x:f>'03_Parameter'!G79</x:f>
        <x:v>0.5429999999999999</x:v>
      </x:c>
      <x:c r="F24" s="26" t="n">
        <x:f>'02_Data_Layanan'!N52*E24</x:f>
        <x:v>182035.86299999998</x:v>
      </x:c>
      <x:c r="G24" s="27" t="n">
        <x:f>'02_Data_Layanan'!O52*E24</x:f>
        <x:v>590498034291.4424</x:v>
      </x:c>
      <x:c r="H24" s="13" t="n">
        <x:f>'03_Parameter'!I79</x:f>
        <x:v>1</x:v>
      </x:c>
      <x:c r="I24" s="28" t="n">
        <x:f>'02_Data_Layanan'!H50*H24</x:f>
        <x:v>22627</x:v>
      </x:c>
      <x:c r="J24" s="29" t="n">
        <x:f>'02_Data_Layanan'!I50*H24</x:f>
        <x:v>20092376200</x:v>
      </x:c>
      <x:c r="K24" s="13" t="n">
        <x:f>'03_Parameter'!J79</x:f>
        <x:v>1</x:v>
      </x:c>
      <x:c r="L24" s="28" t="n">
        <x:f>'02_Data_Layanan'!H51*K24</x:f>
        <x:v>11020</x:v>
      </x:c>
      <x:c r="M24" s="29" t="n">
        <x:f>'02_Data_Layanan'!I51*K24</x:f>
        <x:v>21650769700</x:v>
      </x:c>
      <x:c r="N24" s="11" t="n">
        <x:f>C24+F24-(I24+L24)</x:f>
        <x:v>243777.27000000002</x:v>
      </x:c>
      <x:c r="O24" s="11" t="n">
        <x:f>$B$6+N24</x:f>
        <x:v>284668.27</x:v>
      </x:c>
      <x:c r="P24" s="30" t="n">
        <x:f>IF($B$6=0,0,N24/$B$6)</x:f>
        <x:v>5.961636301386614</x:v>
      </x:c>
      <x:c r="Q24" s="10" t="n">
        <x:f>D24+G24-(J24+M24)</x:f>
        <x:v>874109731716.8601</x:v>
      </x:c>
      <x:c r="R24" s="10" t="n">
        <x:f>$B$7+Q24</x:f>
        <x:v>954236681816.8601</x:v>
      </x:c>
      <x:c r="S24" s="30" t="n">
        <x:f>IF($B$7=0,0,Q24/$B$7)</x:f>
        <x:v>10.909060317732724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Neonatus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0.0037346288143312585</x:v>
      </x:c>
      <x:c r="K5" s="16" t="str">
        <x:v>Setara/lebih tinggi</x:v>
      </x:c>
      <x:c r="L5" s="11" t="n">
        <x:f>'02_Data_Layanan'!Q54</x:f>
        <x:v>16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SUM('02_Data_Layanan'!H54,'02_Data_Layanan'!H55,'02_Data_Layanan'!H56,'02_Data_Layanan'!H57)</x:f>
        <x:v>1107</x:v>
      </x:c>
      <x:c r="C6" s="7" t="str"/>
      <x:c r="D6" s="7" t="str"/>
      <x:c r="E6" s="15" t="str">
        <x:v>Total Kasus</x:v>
      </x:c>
      <x:c r="F6" s="18" t="n">
        <x:f>SUM('02_Data_Layanan'!K54,'02_Data_Layanan'!K55,'02_Data_Layanan'!K56,'02_Data_Layanan'!K57)</x:f>
        <x:v>296415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Daerah  Arifin Achmad; RS Umum  Awal Bros Pekanbaru; RS Umum Awal Bros Batam; RS Umum Hermina Depok; RS Umum Sentra Medika Cibinong; RS Umum Daerah Welas Asih Provinsi Jawa Barat; RS Umum Pusat Dr. Hasan Sadikin; RS Umum Santosa Hospital Bandung Central; +8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SUM('02_Data_Layanan'!I54,'02_Data_Layanan'!I55,'02_Data_Layanan'!I56,'02_Data_Layanan'!I57)</x:f>
        <x:v>7957268000</x:v>
      </x:c>
      <x:c r="C7" s="7" t="str"/>
      <x:c r="D7" s="7" t="str"/>
      <x:c r="E7" s="15" t="str">
        <x:v>Pendapatan INA</x:v>
      </x:c>
      <x:c r="F7" s="19" t="n">
        <x:f>SUM('02_Data_Layanan'!L54,'02_Data_Layanan'!L55,'02_Data_Layanan'!L56,'02_Data_Layanan'!L57)</x:f>
        <x:v>940991061005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SUM('02_Data_Layanan'!J54,'02_Data_Layanan'!J55,'02_Data_Layanan'!J56,'02_Data_Layanan'!J57)</x:f>
        <x:v>4906028008.070001</x:v>
      </x:c>
      <x:c r="C8" s="7" t="str"/>
      <x:c r="D8" s="7" t="str"/>
      <x:c r="E8" s="15" t="str">
        <x:v>Pendapatan iDRG</x:v>
      </x:c>
      <x:c r="F8" s="19" t="n">
        <x:f>SUM('02_Data_Layanan'!M54,'02_Data_Layanan'!M55,'02_Data_Layanan'!M56,'02_Data_Layanan'!M57)</x:f>
        <x:v>1330434661095.4893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'02_Data_Layanan'!H54</x:f>
        <x:v>181</x:v>
      </x:c>
      <x:c r="C11" s="21" t="n">
        <x:f>'02_Data_Layanan'!I54</x:f>
        <x:v>410487600</x:v>
      </x:c>
      <x:c r="D11" s="21" t="n">
        <x:f>'02_Data_Layanan'!J54</x:f>
        <x:v>320398145.07000005</x:v>
      </x:c>
      <x:c r="E11" s="20" t="n">
        <x:f>'02_Data_Layanan'!K54</x:f>
        <x:v>55414</x:v>
      </x:c>
      <x:c r="F11" s="21" t="n">
        <x:f>'02_Data_Layanan'!L54</x:f>
        <x:v>103825518400</x:v>
      </x:c>
      <x:c r="G11" s="21" t="n">
        <x:f>'02_Data_Layanan'!M54</x:f>
        <x:v>124031991191.08032</x:v>
      </x:c>
      <x:c r="H11" s="20" t="n">
        <x:f>'02_Data_Layanan'!N54</x:f>
        <x:v>55233</x:v>
      </x:c>
      <x:c r="I11" s="21" t="n">
        <x:f>'02_Data_Layanan'!O54</x:f>
        <x:v>123711593046.01031</x:v>
      </x:c>
      <x:c r="J11" s="20" t="n">
        <x:f>'02_Data_Layanan'!P54</x:f>
        <x:v>964</x:v>
      </x:c>
    </x:row>
    <x:row r="12">
      <x:c r="A12" s="5" t="str">
        <x:v>Madya</x:v>
      </x:c>
      <x:c r="B12" s="20" t="n">
        <x:f>'02_Data_Layanan'!H55</x:f>
        <x:v>539</x:v>
      </x:c>
      <x:c r="C12" s="21" t="n">
        <x:f>'02_Data_Layanan'!I55</x:f>
        <x:v>5593132200</x:v>
      </x:c>
      <x:c r="D12" s="21" t="n">
        <x:f>'02_Data_Layanan'!J55</x:f>
        <x:v>3705299443.2000003</x:v>
      </x:c>
      <x:c r="E12" s="20" t="n">
        <x:f>'02_Data_Layanan'!K55</x:f>
        <x:v>169086</x:v>
      </x:c>
      <x:c r="F12" s="21" t="n">
        <x:f>'02_Data_Layanan'!L55</x:f>
        <x:v>704478662805</x:v>
      </x:c>
      <x:c r="G12" s="21" t="n">
        <x:f>'02_Data_Layanan'!M55</x:f>
        <x:v>1057480507173.2388</x:v>
      </x:c>
      <x:c r="H12" s="20" t="n">
        <x:f>'02_Data_Layanan'!N55</x:f>
        <x:v>168547</x:v>
      </x:c>
      <x:c r="I12" s="21" t="n">
        <x:f>'02_Data_Layanan'!O55</x:f>
        <x:v>1053775207730.0388</x:v>
      </x:c>
      <x:c r="J12" s="20" t="n">
        <x:f>'02_Data_Layanan'!P55</x:f>
        <x:v>280</x:v>
      </x:c>
    </x:row>
    <x:row r="13">
      <x:c r="A13" s="5" t="str">
        <x:v>Utama</x:v>
      </x:c>
      <x:c r="B13" s="20" t="n">
        <x:f>'02_Data_Layanan'!H56</x:f>
        <x:v>286</x:v>
      </x:c>
      <x:c r="C13" s="21" t="n">
        <x:f>'02_Data_Layanan'!I56</x:f>
        <x:v>1810596600</x:v>
      </x:c>
      <x:c r="D13" s="21" t="n">
        <x:f>'02_Data_Layanan'!J56</x:f>
        <x:v>781569284.71</x:v>
      </x:c>
      <x:c r="E13" s="20" t="n">
        <x:f>'02_Data_Layanan'!K56</x:f>
        <x:v>58813</x:v>
      </x:c>
      <x:c r="F13" s="21" t="n">
        <x:f>'02_Data_Layanan'!L56</x:f>
        <x:v>106259247500</x:v>
      </x:c>
      <x:c r="G13" s="21" t="n">
        <x:f>'02_Data_Layanan'!M56</x:f>
        <x:v>118841198072.85022</x:v>
      </x:c>
      <x:c r="H13" s="20" t="n">
        <x:f>'02_Data_Layanan'!N56</x:f>
        <x:v>58527</x:v>
      </x:c>
      <x:c r="I13" s="21" t="n">
        <x:f>'02_Data_Layanan'!O56</x:f>
        <x:v>118059628788.14021</x:v>
      </x:c>
      <x:c r="J13" s="20" t="n">
        <x:f>'02_Data_Layanan'!P56</x:f>
        <x:v>13</x:v>
      </x:c>
    </x:row>
    <x:row r="14">
      <x:c r="A14" s="5" t="str">
        <x:v>Paripurna</x:v>
      </x:c>
      <x:c r="B14" s="20" t="n">
        <x:f>'02_Data_Layanan'!H57</x:f>
        <x:v>101</x:v>
      </x:c>
      <x:c r="C14" s="21" t="n">
        <x:f>'02_Data_Layanan'!I57</x:f>
        <x:v>143051600</x:v>
      </x:c>
      <x:c r="D14" s="21" t="n">
        <x:f>'02_Data_Layanan'!J57</x:f>
        <x:v>98761135.09</x:v>
      </x:c>
      <x:c r="E14" s="20" t="n">
        <x:f>'02_Data_Layanan'!K57</x:f>
        <x:v>13102</x:v>
      </x:c>
      <x:c r="F14" s="21" t="n">
        <x:f>'02_Data_Layanan'!L57</x:f>
        <x:v>26427632300</x:v>
      </x:c>
      <x:c r="G14" s="21" t="n">
        <x:f>'02_Data_Layanan'!M57</x:f>
        <x:v>30080964658.31993</x:v>
      </x:c>
      <x:c r="H14" s="20" t="n">
        <x:f>'02_Data_Layanan'!N57</x:f>
        <x:v>13001</x:v>
      </x:c>
      <x:c r="I14" s="21" t="n">
        <x:f>'02_Data_Layanan'!O57</x:f>
        <x:v>29982203523.22993</x:v>
      </x:c>
      <x:c r="J14" s="20" t="n">
        <x:f>'02_Data_Layanan'!P57</x:f>
        <x:v>3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'03_Parameter'!G80</x:f>
        <x:v>0.059000000000000004</x:v>
      </x:c>
      <x:c r="C19" s="26" t="n">
        <x:f>'02_Data_Layanan'!N56*B19</x:f>
        <x:v>3453.0930000000003</x:v>
      </x:c>
      <x:c r="D19" s="27" t="n">
        <x:f>'02_Data_Layanan'!O56*B19</x:f>
        <x:v>6965518098.500273</x:v>
      </x:c>
      <x:c r="E19" s="13" t="n">
        <x:f>'03_Parameter'!F80</x:f>
        <x:v>0.003</x:v>
      </x:c>
      <x:c r="F19" s="26" t="n">
        <x:f>'02_Data_Layanan'!N55*E19</x:f>
        <x:v>505.641</x:v>
      </x:c>
      <x:c r="G19" s="27" t="n">
        <x:f>'02_Data_Layanan'!O55*E19</x:f>
        <x:v>3161325623.1901164</x:v>
      </x:c>
      <x:c r="H19" s="13" t="n">
        <x:f>'03_Parameter'!I80</x:f>
        <x:v>0.5</x:v>
      </x:c>
      <x:c r="I19" s="28" t="n">
        <x:f>'02_Data_Layanan'!H54*H19</x:f>
        <x:v>90.5</x:v>
      </x:c>
      <x:c r="J19" s="29" t="n">
        <x:f>'02_Data_Layanan'!I54*H19</x:f>
        <x:v>205243800</x:v>
      </x:c>
      <x:c r="K19" s="13" t="n">
        <x:f>'03_Parameter'!L80</x:f>
        <x:v>1</x:v>
      </x:c>
      <x:c r="L19" s="28" t="n">
        <x:f>'02_Data_Layanan'!H57*K19</x:f>
        <x:v>101</x:v>
      </x:c>
      <x:c r="M19" s="29" t="n">
        <x:f>'02_Data_Layanan'!I57*K19</x:f>
        <x:v>143051600</x:v>
      </x:c>
      <x:c r="N19" s="11" t="n">
        <x:f>C19+F19-(I19+L19)</x:f>
        <x:v>3767.2340000000004</x:v>
      </x:c>
      <x:c r="O19" s="11" t="n">
        <x:f>$B$6+N19</x:f>
        <x:v>4874.234</x:v>
      </x:c>
      <x:c r="P19" s="30" t="n">
        <x:f>IF($B$6=0,0,N19/$B$6)</x:f>
        <x:v>3.403102077687444</x:v>
      </x:c>
      <x:c r="Q19" s="10" t="n">
        <x:f>D19+G19-(J19+M19)</x:f>
        <x:v>9778548321.69039</x:v>
      </x:c>
      <x:c r="R19" s="10" t="n">
        <x:f>$B$7+Q19</x:f>
        <x:v>17735816321.69039</x:v>
      </x:c>
      <x:c r="S19" s="30" t="n">
        <x:f>IF($B$7=0,0,Q19/$B$7)</x:f>
        <x:v>1.2288826167084468</x:v>
      </x:c>
    </x:row>
    <x:row r="20">
      <x:c r="A20" s="25" t="str">
        <x:v>Skenario 2</x:v>
      </x:c>
      <x:c r="B20" s="13" t="n">
        <x:f>'03_Parameter'!G81</x:f>
        <x:v>0.159</x:v>
      </x:c>
      <x:c r="C20" s="26" t="n">
        <x:f>'02_Data_Layanan'!N56*B20</x:f>
        <x:v>9305.793</x:v>
      </x:c>
      <x:c r="D20" s="27" t="n">
        <x:f>'02_Data_Layanan'!O56*B20</x:f>
        <x:v>18771480977.314293</x:v>
      </x:c>
      <x:c r="E20" s="13" t="n">
        <x:f>'03_Parameter'!F81</x:f>
        <x:v>0.10300000000000001</x:v>
      </x:c>
      <x:c r="F20" s="26" t="n">
        <x:f>'02_Data_Layanan'!N55*E20</x:f>
        <x:v>17360.341</x:v>
      </x:c>
      <x:c r="G20" s="27" t="n">
        <x:f>'02_Data_Layanan'!O55*E20</x:f>
        <x:v>108538846396.194</x:v>
      </x:c>
      <x:c r="H20" s="13" t="n">
        <x:f>'03_Parameter'!I81</x:f>
        <x:v>0.6</x:v>
      </x:c>
      <x:c r="I20" s="28" t="n">
        <x:f>'02_Data_Layanan'!H54*H20</x:f>
        <x:v>108.6</x:v>
      </x:c>
      <x:c r="J20" s="29" t="n">
        <x:f>'02_Data_Layanan'!I54*H20</x:f>
        <x:v>246292560</x:v>
      </x:c>
      <x:c r="K20" s="13" t="n">
        <x:f>'03_Parameter'!L81</x:f>
        <x:v>1</x:v>
      </x:c>
      <x:c r="L20" s="28" t="n">
        <x:f>'02_Data_Layanan'!H57*K20</x:f>
        <x:v>101</x:v>
      </x:c>
      <x:c r="M20" s="29" t="n">
        <x:f>'02_Data_Layanan'!I57*K20</x:f>
        <x:v>143051600</x:v>
      </x:c>
      <x:c r="N20" s="11" t="n">
        <x:f>C20+F20-(I20+L20)</x:f>
        <x:v>26456.534</x:v>
      </x:c>
      <x:c r="O20" s="11" t="n">
        <x:f>$B$6+N20</x:f>
        <x:v>27563.534</x:v>
      </x:c>
      <x:c r="P20" s="30" t="n">
        <x:f>IF($B$6=0,0,N20/$B$6)</x:f>
        <x:v>23.899308039747062</x:v>
      </x:c>
      <x:c r="Q20" s="10" t="n">
        <x:f>D20+G20-(J20+M20)</x:f>
        <x:v>126920983213.5083</x:v>
      </x:c>
      <x:c r="R20" s="10" t="n">
        <x:f>$B$7+Q20</x:f>
        <x:v>134878251213.5083</x:v>
      </x:c>
      <x:c r="S20" s="30" t="n">
        <x:f>IF($B$7=0,0,Q20/$B$7)</x:f>
        <x:v>15.950321544216973</x:v>
      </x:c>
    </x:row>
    <x:row r="21">
      <x:c r="A21" s="25" t="str">
        <x:v>Skenario 3</x:v>
      </x:c>
      <x:c r="B21" s="13" t="n">
        <x:f>'03_Parameter'!G82</x:f>
        <x:v>0.259</x:v>
      </x:c>
      <x:c r="C21" s="26" t="n">
        <x:f>'02_Data_Layanan'!N56*B21</x:f>
        <x:v>15158.493</x:v>
      </x:c>
      <x:c r="D21" s="27" t="n">
        <x:f>'02_Data_Layanan'!O56*B21</x:f>
        <x:v>30577443856.128315</x:v>
      </x:c>
      <x:c r="E21" s="13" t="n">
        <x:f>'03_Parameter'!F82</x:f>
        <x:v>0.203</x:v>
      </x:c>
      <x:c r="F21" s="26" t="n">
        <x:f>'02_Data_Layanan'!N55*E21</x:f>
        <x:v>34215.041000000005</x:v>
      </x:c>
      <x:c r="G21" s="27" t="n">
        <x:f>'02_Data_Layanan'!O55*E21</x:f>
        <x:v>213916367169.1979</x:v>
      </x:c>
      <x:c r="H21" s="13" t="n">
        <x:f>'03_Parameter'!I82</x:f>
        <x:v>0.7</x:v>
      </x:c>
      <x:c r="I21" s="28" t="n">
        <x:f>'02_Data_Layanan'!H54*H21</x:f>
        <x:v>126.69999999999999</x:v>
      </x:c>
      <x:c r="J21" s="29" t="n">
        <x:f>'02_Data_Layanan'!I54*H21</x:f>
        <x:v>287341320</x:v>
      </x:c>
      <x:c r="K21" s="13" t="n">
        <x:f>'03_Parameter'!L82</x:f>
        <x:v>1</x:v>
      </x:c>
      <x:c r="L21" s="28" t="n">
        <x:f>'02_Data_Layanan'!H57*K21</x:f>
        <x:v>101</x:v>
      </x:c>
      <x:c r="M21" s="29" t="n">
        <x:f>'02_Data_Layanan'!I57*K21</x:f>
        <x:v>143051600</x:v>
      </x:c>
      <x:c r="N21" s="11" t="n">
        <x:f>C21+F21-(I21+L21)</x:f>
        <x:v>49145.83400000001</x:v>
      </x:c>
      <x:c r="O21" s="11" t="n">
        <x:f>$B$6+N21</x:f>
        <x:v>50252.83400000001</x:v>
      </x:c>
      <x:c r="P21" s="30" t="n">
        <x:f>IF($B$6=0,0,N21/$B$6)</x:f>
        <x:v>44.395514001806696</x:v>
      </x:c>
      <x:c r="Q21" s="10" t="n">
        <x:f>D21+G21-(J21+M21)</x:f>
        <x:v>244063418105.32623</x:v>
      </x:c>
      <x:c r="R21" s="10" t="n">
        <x:f>$B$7+Q21</x:f>
        <x:v>252020686105.32623</x:v>
      </x:c>
      <x:c r="S21" s="30" t="n">
        <x:f>IF($B$7=0,0,Q21/$B$7)</x:f>
        <x:v>30.671760471725502</x:v>
      </x:c>
    </x:row>
    <x:row r="22">
      <x:c r="A22" s="25" t="str">
        <x:v>Skenario 4</x:v>
      </x:c>
      <x:c r="B22" s="13" t="n">
        <x:f>'03_Parameter'!G83</x:f>
        <x:v>0.359</x:v>
      </x:c>
      <x:c r="C22" s="26" t="n">
        <x:f>'02_Data_Layanan'!N56*B22</x:f>
        <x:v>21011.193</x:v>
      </x:c>
      <x:c r="D22" s="27" t="n">
        <x:f>'02_Data_Layanan'!O56*B22</x:f>
        <x:v>42383406734.94234</x:v>
      </x:c>
      <x:c r="E22" s="13" t="n">
        <x:f>'03_Parameter'!F83</x:f>
        <x:v>0.303</x:v>
      </x:c>
      <x:c r="F22" s="26" t="n">
        <x:f>'02_Data_Layanan'!N55*E22</x:f>
        <x:v>51069.741</x:v>
      </x:c>
      <x:c r="G22" s="27" t="n">
        <x:f>'02_Data_Layanan'!O55*E22</x:f>
        <x:v>319293887942.2018</x:v>
      </x:c>
      <x:c r="H22" s="13" t="n">
        <x:f>'03_Parameter'!I83</x:f>
        <x:v>0.8</x:v>
      </x:c>
      <x:c r="I22" s="28" t="n">
        <x:f>'02_Data_Layanan'!H54*H22</x:f>
        <x:v>144.8</x:v>
      </x:c>
      <x:c r="J22" s="29" t="n">
        <x:f>'02_Data_Layanan'!I54*H22</x:f>
        <x:v>328390080</x:v>
      </x:c>
      <x:c r="K22" s="13" t="n">
        <x:f>'03_Parameter'!L83</x:f>
        <x:v>1</x:v>
      </x:c>
      <x:c r="L22" s="28" t="n">
        <x:f>'02_Data_Layanan'!H57*K22</x:f>
        <x:v>101</x:v>
      </x:c>
      <x:c r="M22" s="29" t="n">
        <x:f>'02_Data_Layanan'!I57*K22</x:f>
        <x:v>143051600</x:v>
      </x:c>
      <x:c r="N22" s="11" t="n">
        <x:f>C22+F22-(I22+L22)</x:f>
        <x:v>71835.134</x:v>
      </x:c>
      <x:c r="O22" s="11" t="n">
        <x:f>$B$6+N22</x:f>
        <x:v>72942.134</x:v>
      </x:c>
      <x:c r="P22" s="30" t="n">
        <x:f>IF($B$6=0,0,N22/$B$6)</x:f>
        <x:v>64.89171996386631</x:v>
      </x:c>
      <x:c r="Q22" s="10" t="n">
        <x:f>D22+G22-(J22+M22)</x:f>
        <x:v>361205852997.1441</x:v>
      </x:c>
      <x:c r="R22" s="10" t="n">
        <x:f>$B$7+Q22</x:f>
        <x:v>369163120997.1441</x:v>
      </x:c>
      <x:c r="S22" s="30" t="n">
        <x:f>IF($B$7=0,0,Q22/$B$7)</x:f>
        <x:v>45.39319939923402</x:v>
      </x:c>
    </x:row>
    <x:row r="23">
      <x:c r="A23" s="25" t="str">
        <x:v>Skenario 5</x:v>
      </x:c>
      <x:c r="B23" s="13" t="n">
        <x:f>'03_Parameter'!G84</x:f>
        <x:v>0.45899999999999996</x:v>
      </x:c>
      <x:c r="C23" s="26" t="n">
        <x:f>'02_Data_Layanan'!N56*B23</x:f>
        <x:v>26863.892999999996</x:v>
      </x:c>
      <x:c r="D23" s="27" t="n">
        <x:f>'02_Data_Layanan'!O56*B23</x:f>
        <x:v>54189369613.756355</x:v>
      </x:c>
      <x:c r="E23" s="13" t="n">
        <x:f>'03_Parameter'!F84</x:f>
        <x:v>0.40299999999999997</x:v>
      </x:c>
      <x:c r="F23" s="26" t="n">
        <x:f>'02_Data_Layanan'!N55*E23</x:f>
        <x:v>67924.44099999999</x:v>
      </x:c>
      <x:c r="G23" s="27" t="n">
        <x:f>'02_Data_Layanan'!O55*E23</x:f>
        <x:v>424671408715.2056</x:v>
      </x:c>
      <x:c r="H23" s="13" t="n">
        <x:f>'03_Parameter'!I84</x:f>
        <x:v>0.9</x:v>
      </x:c>
      <x:c r="I23" s="28" t="n">
        <x:f>'02_Data_Layanan'!H54*H23</x:f>
        <x:v>162.9</x:v>
      </x:c>
      <x:c r="J23" s="29" t="n">
        <x:f>'02_Data_Layanan'!I54*H23</x:f>
        <x:v>369438840</x:v>
      </x:c>
      <x:c r="K23" s="13" t="n">
        <x:f>'03_Parameter'!L84</x:f>
        <x:v>1</x:v>
      </x:c>
      <x:c r="L23" s="28" t="n">
        <x:f>'02_Data_Layanan'!H57*K23</x:f>
        <x:v>101</x:v>
      </x:c>
      <x:c r="M23" s="29" t="n">
        <x:f>'02_Data_Layanan'!I57*K23</x:f>
        <x:v>143051600</x:v>
      </x:c>
      <x:c r="N23" s="11" t="n">
        <x:f>C23+F23-(I23+L23)</x:f>
        <x:v>94524.434</x:v>
      </x:c>
      <x:c r="O23" s="11" t="n">
        <x:f>$B$6+N23</x:f>
        <x:v>95631.434</x:v>
      </x:c>
      <x:c r="P23" s="30" t="n">
        <x:f>IF($B$6=0,0,N23/$B$6)</x:f>
        <x:v>85.38792592592593</x:v>
      </x:c>
      <x:c r="Q23" s="10" t="n">
        <x:f>D23+G23-(J23+M23)</x:f>
        <x:v>478348287888.962</x:v>
      </x:c>
      <x:c r="R23" s="10" t="n">
        <x:f>$B$7+Q23</x:f>
        <x:v>486305555888.962</x:v>
      </x:c>
      <x:c r="S23" s="30" t="n">
        <x:f>IF($B$7=0,0,Q23/$B$7)</x:f>
        <x:v>60.11463832674254</x:v>
      </x:c>
    </x:row>
    <x:row r="24">
      <x:c r="A24" s="25" t="str">
        <x:v>Skenario 6</x:v>
      </x:c>
      <x:c r="B24" s="13" t="n">
        <x:f>'03_Parameter'!G85</x:f>
        <x:v>0.5589999999999999</x:v>
      </x:c>
      <x:c r="C24" s="26" t="n">
        <x:f>'02_Data_Layanan'!N56*B24</x:f>
        <x:v>32716.592999999997</x:v>
      </x:c>
      <x:c r="D24" s="27" t="n">
        <x:f>'02_Data_Layanan'!O56*B24</x:f>
        <x:v>65995332492.57037</x:v>
      </x:c>
      <x:c r="E24" s="13" t="n">
        <x:f>'03_Parameter'!F85</x:f>
        <x:v>0.503</x:v>
      </x:c>
      <x:c r="F24" s="26" t="n">
        <x:f>'02_Data_Layanan'!N55*E24</x:f>
        <x:v>84779.141</x:v>
      </x:c>
      <x:c r="G24" s="27" t="n">
        <x:f>'02_Data_Layanan'!O55*E24</x:f>
        <x:v>530048929488.20953</x:v>
      </x:c>
      <x:c r="H24" s="13" t="n">
        <x:f>'03_Parameter'!I85</x:f>
        <x:v>1</x:v>
      </x:c>
      <x:c r="I24" s="28" t="n">
        <x:f>'02_Data_Layanan'!H54*H24</x:f>
        <x:v>181</x:v>
      </x:c>
      <x:c r="J24" s="29" t="n">
        <x:f>'02_Data_Layanan'!I54*H24</x:f>
        <x:v>410487600</x:v>
      </x:c>
      <x:c r="K24" s="13" t="n">
        <x:f>'03_Parameter'!L85</x:f>
        <x:v>1</x:v>
      </x:c>
      <x:c r="L24" s="28" t="n">
        <x:f>'02_Data_Layanan'!H57*K24</x:f>
        <x:v>101</x:v>
      </x:c>
      <x:c r="M24" s="29" t="n">
        <x:f>'02_Data_Layanan'!I57*K24</x:f>
        <x:v>143051600</x:v>
      </x:c>
      <x:c r="N24" s="11" t="n">
        <x:f>C24+F24-(I24+L24)</x:f>
        <x:v>117213.734</x:v>
      </x:c>
      <x:c r="O24" s="11" t="n">
        <x:f>$B$6+N24</x:f>
        <x:v>118320.734</x:v>
      </x:c>
      <x:c r="P24" s="30" t="n">
        <x:f>IF($B$6=0,0,N24/$B$6)</x:f>
        <x:v>105.88413188798555</x:v>
      </x:c>
      <x:c r="Q24" s="10" t="n">
        <x:f>D24+G24-(J24+M24)</x:f>
        <x:v>595490722780.7799</x:v>
      </x:c>
      <x:c r="R24" s="10" t="n">
        <x:f>$B$7+Q24</x:f>
        <x:v>603447990780.7799</x:v>
      </x:c>
      <x:c r="S24" s="30" t="n">
        <x:f>IF($B$7=0,0,Q24/$B$7)</x:f>
        <x:v>74.83607725425107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Neoplasma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0.04444875163470574</x:v>
      </x:c>
      <x:c r="K5" s="16" t="str">
        <x:v>Setara/lebih tinggi</x:v>
      </x:c>
      <x:c r="L5" s="11" t="n">
        <x:f>'02_Data_Layanan'!Q58</x:f>
        <x:v>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SUM('02_Data_Layanan'!H58,'02_Data_Layanan'!H59,'02_Data_Layanan'!H60,'02_Data_Layanan'!H61)</x:f>
        <x:v>40820</x:v>
      </x:c>
      <x:c r="C6" s="7" t="str"/>
      <x:c r="D6" s="7" t="str"/>
      <x:c r="E6" s="15" t="str">
        <x:v>Total Kasus</x:v>
      </x:c>
      <x:c r="F6" s="18" t="n">
        <x:f>SUM('02_Data_Layanan'!K58,'02_Data_Layanan'!K59,'02_Data_Layanan'!K60,'02_Data_Layanan'!K61)</x:f>
        <x:v>918361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Sadikin; RS Primaya Bekasi Barat; RS Umum Daerah Prof Dr. Margono Soekarjo; RS Umum Pusat Dr. Kariadi;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SUM('02_Data_Layanan'!I58,'02_Data_Layanan'!I59,'02_Data_Layanan'!I60,'02_Data_Layanan'!I61)</x:f>
        <x:v>89543101500</x:v>
      </x:c>
      <x:c r="C7" s="7" t="str"/>
      <x:c r="D7" s="7" t="str"/>
      <x:c r="E7" s="15" t="str">
        <x:v>Pendapatan INA</x:v>
      </x:c>
      <x:c r="F7" s="19" t="n">
        <x:f>SUM('02_Data_Layanan'!L58,'02_Data_Layanan'!L59,'02_Data_Layanan'!L60,'02_Data_Layanan'!L61)</x:f>
        <x:v>1636702162200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SUM('02_Data_Layanan'!J58,'02_Data_Layanan'!J59,'02_Data_Layanan'!J60,'02_Data_Layanan'!J61)</x:f>
        <x:v>85008678817.4</x:v>
      </x:c>
      <x:c r="C8" s="7" t="str"/>
      <x:c r="D8" s="7" t="str"/>
      <x:c r="E8" s="15" t="str">
        <x:v>Pendapatan iDRG</x:v>
      </x:c>
      <x:c r="F8" s="19" t="n">
        <x:f>SUM('02_Data_Layanan'!M58,'02_Data_Layanan'!M59,'02_Data_Layanan'!M60,'02_Data_Layanan'!M61)</x:f>
        <x:v>1692208684254.9604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'02_Data_Layanan'!H58</x:f>
        <x:v>1943</x:v>
      </x:c>
      <x:c r="C11" s="21" t="n">
        <x:f>'02_Data_Layanan'!I58</x:f>
        <x:v>11803802900</x:v>
      </x:c>
      <x:c r="D11" s="21" t="n">
        <x:f>'02_Data_Layanan'!J58</x:f>
        <x:v>11529242065.05</x:v>
      </x:c>
      <x:c r="E11" s="20" t="n">
        <x:f>'02_Data_Layanan'!K58</x:f>
        <x:v>67189</x:v>
      </x:c>
      <x:c r="F11" s="21" t="n">
        <x:f>'02_Data_Layanan'!L58</x:f>
        <x:v>120648227000</x:v>
      </x:c>
      <x:c r="G11" s="21" t="n">
        <x:f>'02_Data_Layanan'!M58</x:f>
        <x:v>131188205386.88997</x:v>
      </x:c>
      <x:c r="H11" s="20" t="n">
        <x:f>'02_Data_Layanan'!N58</x:f>
        <x:v>65246</x:v>
      </x:c>
      <x:c r="I11" s="21" t="n">
        <x:f>'02_Data_Layanan'!O58</x:f>
        <x:v>119658963321.83997</x:v>
      </x:c>
      <x:c r="J11" s="20" t="n">
        <x:f>'02_Data_Layanan'!P58</x:f>
        <x:v>1136</x:v>
      </x:c>
    </x:row>
    <x:row r="12">
      <x:c r="A12" s="5" t="str">
        <x:v>Madya</x:v>
      </x:c>
      <x:c r="B12" s="20" t="n">
        <x:f>'02_Data_Layanan'!H59</x:f>
        <x:v>6239</x:v>
      </x:c>
      <x:c r="C12" s="21" t="n">
        <x:f>'02_Data_Layanan'!I59</x:f>
        <x:v>12979519100</x:v>
      </x:c>
      <x:c r="D12" s="21" t="n">
        <x:f>'02_Data_Layanan'!J59</x:f>
        <x:v>11013852823.85</x:v>
      </x:c>
      <x:c r="E12" s="20" t="n">
        <x:f>'02_Data_Layanan'!K59</x:f>
        <x:v>145629</x:v>
      </x:c>
      <x:c r="F12" s="21" t="n">
        <x:f>'02_Data_Layanan'!L59</x:f>
        <x:v>288452215800</x:v>
      </x:c>
      <x:c r="G12" s="21" t="n">
        <x:f>'02_Data_Layanan'!M59</x:f>
        <x:v>312857465508.5904</x:v>
      </x:c>
      <x:c r="H12" s="20" t="n">
        <x:f>'02_Data_Layanan'!N59</x:f>
        <x:v>139390</x:v>
      </x:c>
      <x:c r="I12" s="21" t="n">
        <x:f>'02_Data_Layanan'!O59</x:f>
        <x:v>301843612684.7404</x:v>
      </x:c>
      <x:c r="J12" s="20" t="n">
        <x:f>'02_Data_Layanan'!P59</x:f>
        <x:v>47</x:v>
      </x:c>
    </x:row>
    <x:row r="13">
      <x:c r="A13" s="5" t="str">
        <x:v>Utama</x:v>
      </x:c>
      <x:c r="B13" s="20" t="n">
        <x:f>'02_Data_Layanan'!H60</x:f>
        <x:v>18425</x:v>
      </x:c>
      <x:c r="C13" s="21" t="n">
        <x:f>'02_Data_Layanan'!I60</x:f>
        <x:v>44369419300</x:v>
      </x:c>
      <x:c r="D13" s="21" t="n">
        <x:f>'02_Data_Layanan'!J60</x:f>
        <x:v>42941268434.479996</x:v>
      </x:c>
      <x:c r="E13" s="20" t="n">
        <x:f>'02_Data_Layanan'!K60</x:f>
        <x:v>342048</x:v>
      </x:c>
      <x:c r="F13" s="21" t="n">
        <x:f>'02_Data_Layanan'!L60</x:f>
        <x:v>756413406000</x:v>
      </x:c>
      <x:c r="G13" s="21" t="n">
        <x:f>'02_Data_Layanan'!M60</x:f>
        <x:v>754576118177.1702</x:v>
      </x:c>
      <x:c r="H13" s="20" t="n">
        <x:f>'02_Data_Layanan'!N60</x:f>
        <x:v>323623</x:v>
      </x:c>
      <x:c r="I13" s="21" t="n">
        <x:f>'02_Data_Layanan'!O60</x:f>
        <x:v>711634849742.6902</x:v>
      </x:c>
      <x:c r="J13" s="20" t="n">
        <x:f>'02_Data_Layanan'!P60</x:f>
        <x:v>5</x:v>
      </x:c>
    </x:row>
    <x:row r="14">
      <x:c r="A14" s="5" t="str">
        <x:v>Paripurna</x:v>
      </x:c>
      <x:c r="B14" s="20" t="n">
        <x:f>'02_Data_Layanan'!H61</x:f>
        <x:v>14213</x:v>
      </x:c>
      <x:c r="C14" s="21" t="n">
        <x:f>'02_Data_Layanan'!I61</x:f>
        <x:v>20390360200</x:v>
      </x:c>
      <x:c r="D14" s="21" t="n">
        <x:f>'02_Data_Layanan'!J61</x:f>
        <x:v>19524315494.02</x:v>
      </x:c>
      <x:c r="E14" s="20" t="n">
        <x:f>'02_Data_Layanan'!K61</x:f>
        <x:v>363495</x:v>
      </x:c>
      <x:c r="F14" s="21" t="n">
        <x:f>'02_Data_Layanan'!L61</x:f>
        <x:v>471188313400</x:v>
      </x:c>
      <x:c r="G14" s="21" t="n">
        <x:f>'02_Data_Layanan'!M61</x:f>
        <x:v>493586895182.3102</x:v>
      </x:c>
      <x:c r="H14" s="20" t="n">
        <x:f>'02_Data_Layanan'!N61</x:f>
        <x:v>349282</x:v>
      </x:c>
      <x:c r="I14" s="21" t="n">
        <x:f>'02_Data_Layanan'!O61</x:f>
        <x:v>474062579688.29016</x:v>
      </x:c>
      <x:c r="J14" s="20" t="n">
        <x:f>'02_Data_Layanan'!P61</x:f>
        <x:v>2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'03_Parameter'!G86</x:f>
        <x:v>0.125</x:v>
      </x:c>
      <x:c r="C19" s="26" t="n">
        <x:f>'02_Data_Layanan'!N60*B19</x:f>
        <x:v>40452.875</x:v>
      </x:c>
      <x:c r="D19" s="27" t="n">
        <x:f>'02_Data_Layanan'!O60*B19</x:f>
        <x:v>88954356217.83627</x:v>
      </x:c>
      <x:c r="E19" s="13" t="n">
        <x:f>'03_Parameter'!F86</x:f>
        <x:v>0.018000000000000002</x:v>
      </x:c>
      <x:c r="F19" s="26" t="n">
        <x:f>'02_Data_Layanan'!N59*E19</x:f>
        <x:v>2509.0200000000004</x:v>
      </x:c>
      <x:c r="G19" s="27" t="n">
        <x:f>'02_Data_Layanan'!O59*E19</x:f>
        <x:v>5433185028.325328</x:v>
      </x:c>
      <x:c r="H19" s="13" t="n">
        <x:f>'03_Parameter'!I86</x:f>
        <x:v>0.5</x:v>
      </x:c>
      <x:c r="I19" s="28" t="n">
        <x:f>'02_Data_Layanan'!H58*H19</x:f>
        <x:v>971.5</x:v>
      </x:c>
      <x:c r="J19" s="29" t="n">
        <x:f>'02_Data_Layanan'!I58*H19</x:f>
        <x:v>5901901450</x:v>
      </x:c>
      <x:c r="K19" s="13" t="n">
        <x:f>'03_Parameter'!L86</x:f>
        <x:v>1</x:v>
      </x:c>
      <x:c r="L19" s="28" t="n">
        <x:f>'02_Data_Layanan'!H61*K19</x:f>
        <x:v>14213</x:v>
      </x:c>
      <x:c r="M19" s="29" t="n">
        <x:f>'02_Data_Layanan'!I61*K19</x:f>
        <x:v>20390360200</x:v>
      </x:c>
      <x:c r="N19" s="11" t="n">
        <x:f>C19+F19-(I19+L19)</x:f>
        <x:v>27777.395000000004</x:v>
      </x:c>
      <x:c r="O19" s="11" t="n">
        <x:f>$B$6+N19</x:f>
        <x:v>68597.395</x:v>
      </x:c>
      <x:c r="P19" s="30" t="n">
        <x:f>IF($B$6=0,0,N19/$B$6)</x:f>
        <x:v>0.6804849338559531</x:v>
      </x:c>
      <x:c r="Q19" s="10" t="n">
        <x:f>D19+G19-(J19+M19)</x:f>
        <x:v>68095279596.161606</x:v>
      </x:c>
      <x:c r="R19" s="10" t="n">
        <x:f>$B$7+Q19</x:f>
        <x:v>157638381096.16162</x:v>
      </x:c>
      <x:c r="S19" s="30" t="n">
        <x:f>IF($B$7=0,0,Q19/$B$7)</x:f>
        <x:v>0.7604748825476143</x:v>
      </x:c>
    </x:row>
    <x:row r="20">
      <x:c r="A20" s="25" t="str">
        <x:v>Skenario 2</x:v>
      </x:c>
      <x:c r="B20" s="13" t="n">
        <x:f>'03_Parameter'!G87</x:f>
        <x:v>0.225</x:v>
      </x:c>
      <x:c r="C20" s="26" t="n">
        <x:f>'02_Data_Layanan'!N60*B20</x:f>
        <x:v>72815.175</x:v>
      </x:c>
      <x:c r="D20" s="27" t="n">
        <x:f>'02_Data_Layanan'!O60*B20</x:f>
        <x:v>160117841192.1053</x:v>
      </x:c>
      <x:c r="E20" s="13" t="n">
        <x:f>'03_Parameter'!F87</x:f>
        <x:v>0.11800000000000001</x:v>
      </x:c>
      <x:c r="F20" s="26" t="n">
        <x:f>'02_Data_Layanan'!N59*E20</x:f>
        <x:v>16448.02</x:v>
      </x:c>
      <x:c r="G20" s="27" t="n">
        <x:f>'02_Data_Layanan'!O59*E20</x:f>
        <x:v>35617546296.79937</x:v>
      </x:c>
      <x:c r="H20" s="13" t="n">
        <x:f>'03_Parameter'!I87</x:f>
        <x:v>0.6</x:v>
      </x:c>
      <x:c r="I20" s="28" t="n">
        <x:f>'02_Data_Layanan'!H58*H20</x:f>
        <x:v>1165.8</x:v>
      </x:c>
      <x:c r="J20" s="29" t="n">
        <x:f>'02_Data_Layanan'!I58*H20</x:f>
        <x:v>7082281740</x:v>
      </x:c>
      <x:c r="K20" s="13" t="n">
        <x:f>'03_Parameter'!L87</x:f>
        <x:v>1</x:v>
      </x:c>
      <x:c r="L20" s="28" t="n">
        <x:f>'02_Data_Layanan'!H61*K20</x:f>
        <x:v>14213</x:v>
      </x:c>
      <x:c r="M20" s="29" t="n">
        <x:f>'02_Data_Layanan'!I61*K20</x:f>
        <x:v>20390360200</x:v>
      </x:c>
      <x:c r="N20" s="11" t="n">
        <x:f>C20+F20-(I20+L20)</x:f>
        <x:v>73884.395</x:v>
      </x:c>
      <x:c r="O20" s="11" t="n">
        <x:f>$B$6+N20</x:f>
        <x:v>114704.395</x:v>
      </x:c>
      <x:c r="P20" s="30" t="n">
        <x:f>IF($B$6=0,0,N20/$B$6)</x:f>
        <x:v>1.8100047770700638</x:v>
      </x:c>
      <x:c r="Q20" s="10" t="n">
        <x:f>D20+G20-(J20+M20)</x:f>
        <x:v>168262745548.90466</x:v>
      </x:c>
      <x:c r="R20" s="10" t="n">
        <x:f>$B$7+Q20</x:f>
        <x:v>257805847048.90466</x:v>
      </x:c>
      <x:c r="S20" s="30" t="n">
        <x:f>IF($B$7=0,0,Q20/$B$7)</x:f>
        <x:v>1.8791257252676765</x:v>
      </x:c>
    </x:row>
    <x:row r="21">
      <x:c r="A21" s="25" t="str">
        <x:v>Skenario 3</x:v>
      </x:c>
      <x:c r="B21" s="13" t="n">
        <x:f>'03_Parameter'!G88</x:f>
        <x:v>0.325</x:v>
      </x:c>
      <x:c r="C21" s="26" t="n">
        <x:f>'02_Data_Layanan'!N60*B21</x:f>
        <x:v>105177.475</x:v>
      </x:c>
      <x:c r="D21" s="27" t="n">
        <x:f>'02_Data_Layanan'!O60*B21</x:f>
        <x:v>231281326166.37433</x:v>
      </x:c>
      <x:c r="E21" s="13" t="n">
        <x:f>'03_Parameter'!F88</x:f>
        <x:v>0.218</x:v>
      </x:c>
      <x:c r="F21" s="26" t="n">
        <x:f>'02_Data_Layanan'!N59*E21</x:f>
        <x:v>30387.02</x:v>
      </x:c>
      <x:c r="G21" s="27" t="n">
        <x:f>'02_Data_Layanan'!O59*E21</x:f>
        <x:v>65801907565.273415</x:v>
      </x:c>
      <x:c r="H21" s="13" t="n">
        <x:f>'03_Parameter'!I88</x:f>
        <x:v>0.7</x:v>
      </x:c>
      <x:c r="I21" s="28" t="n">
        <x:f>'02_Data_Layanan'!H58*H21</x:f>
        <x:v>1360.1</x:v>
      </x:c>
      <x:c r="J21" s="29" t="n">
        <x:f>'02_Data_Layanan'!I58*H21</x:f>
        <x:v>8262662029.999999</x:v>
      </x:c>
      <x:c r="K21" s="13" t="n">
        <x:f>'03_Parameter'!L88</x:f>
        <x:v>1</x:v>
      </x:c>
      <x:c r="L21" s="28" t="n">
        <x:f>'02_Data_Layanan'!H61*K21</x:f>
        <x:v>14213</x:v>
      </x:c>
      <x:c r="M21" s="29" t="n">
        <x:f>'02_Data_Layanan'!I61*K21</x:f>
        <x:v>20390360200</x:v>
      </x:c>
      <x:c r="N21" s="11" t="n">
        <x:f>C21+F21-(I21+L21)</x:f>
        <x:v>119991.39499999999</x:v>
      </x:c>
      <x:c r="O21" s="11" t="n">
        <x:f>$B$6+N21</x:f>
        <x:v>160811.395</x:v>
      </x:c>
      <x:c r="P21" s="30" t="n">
        <x:f>IF($B$6=0,0,N21/$B$6)</x:f>
        <x:v>2.9395246202841743</x:v>
      </x:c>
      <x:c r="Q21" s="10" t="n">
        <x:f>D21+G21-(J21+M21)</x:f>
        <x:v>268430211501.64777</x:v>
      </x:c>
      <x:c r="R21" s="10" t="n">
        <x:f>$B$7+Q21</x:f>
        <x:v>357973313001.64777</x:v>
      </x:c>
      <x:c r="S21" s="30" t="n">
        <x:f>IF($B$7=0,0,Q21/$B$7)</x:f>
        <x:v>2.997776567987739</x:v>
      </x:c>
    </x:row>
    <x:row r="22">
      <x:c r="A22" s="25" t="str">
        <x:v>Skenario 4</x:v>
      </x:c>
      <x:c r="B22" s="13" t="n">
        <x:f>'03_Parameter'!G89</x:f>
        <x:v>0.425</x:v>
      </x:c>
      <x:c r="C22" s="26" t="n">
        <x:f>'02_Data_Layanan'!N60*B22</x:f>
        <x:v>137539.775</x:v>
      </x:c>
      <x:c r="D22" s="27" t="n">
        <x:f>'02_Data_Layanan'!O60*B22</x:f>
        <x:v>302444811140.6433</x:v>
      </x:c>
      <x:c r="E22" s="13" t="n">
        <x:f>'03_Parameter'!F89</x:f>
        <x:v>0.318</x:v>
      </x:c>
      <x:c r="F22" s="26" t="n">
        <x:f>'02_Data_Layanan'!N59*E22</x:f>
        <x:v>44326.020000000004</x:v>
      </x:c>
      <x:c r="G22" s="27" t="n">
        <x:f>'02_Data_Layanan'!O59*E22</x:f>
        <x:v>95986268833.74745</x:v>
      </x:c>
      <x:c r="H22" s="13" t="n">
        <x:f>'03_Parameter'!I89</x:f>
        <x:v>0.8</x:v>
      </x:c>
      <x:c r="I22" s="28" t="n">
        <x:f>'02_Data_Layanan'!H58*H22</x:f>
        <x:v>1554.4</x:v>
      </x:c>
      <x:c r="J22" s="29" t="n">
        <x:f>'02_Data_Layanan'!I58*H22</x:f>
        <x:v>9443042320</x:v>
      </x:c>
      <x:c r="K22" s="13" t="n">
        <x:f>'03_Parameter'!L89</x:f>
        <x:v>1</x:v>
      </x:c>
      <x:c r="L22" s="28" t="n">
        <x:f>'02_Data_Layanan'!H61*K22</x:f>
        <x:v>14213</x:v>
      </x:c>
      <x:c r="M22" s="29" t="n">
        <x:f>'02_Data_Layanan'!I61*K22</x:f>
        <x:v>20390360200</x:v>
      </x:c>
      <x:c r="N22" s="11" t="n">
        <x:f>C22+F22-(I22+L22)</x:f>
        <x:v>166098.395</x:v>
      </x:c>
      <x:c r="O22" s="11" t="n">
        <x:f>$B$6+N22</x:f>
        <x:v>206918.395</x:v>
      </x:c>
      <x:c r="P22" s="30" t="n">
        <x:f>IF($B$6=0,0,N22/$B$6)</x:f>
        <x:v>4.069044463498285</x:v>
      </x:c>
      <x:c r="Q22" s="10" t="n">
        <x:f>D22+G22-(J22+M22)</x:f>
        <x:v>368597677454.39075</x:v>
      </x:c>
      <x:c r="R22" s="10" t="n">
        <x:f>$B$7+Q22</x:f>
        <x:v>458140778954.39075</x:v>
      </x:c>
      <x:c r="S22" s="30" t="n">
        <x:f>IF($B$7=0,0,Q22/$B$7)</x:f>
        <x:v>4.1164274107078</x:v>
      </x:c>
    </x:row>
    <x:row r="23">
      <x:c r="A23" s="25" t="str">
        <x:v>Skenario 5</x:v>
      </x:c>
      <x:c r="B23" s="13" t="n">
        <x:f>'03_Parameter'!G90</x:f>
        <x:v>0.525</x:v>
      </x:c>
      <x:c r="C23" s="26" t="n">
        <x:f>'02_Data_Layanan'!N60*B23</x:f>
        <x:v>169902.075</x:v>
      </x:c>
      <x:c r="D23" s="27" t="n">
        <x:f>'02_Data_Layanan'!O60*B23</x:f>
        <x:v>373608296114.91235</x:v>
      </x:c>
      <x:c r="E23" s="13" t="n">
        <x:f>'03_Parameter'!F90</x:f>
        <x:v>0.418</x:v>
      </x:c>
      <x:c r="F23" s="26" t="n">
        <x:f>'02_Data_Layanan'!N59*E23</x:f>
        <x:v>58265.02</x:v>
      </x:c>
      <x:c r="G23" s="27" t="n">
        <x:f>'02_Data_Layanan'!O59*E23</x:f>
        <x:v>126170630102.2215</x:v>
      </x:c>
      <x:c r="H23" s="13" t="n">
        <x:f>'03_Parameter'!I90</x:f>
        <x:v>0.9</x:v>
      </x:c>
      <x:c r="I23" s="28" t="n">
        <x:f>'02_Data_Layanan'!H58*H23</x:f>
        <x:v>1748.7</x:v>
      </x:c>
      <x:c r="J23" s="29" t="n">
        <x:f>'02_Data_Layanan'!I58*H23</x:f>
        <x:v>10623422610</x:v>
      </x:c>
      <x:c r="K23" s="13" t="n">
        <x:f>'03_Parameter'!L90</x:f>
        <x:v>1</x:v>
      </x:c>
      <x:c r="L23" s="28" t="n">
        <x:f>'02_Data_Layanan'!H61*K23</x:f>
        <x:v>14213</x:v>
      </x:c>
      <x:c r="M23" s="29" t="n">
        <x:f>'02_Data_Layanan'!I61*K23</x:f>
        <x:v>20390360200</x:v>
      </x:c>
      <x:c r="N23" s="11" t="n">
        <x:f>C23+F23-(I23+L23)</x:f>
        <x:v>212205.395</x:v>
      </x:c>
      <x:c r="O23" s="11" t="n">
        <x:f>$B$6+N23</x:f>
        <x:v>253025.395</x:v>
      </x:c>
      <x:c r="P23" s="30" t="n">
        <x:f>IF($B$6=0,0,N23/$B$6)</x:f>
        <x:v>5.198564306712395</x:v>
      </x:c>
      <x:c r="Q23" s="10" t="n">
        <x:f>D23+G23-(J23+M23)</x:f>
        <x:v>468765143407.13385</x:v>
      </x:c>
      <x:c r="R23" s="10" t="n">
        <x:f>$B$7+Q23</x:f>
        <x:v>558308244907.1338</x:v>
      </x:c>
      <x:c r="S23" s="30" t="n">
        <x:f>IF($B$7=0,0,Q23/$B$7)</x:f>
        <x:v>5.235078253427863</x:v>
      </x:c>
    </x:row>
    <x:row r="24">
      <x:c r="A24" s="25" t="str">
        <x:v>Skenario 6</x:v>
      </x:c>
      <x:c r="B24" s="13" t="n">
        <x:f>'03_Parameter'!G91</x:f>
        <x:v>0.625</x:v>
      </x:c>
      <x:c r="C24" s="26" t="n">
        <x:f>'02_Data_Layanan'!N60*B24</x:f>
        <x:v>202264.375</x:v>
      </x:c>
      <x:c r="D24" s="27" t="n">
        <x:f>'02_Data_Layanan'!O60*B24</x:f>
        <x:v>444771781089.1814</x:v>
      </x:c>
      <x:c r="E24" s="13" t="n">
        <x:f>'03_Parameter'!F91</x:f>
        <x:v>0.518</x:v>
      </x:c>
      <x:c r="F24" s="26" t="n">
        <x:f>'02_Data_Layanan'!N59*E24</x:f>
        <x:v>72204.02</x:v>
      </x:c>
      <x:c r="G24" s="27" t="n">
        <x:f>'02_Data_Layanan'!O59*E24</x:f>
        <x:v>156354991370.69553</x:v>
      </x:c>
      <x:c r="H24" s="13" t="n">
        <x:f>'03_Parameter'!I91</x:f>
        <x:v>1</x:v>
      </x:c>
      <x:c r="I24" s="28" t="n">
        <x:f>'02_Data_Layanan'!H58*H24</x:f>
        <x:v>1943</x:v>
      </x:c>
      <x:c r="J24" s="29" t="n">
        <x:f>'02_Data_Layanan'!I58*H24</x:f>
        <x:v>11803802900</x:v>
      </x:c>
      <x:c r="K24" s="13" t="n">
        <x:f>'03_Parameter'!L91</x:f>
        <x:v>1</x:v>
      </x:c>
      <x:c r="L24" s="28" t="n">
        <x:f>'02_Data_Layanan'!H61*K24</x:f>
        <x:v>14213</x:v>
      </x:c>
      <x:c r="M24" s="29" t="n">
        <x:f>'02_Data_Layanan'!I61*K24</x:f>
        <x:v>20390360200</x:v>
      </x:c>
      <x:c r="N24" s="11" t="n">
        <x:f>C24+F24-(I24+L24)</x:f>
        <x:v>258312.39500000002</x:v>
      </x:c>
      <x:c r="O24" s="11" t="n">
        <x:f>$B$6+N24</x:f>
        <x:v>299132.395</x:v>
      </x:c>
      <x:c r="P24" s="30" t="n">
        <x:f>IF($B$6=0,0,N24/$B$6)</x:f>
        <x:v>6.328084149926507</x:v>
      </x:c>
      <x:c r="Q24" s="10" t="n">
        <x:f>D24+G24-(J24+M24)</x:f>
        <x:v>568932609359.877</x:v>
      </x:c>
      <x:c r="R24" s="10" t="n">
        <x:f>$B$7+Q24</x:f>
        <x:v>658475710859.877</x:v>
      </x:c>
      <x:c r="S24" s="30" t="n">
        <x:f>IF($B$7=0,0,Q24/$B$7)</x:f>
        <x:v>6.353729096147926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Paru &amp; Pernafasan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0.0023804828835438975</x:v>
      </x:c>
      <x:c r="K5" s="16" t="str">
        <x:v>Setara/lebih tinggi</x:v>
      </x:c>
      <x:c r="L5" s="11" t="n">
        <x:f>'02_Data_Layanan'!Q62</x:f>
        <x:v>31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SUM('02_Data_Layanan'!H62,'02_Data_Layanan'!H63,'02_Data_Layanan'!H64,'02_Data_Layanan'!H65)</x:f>
        <x:v>10382</x:v>
      </x:c>
      <x:c r="C6" s="7" t="str"/>
      <x:c r="D6" s="7" t="str"/>
      <x:c r="E6" s="15" t="str">
        <x:v>Total Kasus</x:v>
      </x:c>
      <x:c r="F6" s="18" t="n">
        <x:f>SUM('02_Data_Layanan'!K62,'02_Data_Layanan'!K63,'02_Data_Layanan'!K64,'02_Data_Layanan'!K65)</x:f>
        <x:v>4361300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RS. Universitas Andalas; RS Umum Daerah  Arifin Achmad; RS Umum  Awal Bros Pekanbaru; RS Paru Dr. M. Goenawan Partowidigdo; RS Universitas Indonesia; RS Umum Pusat Dr. Hasan Sadikin; RS Umum Advent Bandung; +23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SUM('02_Data_Layanan'!I62,'02_Data_Layanan'!I63,'02_Data_Layanan'!I64,'02_Data_Layanan'!I65)</x:f>
        <x:v>95447092900</x:v>
      </x:c>
      <x:c r="C7" s="7" t="str"/>
      <x:c r="D7" s="7" t="str"/>
      <x:c r="E7" s="15" t="str">
        <x:v>Pendapatan INA</x:v>
      </x:c>
      <x:c r="F7" s="19" t="n">
        <x:f>SUM('02_Data_Layanan'!L62,'02_Data_Layanan'!L63,'02_Data_Layanan'!L64,'02_Data_Layanan'!L65)</x:f>
        <x:v>8042628541445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SUM('02_Data_Layanan'!J62,'02_Data_Layanan'!J63,'02_Data_Layanan'!J64,'02_Data_Layanan'!J65)</x:f>
        <x:v>79601905628.74</x:v>
      </x:c>
      <x:c r="C8" s="7" t="str"/>
      <x:c r="D8" s="7" t="str"/>
      <x:c r="E8" s="15" t="str">
        <x:v>Pendapatan iDRG</x:v>
      </x:c>
      <x:c r="F8" s="19" t="n">
        <x:f>SUM('02_Data_Layanan'!M62,'02_Data_Layanan'!M63,'02_Data_Layanan'!M64,'02_Data_Layanan'!M65)</x:f>
        <x:v>8952031771197.115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'02_Data_Layanan'!H62</x:f>
        <x:v>2315</x:v>
      </x:c>
      <x:c r="C11" s="21" t="n">
        <x:f>'02_Data_Layanan'!I62</x:f>
        <x:v>3366965400</x:v>
      </x:c>
      <x:c r="D11" s="21" t="n">
        <x:f>'02_Data_Layanan'!J62</x:f>
        <x:v>2594925509.77</x:v>
      </x:c>
      <x:c r="E11" s="20" t="n">
        <x:f>'02_Data_Layanan'!K62</x:f>
        <x:v>1702924</x:v>
      </x:c>
      <x:c r="F11" s="21" t="n">
        <x:f>'02_Data_Layanan'!L62</x:f>
        <x:v>807790946760</x:v>
      </x:c>
      <x:c r="G11" s="21" t="n">
        <x:f>'02_Data_Layanan'!M62</x:f>
        <x:v>903770861893.7896</x:v>
      </x:c>
      <x:c r="H11" s="20" t="n">
        <x:f>'02_Data_Layanan'!N62</x:f>
        <x:v>1700609</x:v>
      </x:c>
      <x:c r="I11" s="21" t="n">
        <x:f>'02_Data_Layanan'!O62</x:f>
        <x:v>901175936384.0195</x:v>
      </x:c>
      <x:c r="J11" s="20" t="n">
        <x:f>'02_Data_Layanan'!P62</x:f>
        <x:v>920</x:v>
      </x:c>
    </x:row>
    <x:row r="12">
      <x:c r="A12" s="5" t="str">
        <x:v>Madya</x:v>
      </x:c>
      <x:c r="B12" s="20" t="n">
        <x:f>'02_Data_Layanan'!H63</x:f>
        <x:v>2440</x:v>
      </x:c>
      <x:c r="C12" s="21" t="n">
        <x:f>'02_Data_Layanan'!I63</x:f>
        <x:v>10868538900</x:v>
      </x:c>
      <x:c r="D12" s="21" t="n">
        <x:f>'02_Data_Layanan'!J63</x:f>
        <x:v>8204187299.16</x:v>
      </x:c>
      <x:c r="E12" s="20" t="n">
        <x:f>'02_Data_Layanan'!K63</x:f>
        <x:v>1421392</x:v>
      </x:c>
      <x:c r="F12" s="21" t="n">
        <x:f>'02_Data_Layanan'!L63</x:f>
        <x:v>3387140617840</x:v>
      </x:c>
      <x:c r="G12" s="21" t="n">
        <x:f>'02_Data_Layanan'!M63</x:f>
        <x:v>3781163600908.8296</x:v>
      </x:c>
      <x:c r="H12" s="20" t="n">
        <x:f>'02_Data_Layanan'!N63</x:f>
        <x:v>1418952</x:v>
      </x:c>
      <x:c r="I12" s="21" t="n">
        <x:f>'02_Data_Layanan'!O63</x:f>
        <x:v>3772959413609.6694</x:v>
      </x:c>
      <x:c r="J12" s="20" t="n">
        <x:f>'02_Data_Layanan'!P63</x:f>
        <x:v>272</x:v>
      </x:c>
    </x:row>
    <x:row r="13">
      <x:c r="A13" s="5" t="str">
        <x:v>Utama</x:v>
      </x:c>
      <x:c r="B13" s="20" t="n">
        <x:f>'02_Data_Layanan'!H64</x:f>
        <x:v>4165</x:v>
      </x:c>
      <x:c r="C13" s="21" t="n">
        <x:f>'02_Data_Layanan'!I64</x:f>
        <x:v>59189038500</x:v>
      </x:c>
      <x:c r="D13" s="21" t="n">
        <x:f>'02_Data_Layanan'!J64</x:f>
        <x:v>48279279320.14</x:v>
      </x:c>
      <x:c r="E13" s="20" t="n">
        <x:f>'02_Data_Layanan'!K64</x:f>
        <x:v>928459</x:v>
      </x:c>
      <x:c r="F13" s="21" t="n">
        <x:f>'02_Data_Layanan'!L64</x:f>
        <x:v>3231315949945</x:v>
      </x:c>
      <x:c r="G13" s="21" t="n">
        <x:f>'02_Data_Layanan'!M64</x:f>
        <x:v>3595177490859.644</x:v>
      </x:c>
      <x:c r="H13" s="20" t="n">
        <x:f>'02_Data_Layanan'!N64</x:f>
        <x:v>924294</x:v>
      </x:c>
      <x:c r="I13" s="21" t="n">
        <x:f>'02_Data_Layanan'!O64</x:f>
        <x:v>3546898211539.504</x:v>
      </x:c>
      <x:c r="J13" s="20" t="n">
        <x:f>'02_Data_Layanan'!P64</x:f>
        <x:v>27</x:v>
      </x:c>
    </x:row>
    <x:row r="14">
      <x:c r="A14" s="5" t="str">
        <x:v>Paripurna</x:v>
      </x:c>
      <x:c r="B14" s="20" t="n">
        <x:f>'02_Data_Layanan'!H65</x:f>
        <x:v>1462</x:v>
      </x:c>
      <x:c r="C14" s="21" t="n">
        <x:f>'02_Data_Layanan'!I65</x:f>
        <x:v>22022550100</x:v>
      </x:c>
      <x:c r="D14" s="21" t="n">
        <x:f>'02_Data_Layanan'!J65</x:f>
        <x:v>20523513499.670002</x:v>
      </x:c>
      <x:c r="E14" s="20" t="n">
        <x:f>'02_Data_Layanan'!K65</x:f>
        <x:v>308525</x:v>
      </x:c>
      <x:c r="F14" s="21" t="n">
        <x:f>'02_Data_Layanan'!L65</x:f>
        <x:v>616381026900</x:v>
      </x:c>
      <x:c r="G14" s="21" t="n">
        <x:f>'02_Data_Layanan'!M65</x:f>
        <x:v>671919817534.851</x:v>
      </x:c>
      <x:c r="H14" s="20" t="n">
        <x:f>'02_Data_Layanan'!N65</x:f>
        <x:v>307063</x:v>
      </x:c>
      <x:c r="I14" s="21" t="n">
        <x:f>'02_Data_Layanan'!O65</x:f>
        <x:v>651396304035.1809</x:v>
      </x:c>
      <x:c r="J14" s="20" t="n">
        <x:f>'02_Data_Layanan'!P65</x:f>
        <x:v>4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'03_Parameter'!G92</x:f>
        <x:v>0.031</x:v>
      </x:c>
      <x:c r="C19" s="26" t="n">
        <x:f>'02_Data_Layanan'!N64*B19</x:f>
        <x:v>28653.114</x:v>
      </x:c>
      <x:c r="D19" s="27" t="n">
        <x:f>'02_Data_Layanan'!O64*B19</x:f>
        <x:v>109953844557.72462</x:v>
      </x:c>
      <x:c r="E19" s="13" t="n">
        <x:f>'03_Parameter'!F92</x:f>
        <x:v>0.003</x:v>
      </x:c>
      <x:c r="F19" s="26" t="n">
        <x:f>'02_Data_Layanan'!N63*E19</x:f>
        <x:v>4256.856</x:v>
      </x:c>
      <x:c r="G19" s="27" t="n">
        <x:f>'02_Data_Layanan'!O63*E19</x:f>
        <x:v>11318878240.829008</x:v>
      </x:c>
      <x:c r="H19" s="13" t="n">
        <x:f>'03_Parameter'!I92</x:f>
        <x:v>0.5</x:v>
      </x:c>
      <x:c r="I19" s="28" t="n">
        <x:f>'02_Data_Layanan'!H62*H19</x:f>
        <x:v>1157.5</x:v>
      </x:c>
      <x:c r="J19" s="29" t="n">
        <x:f>'02_Data_Layanan'!I62*H19</x:f>
        <x:v>1683482700</x:v>
      </x:c>
      <x:c r="K19" s="13" t="n">
        <x:f>'03_Parameter'!L92</x:f>
        <x:v>1</x:v>
      </x:c>
      <x:c r="L19" s="28" t="n">
        <x:f>'02_Data_Layanan'!H65*K19</x:f>
        <x:v>1462</x:v>
      </x:c>
      <x:c r="M19" s="29" t="n">
        <x:f>'02_Data_Layanan'!I65*K19</x:f>
        <x:v>22022550100</x:v>
      </x:c>
      <x:c r="N19" s="11" t="n">
        <x:f>C19+F19-(I19+L19)</x:f>
        <x:v>30290.47</x:v>
      </x:c>
      <x:c r="O19" s="11" t="n">
        <x:f>$B$6+N19</x:f>
        <x:v>40672.47</x:v>
      </x:c>
      <x:c r="P19" s="30" t="n">
        <x:f>IF($B$6=0,0,N19/$B$6)</x:f>
        <x:v>2.9175948757464845</x:v>
      </x:c>
      <x:c r="Q19" s="10" t="n">
        <x:f>D19+G19-(J19+M19)</x:f>
        <x:v>97566689998.55363</x:v>
      </x:c>
      <x:c r="R19" s="10" t="n">
        <x:f>$B$7+Q19</x:f>
        <x:v>193013782898.55365</x:v>
      </x:c>
      <x:c r="S19" s="30" t="n">
        <x:f>IF($B$7=0,0,Q19/$B$7)</x:f>
        <x:v>1.0222070367378746</x:v>
      </x:c>
    </x:row>
    <x:row r="20">
      <x:c r="A20" s="25" t="str">
        <x:v>Skenario 2</x:v>
      </x:c>
      <x:c r="B20" s="13" t="n">
        <x:f>'03_Parameter'!G93</x:f>
        <x:v>0.131</x:v>
      </x:c>
      <x:c r="C20" s="26" t="n">
        <x:f>'02_Data_Layanan'!N64*B20</x:f>
        <x:v>121082.51400000001</x:v>
      </x:c>
      <x:c r="D20" s="27" t="n">
        <x:f>'02_Data_Layanan'!O64*B20</x:f>
        <x:v>464643665711.67505</x:v>
      </x:c>
      <x:c r="E20" s="13" t="n">
        <x:f>'03_Parameter'!F93</x:f>
        <x:v>0.10300000000000001</x:v>
      </x:c>
      <x:c r="F20" s="26" t="n">
        <x:f>'02_Data_Layanan'!N63*E20</x:f>
        <x:v>146152.056</x:v>
      </x:c>
      <x:c r="G20" s="27" t="n">
        <x:f>'02_Data_Layanan'!O63*E20</x:f>
        <x:v>388614819601.79596</x:v>
      </x:c>
      <x:c r="H20" s="13" t="n">
        <x:f>'03_Parameter'!I93</x:f>
        <x:v>0.6</x:v>
      </x:c>
      <x:c r="I20" s="28" t="n">
        <x:f>'02_Data_Layanan'!H62*H20</x:f>
        <x:v>1389</x:v>
      </x:c>
      <x:c r="J20" s="29" t="n">
        <x:f>'02_Data_Layanan'!I62*H20</x:f>
        <x:v>2020179240</x:v>
      </x:c>
      <x:c r="K20" s="13" t="n">
        <x:f>'03_Parameter'!L93</x:f>
        <x:v>1</x:v>
      </x:c>
      <x:c r="L20" s="28" t="n">
        <x:f>'02_Data_Layanan'!H65*K20</x:f>
        <x:v>1462</x:v>
      </x:c>
      <x:c r="M20" s="29" t="n">
        <x:f>'02_Data_Layanan'!I65*K20</x:f>
        <x:v>22022550100</x:v>
      </x:c>
      <x:c r="N20" s="11" t="n">
        <x:f>C20+F20-(I20+L20)</x:f>
        <x:v>264383.57</x:v>
      </x:c>
      <x:c r="O20" s="11" t="n">
        <x:f>$B$6+N20</x:f>
        <x:v>274765.57</x:v>
      </x:c>
      <x:c r="P20" s="30" t="n">
        <x:f>IF($B$6=0,0,N20/$B$6)</x:f>
        <x:v>25.46557214409555</x:v>
      </x:c>
      <x:c r="Q20" s="10" t="n">
        <x:f>D20+G20-(J20+M20)</x:f>
        <x:v>829215755973.471</x:v>
      </x:c>
      <x:c r="R20" s="10" t="n">
        <x:f>$B$7+Q20</x:f>
        <x:v>924662848873.471</x:v>
      </x:c>
      <x:c r="S20" s="30" t="n">
        <x:f>IF($B$7=0,0,Q20/$B$7)</x:f>
        <x:v>8.687700492274196</x:v>
      </x:c>
    </x:row>
    <x:row r="21">
      <x:c r="A21" s="25" t="str">
        <x:v>Skenario 3</x:v>
      </x:c>
      <x:c r="B21" s="13" t="n">
        <x:f>'03_Parameter'!G94</x:f>
        <x:v>0.231</x:v>
      </x:c>
      <x:c r="C21" s="26" t="n">
        <x:f>'02_Data_Layanan'!N64*B21</x:f>
        <x:v>213511.91400000002</x:v>
      </x:c>
      <x:c r="D21" s="27" t="n">
        <x:f>'02_Data_Layanan'!O64*B21</x:f>
        <x:v>819333486865.6255</x:v>
      </x:c>
      <x:c r="E21" s="13" t="n">
        <x:f>'03_Parameter'!F94</x:f>
        <x:v>0.203</x:v>
      </x:c>
      <x:c r="F21" s="26" t="n">
        <x:f>'02_Data_Layanan'!N63*E21</x:f>
        <x:v>288047.256</x:v>
      </x:c>
      <x:c r="G21" s="27" t="n">
        <x:f>'02_Data_Layanan'!O63*E21</x:f>
        <x:v>765910760962.763</x:v>
      </x:c>
      <x:c r="H21" s="13" t="n">
        <x:f>'03_Parameter'!I94</x:f>
        <x:v>0.7</x:v>
      </x:c>
      <x:c r="I21" s="28" t="n">
        <x:f>'02_Data_Layanan'!H62*H21</x:f>
        <x:v>1620.5</x:v>
      </x:c>
      <x:c r="J21" s="29" t="n">
        <x:f>'02_Data_Layanan'!I62*H21</x:f>
        <x:v>2356875780</x:v>
      </x:c>
      <x:c r="K21" s="13" t="n">
        <x:f>'03_Parameter'!L94</x:f>
        <x:v>1</x:v>
      </x:c>
      <x:c r="L21" s="28" t="n">
        <x:f>'02_Data_Layanan'!H65*K21</x:f>
        <x:v>1462</x:v>
      </x:c>
      <x:c r="M21" s="29" t="n">
        <x:f>'02_Data_Layanan'!I65*K21</x:f>
        <x:v>22022550100</x:v>
      </x:c>
      <x:c r="N21" s="11" t="n">
        <x:f>C21+F21-(I21+L21)</x:f>
        <x:v>498476.67000000004</x:v>
      </x:c>
      <x:c r="O21" s="11" t="n">
        <x:f>$B$6+N21</x:f>
        <x:v>508858.67000000004</x:v>
      </x:c>
      <x:c r="P21" s="30" t="n">
        <x:f>IF($B$6=0,0,N21/$B$6)</x:f>
        <x:v>48.01354941244462</x:v>
      </x:c>
      <x:c r="Q21" s="10" t="n">
        <x:f>D21+G21-(J21+M21)</x:f>
        <x:v>1560864821948.3884</x:v>
      </x:c>
      <x:c r="R21" s="10" t="n">
        <x:f>$B$7+Q21</x:f>
        <x:v>1656311914848.3884</x:v>
      </x:c>
      <x:c r="S21" s="30" t="n">
        <x:f>IF($B$7=0,0,Q21/$B$7)</x:f>
        <x:v>16.35319394781052</x:v>
      </x:c>
    </x:row>
    <x:row r="22">
      <x:c r="A22" s="25" t="str">
        <x:v>Skenario 4</x:v>
      </x:c>
      <x:c r="B22" s="13" t="n">
        <x:f>'03_Parameter'!G95</x:f>
        <x:v>0.331</x:v>
      </x:c>
      <x:c r="C22" s="26" t="n">
        <x:f>'02_Data_Layanan'!N64*B22</x:f>
        <x:v>305941.314</x:v>
      </x:c>
      <x:c r="D22" s="27" t="n">
        <x:f>'02_Data_Layanan'!O64*B22</x:f>
        <x:v>1174023308019.576</x:v>
      </x:c>
      <x:c r="E22" s="13" t="n">
        <x:f>'03_Parameter'!F95</x:f>
        <x:v>0.303</x:v>
      </x:c>
      <x:c r="F22" s="26" t="n">
        <x:f>'02_Data_Layanan'!N63*E22</x:f>
        <x:v>429942.456</x:v>
      </x:c>
      <x:c r="G22" s="27" t="n">
        <x:f>'02_Data_Layanan'!O63*E22</x:f>
        <x:v>1143206702323.7297</x:v>
      </x:c>
      <x:c r="H22" s="13" t="n">
        <x:f>'03_Parameter'!I95</x:f>
        <x:v>0.8</x:v>
      </x:c>
      <x:c r="I22" s="28" t="n">
        <x:f>'02_Data_Layanan'!H62*H22</x:f>
        <x:v>1852</x:v>
      </x:c>
      <x:c r="J22" s="29" t="n">
        <x:f>'02_Data_Layanan'!I62*H22</x:f>
        <x:v>2693572320</x:v>
      </x:c>
      <x:c r="K22" s="13" t="n">
        <x:f>'03_Parameter'!L95</x:f>
        <x:v>1</x:v>
      </x:c>
      <x:c r="L22" s="28" t="n">
        <x:f>'02_Data_Layanan'!H65*K22</x:f>
        <x:v>1462</x:v>
      </x:c>
      <x:c r="M22" s="29" t="n">
        <x:f>'02_Data_Layanan'!I65*K22</x:f>
        <x:v>22022550100</x:v>
      </x:c>
      <x:c r="N22" s="11" t="n">
        <x:f>C22+F22-(I22+L22)</x:f>
        <x:v>732569.77</x:v>
      </x:c>
      <x:c r="O22" s="11" t="n">
        <x:f>$B$6+N22</x:f>
        <x:v>742951.77</x:v>
      </x:c>
      <x:c r="P22" s="30" t="n">
        <x:f>IF($B$6=0,0,N22/$B$6)</x:f>
        <x:v>70.56152668079368</x:v>
      </x:c>
      <x:c r="Q22" s="10" t="n">
        <x:f>D22+G22-(J22+M22)</x:f>
        <x:v>2292513887923.3057</x:v>
      </x:c>
      <x:c r="R22" s="10" t="n">
        <x:f>$B$7+Q22</x:f>
        <x:v>2387960980823.3057</x:v>
      </x:c>
      <x:c r="S22" s="30" t="n">
        <x:f>IF($B$7=0,0,Q22/$B$7)</x:f>
        <x:v>24.018687403346842</x:v>
      </x:c>
    </x:row>
    <x:row r="23">
      <x:c r="A23" s="25" t="str">
        <x:v>Skenario 5</x:v>
      </x:c>
      <x:c r="B23" s="13" t="n">
        <x:f>'03_Parameter'!G96</x:f>
        <x:v>0.431</x:v>
      </x:c>
      <x:c r="C23" s="26" t="n">
        <x:f>'02_Data_Layanan'!N64*B23</x:f>
        <x:v>398370.714</x:v>
      </x:c>
      <x:c r="D23" s="27" t="n">
        <x:f>'02_Data_Layanan'!O64*B23</x:f>
        <x:v>1528713129173.5261</x:v>
      </x:c>
      <x:c r="E23" s="13" t="n">
        <x:f>'03_Parameter'!F96</x:f>
        <x:v>0.40299999999999997</x:v>
      </x:c>
      <x:c r="F23" s="26" t="n">
        <x:f>'02_Data_Layanan'!N63*E23</x:f>
        <x:v>571837.656</x:v>
      </x:c>
      <x:c r="G23" s="27" t="n">
        <x:f>'02_Data_Layanan'!O63*E23</x:f>
        <x:v>1520502643684.6968</x:v>
      </x:c>
      <x:c r="H23" s="13" t="n">
        <x:f>'03_Parameter'!I96</x:f>
        <x:v>0.9</x:v>
      </x:c>
      <x:c r="I23" s="28" t="n">
        <x:f>'02_Data_Layanan'!H62*H23</x:f>
        <x:v>2083.5</x:v>
      </x:c>
      <x:c r="J23" s="29" t="n">
        <x:f>'02_Data_Layanan'!I62*H23</x:f>
        <x:v>3030268860</x:v>
      </x:c>
      <x:c r="K23" s="13" t="n">
        <x:f>'03_Parameter'!L96</x:f>
        <x:v>1</x:v>
      </x:c>
      <x:c r="L23" s="28" t="n">
        <x:f>'02_Data_Layanan'!H65*K23</x:f>
        <x:v>1462</x:v>
      </x:c>
      <x:c r="M23" s="29" t="n">
        <x:f>'02_Data_Layanan'!I65*K23</x:f>
        <x:v>22022550100</x:v>
      </x:c>
      <x:c r="N23" s="11" t="n">
        <x:f>C23+F23-(I23+L23)</x:f>
        <x:v>966662.8699999999</x:v>
      </x:c>
      <x:c r="O23" s="11" t="n">
        <x:f>$B$6+N23</x:f>
        <x:v>977044.8699999999</x:v>
      </x:c>
      <x:c r="P23" s="30" t="n">
        <x:f>IF($B$6=0,0,N23/$B$6)</x:f>
        <x:v>93.10950394914273</x:v>
      </x:c>
      <x:c r="Q23" s="10" t="n">
        <x:f>D23+G23-(J23+M23)</x:f>
        <x:v>3024162953898.2227</x:v>
      </x:c>
      <x:c r="R23" s="10" t="n">
        <x:f>$B$7+Q23</x:f>
        <x:v>3119610046798.2227</x:v>
      </x:c>
      <x:c r="S23" s="30" t="n">
        <x:f>IF($B$7=0,0,Q23/$B$7)</x:f>
        <x:v>31.68418085888316</x:v>
      </x:c>
    </x:row>
    <x:row r="24">
      <x:c r="A24" s="25" t="str">
        <x:v>Skenario 6</x:v>
      </x:c>
      <x:c r="B24" s="13" t="n">
        <x:f>'03_Parameter'!G97</x:f>
        <x:v>0.531</x:v>
      </x:c>
      <x:c r="C24" s="26" t="n">
        <x:f>'02_Data_Layanan'!N64*B24</x:f>
        <x:v>490800.114</x:v>
      </x:c>
      <x:c r="D24" s="27" t="n">
        <x:f>'02_Data_Layanan'!O64*B24</x:f>
        <x:v>1883402950327.4766</x:v>
      </x:c>
      <x:c r="E24" s="13" t="n">
        <x:f>'03_Parameter'!F97</x:f>
        <x:v>0.503</x:v>
      </x:c>
      <x:c r="F24" s="26" t="n">
        <x:f>'02_Data_Layanan'!N63*E24</x:f>
        <x:v>713732.856</x:v>
      </x:c>
      <x:c r="G24" s="27" t="n">
        <x:f>'02_Data_Layanan'!O63*E24</x:f>
        <x:v>1897798585045.6638</x:v>
      </x:c>
      <x:c r="H24" s="13" t="n">
        <x:f>'03_Parameter'!I97</x:f>
        <x:v>1</x:v>
      </x:c>
      <x:c r="I24" s="28" t="n">
        <x:f>'02_Data_Layanan'!H62*H24</x:f>
        <x:v>2315</x:v>
      </x:c>
      <x:c r="J24" s="29" t="n">
        <x:f>'02_Data_Layanan'!I62*H24</x:f>
        <x:v>3366965400</x:v>
      </x:c>
      <x:c r="K24" s="13" t="n">
        <x:f>'03_Parameter'!L97</x:f>
        <x:v>1</x:v>
      </x:c>
      <x:c r="L24" s="28" t="n">
        <x:f>'02_Data_Layanan'!H65*K24</x:f>
        <x:v>1462</x:v>
      </x:c>
      <x:c r="M24" s="29" t="n">
        <x:f>'02_Data_Layanan'!I65*K24</x:f>
        <x:v>22022550100</x:v>
      </x:c>
      <x:c r="N24" s="11" t="n">
        <x:f>C24+F24-(I24+L24)</x:f>
        <x:v>1200755.97</x:v>
      </x:c>
      <x:c r="O24" s="11" t="n">
        <x:f>$B$6+N24</x:f>
        <x:v>1211137.97</x:v>
      </x:c>
      <x:c r="P24" s="30" t="n">
        <x:f>IF($B$6=0,0,N24/$B$6)</x:f>
        <x:v>115.6574812174918</x:v>
      </x:c>
      <x:c r="Q24" s="10" t="n">
        <x:f>D24+G24-(J24+M24)</x:f>
        <x:v>3755812019873.1406</x:v>
      </x:c>
      <x:c r="R24" s="10" t="n">
        <x:f>$B$7+Q24</x:f>
        <x:v>3851259112773.1406</x:v>
      </x:c>
      <x:c r="S24" s="30" t="n">
        <x:f>IF($B$7=0,0,Q24/$B$7)</x:f>
        <x:v>39.34967431441949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Pencernaan &amp; Hepatobilier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0.008905164402934311</x:v>
      </x:c>
      <x:c r="K5" s="16" t="str">
        <x:v>Setara/lebih tinggi</x:v>
      </x:c>
      <x:c r="L5" s="11" t="n">
        <x:f>'02_Data_Layanan'!Q66</x:f>
        <x:v>5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SUM('02_Data_Layanan'!H66,'02_Data_Layanan'!H67,'02_Data_Layanan'!H68,'02_Data_Layanan'!H69)</x:f>
        <x:v>33972</x:v>
      </x:c>
      <x:c r="C6" s="7" t="str"/>
      <x:c r="D6" s="7" t="str"/>
      <x:c r="E6" s="15" t="str">
        <x:v>Total Kasus</x:v>
      </x:c>
      <x:c r="F6" s="18" t="n">
        <x:f>SUM('02_Data_Layanan'!K66,'02_Data_Layanan'!K67,'02_Data_Layanan'!K68,'02_Data_Layanan'!K69)</x:f>
        <x:v>3814865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Sadikin; RS Umum Pusat Dr. Kariadi;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SUM('02_Data_Layanan'!I66,'02_Data_Layanan'!I67,'02_Data_Layanan'!I68,'02_Data_Layanan'!I69)</x:f>
        <x:v>66698404400</x:v>
      </x:c>
      <x:c r="C7" s="7" t="str"/>
      <x:c r="D7" s="7" t="str"/>
      <x:c r="E7" s="15" t="str">
        <x:v>Pendapatan INA</x:v>
      </x:c>
      <x:c r="F7" s="19" t="n">
        <x:f>SUM('02_Data_Layanan'!L66,'02_Data_Layanan'!L67,'02_Data_Layanan'!L68,'02_Data_Layanan'!L69)</x:f>
        <x:v>4793654447200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SUM('02_Data_Layanan'!J66,'02_Data_Layanan'!J67,'02_Data_Layanan'!J68,'02_Data_Layanan'!J69)</x:f>
        <x:v>58884317412.55</x:v>
      </x:c>
      <x:c r="C8" s="7" t="str"/>
      <x:c r="D8" s="7" t="str"/>
      <x:c r="E8" s="15" t="str">
        <x:v>Pendapatan iDRG</x:v>
      </x:c>
      <x:c r="F8" s="19" t="n">
        <x:f>SUM('02_Data_Layanan'!M66,'02_Data_Layanan'!M67,'02_Data_Layanan'!M68,'02_Data_Layanan'!M69)</x:f>
        <x:v>5480669956565.127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'02_Data_Layanan'!H66</x:f>
        <x:v>4417</x:v>
      </x:c>
      <x:c r="C11" s="21" t="n">
        <x:f>'02_Data_Layanan'!I66</x:f>
        <x:v>4317606500</x:v>
      </x:c>
      <x:c r="D11" s="21" t="n">
        <x:f>'02_Data_Layanan'!J66</x:f>
        <x:v>3959005863.87</x:v>
      </x:c>
      <x:c r="E11" s="20" t="n">
        <x:f>'02_Data_Layanan'!K66</x:f>
        <x:v>1013612</x:v>
      </x:c>
      <x:c r="F11" s="21" t="n">
        <x:f>'02_Data_Layanan'!L66</x:f>
        <x:v>344926087900</x:v>
      </x:c>
      <x:c r="G11" s="21" t="n">
        <x:f>'02_Data_Layanan'!M66</x:f>
        <x:v>437555896571.79987</x:v>
      </x:c>
      <x:c r="H11" s="20" t="n">
        <x:f>'02_Data_Layanan'!N66</x:f>
        <x:v>1009195</x:v>
      </x:c>
      <x:c r="I11" s="21" t="n">
        <x:f>'02_Data_Layanan'!O66</x:f>
        <x:v>433596890707.9299</x:v>
      </x:c>
      <x:c r="J11" s="20" t="n">
        <x:f>'02_Data_Layanan'!P66</x:f>
        <x:v>1148</x:v>
      </x:c>
    </x:row>
    <x:row r="12">
      <x:c r="A12" s="5" t="str">
        <x:v>Madya</x:v>
      </x:c>
      <x:c r="B12" s="20" t="n">
        <x:f>'02_Data_Layanan'!H67</x:f>
        <x:v>17660</x:v>
      </x:c>
      <x:c r="C12" s="21" t="n">
        <x:f>'02_Data_Layanan'!I67</x:f>
        <x:v>16700904900</x:v>
      </x:c>
      <x:c r="D12" s="21" t="n">
        <x:f>'02_Data_Layanan'!J67</x:f>
        <x:v>12909305992.27</x:v>
      </x:c>
      <x:c r="E12" s="20" t="n">
        <x:f>'02_Data_Layanan'!K67</x:f>
        <x:v>2053577</x:v>
      </x:c>
      <x:c r="F12" s="21" t="n">
        <x:f>'02_Data_Layanan'!L67</x:f>
        <x:v>2305730534700</x:v>
      </x:c>
      <x:c r="G12" s="21" t="n">
        <x:f>'02_Data_Layanan'!M67</x:f>
        <x:v>2675063775106.589</x:v>
      </x:c>
      <x:c r="H12" s="20" t="n">
        <x:f>'02_Data_Layanan'!N67</x:f>
        <x:v>2035917</x:v>
      </x:c>
      <x:c r="I12" s="21" t="n">
        <x:f>'02_Data_Layanan'!O67</x:f>
        <x:v>2662154469114.319</x:v>
      </x:c>
      <x:c r="J12" s="20" t="n">
        <x:f>'02_Data_Layanan'!P67</x:f>
        <x:v>185</x:v>
      </x:c>
    </x:row>
    <x:row r="13">
      <x:c r="A13" s="5" t="str">
        <x:v>Utama</x:v>
      </x:c>
      <x:c r="B13" s="20" t="n">
        <x:f>'02_Data_Layanan'!H68</x:f>
        <x:v>11056</x:v>
      </x:c>
      <x:c r="C13" s="21" t="n">
        <x:f>'02_Data_Layanan'!I68</x:f>
        <x:v>39952167200</x:v>
      </x:c>
      <x:c r="D13" s="21" t="n">
        <x:f>'02_Data_Layanan'!J68</x:f>
        <x:v>36715617843.75</x:v>
      </x:c>
      <x:c r="E13" s="20" t="n">
        <x:f>'02_Data_Layanan'!K68</x:f>
        <x:v>610883</x:v>
      </x:c>
      <x:c r="F13" s="21" t="n">
        <x:f>'02_Data_Layanan'!L68</x:f>
        <x:v>1730756253500</x:v>
      </x:c>
      <x:c r="G13" s="21" t="n">
        <x:f>'02_Data_Layanan'!M68</x:f>
        <x:v>1907969648103.4468</x:v>
      </x:c>
      <x:c r="H13" s="20" t="n">
        <x:f>'02_Data_Layanan'!N68</x:f>
        <x:v>599827</x:v>
      </x:c>
      <x:c r="I13" s="21" t="n">
        <x:f>'02_Data_Layanan'!O68</x:f>
        <x:v>1871254030259.6968</x:v>
      </x:c>
      <x:c r="J13" s="20" t="n">
        <x:f>'02_Data_Layanan'!P68</x:f>
        <x:v>15</x:v>
      </x:c>
    </x:row>
    <x:row r="14">
      <x:c r="A14" s="5" t="str">
        <x:v>Paripurna</x:v>
      </x:c>
      <x:c r="B14" s="20" t="n">
        <x:f>'02_Data_Layanan'!H69</x:f>
        <x:v>839</x:v>
      </x:c>
      <x:c r="C14" s="21" t="n">
        <x:f>'02_Data_Layanan'!I69</x:f>
        <x:v>5727725800</x:v>
      </x:c>
      <x:c r="D14" s="21" t="n">
        <x:f>'02_Data_Layanan'!J69</x:f>
        <x:v>5300387712.66</x:v>
      </x:c>
      <x:c r="E14" s="20" t="n">
        <x:f>'02_Data_Layanan'!K69</x:f>
        <x:v>136793</x:v>
      </x:c>
      <x:c r="F14" s="21" t="n">
        <x:f>'02_Data_Layanan'!L69</x:f>
        <x:v>412241571100</x:v>
      </x:c>
      <x:c r="G14" s="21" t="n">
        <x:f>'02_Data_Layanan'!M69</x:f>
        <x:v>460080636783.2909</x:v>
      </x:c>
      <x:c r="H14" s="20" t="n">
        <x:f>'02_Data_Layanan'!N69</x:f>
        <x:v>135954</x:v>
      </x:c>
      <x:c r="I14" s="21" t="n">
        <x:f>'02_Data_Layanan'!O69</x:f>
        <x:v>454780249070.6309</x:v>
      </x:c>
      <x:c r="J14" s="20" t="n">
        <x:f>'02_Data_Layanan'!P69</x:f>
        <x:v>5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'03_Parameter'!H98</x:f>
        <x:v>0.16699999999999998</x:v>
      </x:c>
      <x:c r="C19" s="26" t="n">
        <x:f>'02_Data_Layanan'!N69*B19</x:f>
        <x:v>22704.318</x:v>
      </x:c>
      <x:c r="D19" s="27" t="n">
        <x:f>'02_Data_Layanan'!O69*B19</x:f>
        <x:v>75948301594.79535</x:v>
      </x:c>
      <x:c r="E19" s="13" t="n">
        <x:f>'03_Parameter'!G98</x:f>
        <x:v>0.048</x:v>
      </x:c>
      <x:c r="F19" s="26" t="n">
        <x:f>'02_Data_Layanan'!N68*E19</x:f>
        <x:v>28791.696</x:v>
      </x:c>
      <x:c r="G19" s="27" t="n">
        <x:f>'02_Data_Layanan'!O68*E19</x:f>
        <x:v>89820193452.46545</x:v>
      </x:c>
      <x:c r="H19" s="13" t="n">
        <x:f>'03_Parameter'!I98</x:f>
        <x:v>0.5</x:v>
      </x:c>
      <x:c r="I19" s="28" t="n">
        <x:f>'02_Data_Layanan'!H66*H19</x:f>
        <x:v>2208.5</x:v>
      </x:c>
      <x:c r="J19" s="29" t="n">
        <x:f>'02_Data_Layanan'!I66*H19</x:f>
        <x:v>2158803250</x:v>
      </x:c>
      <x:c r="K19" s="13" t="n">
        <x:f>'03_Parameter'!J98</x:f>
        <x:v>0.5</x:v>
      </x:c>
      <x:c r="L19" s="28" t="n">
        <x:f>'02_Data_Layanan'!H67*K19</x:f>
        <x:v>8830</x:v>
      </x:c>
      <x:c r="M19" s="29" t="n">
        <x:f>'02_Data_Layanan'!I67*K19</x:f>
        <x:v>8350452450</x:v>
      </x:c>
      <x:c r="N19" s="11" t="n">
        <x:f>C19+F19-(I19+L19)</x:f>
        <x:v>40457.513999999996</x:v>
      </x:c>
      <x:c r="O19" s="11" t="n">
        <x:f>$B$6+N19</x:f>
        <x:v>74429.514</x:v>
      </x:c>
      <x:c r="P19" s="30" t="n">
        <x:f>IF($B$6=0,0,N19/$B$6)</x:f>
        <x:v>1.190907629812787</x:v>
      </x:c>
      <x:c r="Q19" s="10" t="n">
        <x:f>D19+G19-(J19+M19)</x:f>
        <x:v>155259239347.2608</x:v>
      </x:c>
      <x:c r="R19" s="10" t="n">
        <x:f>$B$7+Q19</x:f>
        <x:v>221957643747.2608</x:v>
      </x:c>
      <x:c r="S19" s="30" t="n">
        <x:f>IF($B$7=0,0,Q19/$B$7)</x:f>
        <x:v>2.3277804130987696</x:v>
      </x:c>
    </x:row>
    <x:row r="20">
      <x:c r="A20" s="25" t="str">
        <x:v>Skenario 2</x:v>
      </x:c>
      <x:c r="B20" s="13" t="n">
        <x:f>'03_Parameter'!H99</x:f>
        <x:v>0.267</x:v>
      </x:c>
      <x:c r="C20" s="26" t="n">
        <x:f>'02_Data_Layanan'!N69*B20</x:f>
        <x:v>36299.718</x:v>
      </x:c>
      <x:c r="D20" s="27" t="n">
        <x:f>'02_Data_Layanan'!O69*B20</x:f>
        <x:v>121426326501.85846</x:v>
      </x:c>
      <x:c r="E20" s="13" t="n">
        <x:f>'03_Parameter'!G99</x:f>
        <x:v>0.14800000000000002</x:v>
      </x:c>
      <x:c r="F20" s="26" t="n">
        <x:f>'02_Data_Layanan'!N68*E20</x:f>
        <x:v>88774.39600000001</x:v>
      </x:c>
      <x:c r="G20" s="27" t="n">
        <x:f>'02_Data_Layanan'!O68*E20</x:f>
        <x:v>276945596478.4352</x:v>
      </x:c>
      <x:c r="H20" s="13" t="n">
        <x:f>'03_Parameter'!I99</x:f>
        <x:v>0.6</x:v>
      </x:c>
      <x:c r="I20" s="28" t="n">
        <x:f>'02_Data_Layanan'!H66*H20</x:f>
        <x:v>2650.2</x:v>
      </x:c>
      <x:c r="J20" s="29" t="n">
        <x:f>'02_Data_Layanan'!I66*H20</x:f>
        <x:v>2590563900</x:v>
      </x:c>
      <x:c r="K20" s="13" t="n">
        <x:f>'03_Parameter'!J99</x:f>
        <x:v>0.6</x:v>
      </x:c>
      <x:c r="L20" s="28" t="n">
        <x:f>'02_Data_Layanan'!H67*K20</x:f>
        <x:v>10596</x:v>
      </x:c>
      <x:c r="M20" s="29" t="n">
        <x:f>'02_Data_Layanan'!I67*K20</x:f>
        <x:v>10020542940</x:v>
      </x:c>
      <x:c r="N20" s="11" t="n">
        <x:f>C20+F20-(I20+L20)</x:f>
        <x:v>111827.914</x:v>
      </x:c>
      <x:c r="O20" s="11" t="n">
        <x:f>$B$6+N20</x:f>
        <x:v>145799.914</x:v>
      </x:c>
      <x:c r="P20" s="30" t="n">
        <x:f>IF($B$6=0,0,N20/$B$6)</x:f>
        <x:v>3.2917671611915695</x:v>
      </x:c>
      <x:c r="Q20" s="10" t="n">
        <x:f>D20+G20-(J20+M20)</x:f>
        <x:v>385760816140.29364</x:v>
      </x:c>
      <x:c r="R20" s="10" t="n">
        <x:f>$B$7+Q20</x:f>
        <x:v>452459220540.29364</x:v>
      </x:c>
      <x:c r="S20" s="30" t="n">
        <x:f>IF($B$7=0,0,Q20/$B$7)</x:f>
        <x:v>5.783658838775664</x:v>
      </x:c>
    </x:row>
    <x:row r="21">
      <x:c r="A21" s="25" t="str">
        <x:v>Skenario 3</x:v>
      </x:c>
      <x:c r="B21" s="13" t="n">
        <x:f>'03_Parameter'!H100</x:f>
        <x:v>0.36700000000000005</x:v>
      </x:c>
      <x:c r="C21" s="26" t="n">
        <x:f>'02_Data_Layanan'!N69*B21</x:f>
        <x:v>49895.11800000001</x:v>
      </x:c>
      <x:c r="D21" s="27" t="n">
        <x:f>'02_Data_Layanan'!O69*B21</x:f>
        <x:v>166904351408.92157</x:v>
      </x:c>
      <x:c r="E21" s="13" t="n">
        <x:f>'03_Parameter'!G100</x:f>
        <x:v>0.248</x:v>
      </x:c>
      <x:c r="F21" s="26" t="n">
        <x:f>'02_Data_Layanan'!N68*E21</x:f>
        <x:v>148757.096</x:v>
      </x:c>
      <x:c r="G21" s="27" t="n">
        <x:f>'02_Data_Layanan'!O68*E21</x:f>
        <x:v>464070999504.4048</x:v>
      </x:c>
      <x:c r="H21" s="13" t="n">
        <x:f>'03_Parameter'!I100</x:f>
        <x:v>0.7</x:v>
      </x:c>
      <x:c r="I21" s="28" t="n">
        <x:f>'02_Data_Layanan'!H66*H21</x:f>
        <x:v>3091.8999999999996</x:v>
      </x:c>
      <x:c r="J21" s="29" t="n">
        <x:f>'02_Data_Layanan'!I66*H21</x:f>
        <x:v>3022324550</x:v>
      </x:c>
      <x:c r="K21" s="13" t="n">
        <x:f>'03_Parameter'!J100</x:f>
        <x:v>0.7</x:v>
      </x:c>
      <x:c r="L21" s="28" t="n">
        <x:f>'02_Data_Layanan'!H67*K21</x:f>
        <x:v>12362</x:v>
      </x:c>
      <x:c r="M21" s="29" t="n">
        <x:f>'02_Data_Layanan'!I67*K21</x:f>
        <x:v>11690633430</x:v>
      </x:c>
      <x:c r="N21" s="11" t="n">
        <x:f>C21+F21-(I21+L21)</x:f>
        <x:v>183198.314</x:v>
      </x:c>
      <x:c r="O21" s="11" t="n">
        <x:f>$B$6+N21</x:f>
        <x:v>217170.314</x:v>
      </x:c>
      <x:c r="P21" s="30" t="n">
        <x:f>IF($B$6=0,0,N21/$B$6)</x:f>
        <x:v>5.392626692570352</x:v>
      </x:c>
      <x:c r="Q21" s="10" t="n">
        <x:f>D21+G21-(J21+M21)</x:f>
        <x:v>616262392933.3264</x:v>
      </x:c>
      <x:c r="R21" s="10" t="n">
        <x:f>$B$7+Q21</x:f>
        <x:v>682960797333.3264</x:v>
      </x:c>
      <x:c r="S21" s="30" t="n">
        <x:f>IF($B$7=0,0,Q21/$B$7)</x:f>
        <x:v>9.239537264452558</x:v>
      </x:c>
    </x:row>
    <x:row r="22">
      <x:c r="A22" s="25" t="str">
        <x:v>Skenario 4</x:v>
      </x:c>
      <x:c r="B22" s="13" t="n">
        <x:f>'03_Parameter'!H101</x:f>
        <x:v>0.467</x:v>
      </x:c>
      <x:c r="C22" s="26" t="n">
        <x:f>'02_Data_Layanan'!N69*B22</x:f>
        <x:v>63490.518000000004</x:v>
      </x:c>
      <x:c r="D22" s="27" t="n">
        <x:f>'02_Data_Layanan'!O69*B22</x:f>
        <x:v>212382376315.98465</x:v>
      </x:c>
      <x:c r="E22" s="13" t="n">
        <x:f>'03_Parameter'!G101</x:f>
        <x:v>0.348</x:v>
      </x:c>
      <x:c r="F22" s="26" t="n">
        <x:f>'02_Data_Layanan'!N68*E22</x:f>
        <x:v>208739.79599999997</x:v>
      </x:c>
      <x:c r="G22" s="27" t="n">
        <x:f>'02_Data_Layanan'!O68*E22</x:f>
        <x:v>651196402530.3744</x:v>
      </x:c>
      <x:c r="H22" s="13" t="n">
        <x:f>'03_Parameter'!I101</x:f>
        <x:v>0.8</x:v>
      </x:c>
      <x:c r="I22" s="28" t="n">
        <x:f>'02_Data_Layanan'!H66*H22</x:f>
        <x:v>3533.6000000000004</x:v>
      </x:c>
      <x:c r="J22" s="29" t="n">
        <x:f>'02_Data_Layanan'!I66*H22</x:f>
        <x:v>3454085200</x:v>
      </x:c>
      <x:c r="K22" s="13" t="n">
        <x:f>'03_Parameter'!J101</x:f>
        <x:v>0.8</x:v>
      </x:c>
      <x:c r="L22" s="28" t="n">
        <x:f>'02_Data_Layanan'!H67*K22</x:f>
        <x:v>14128</x:v>
      </x:c>
      <x:c r="M22" s="29" t="n">
        <x:f>'02_Data_Layanan'!I67*K22</x:f>
        <x:v>13360723920</x:v>
      </x:c>
      <x:c r="N22" s="11" t="n">
        <x:f>C22+F22-(I22+L22)</x:f>
        <x:v>254568.71399999995</x:v>
      </x:c>
      <x:c r="O22" s="11" t="n">
        <x:f>$B$6+N22</x:f>
        <x:v>288540.7139999999</x:v>
      </x:c>
      <x:c r="P22" s="30" t="n">
        <x:f>IF($B$6=0,0,N22/$B$6)</x:f>
        <x:v>7.493486223949133</x:v>
      </x:c>
      <x:c r="Q22" s="10" t="n">
        <x:f>D22+G22-(J22+M22)</x:f>
        <x:v>846763969726.359</x:v>
      </x:c>
      <x:c r="R22" s="10" t="n">
        <x:f>$B$7+Q22</x:f>
        <x:v>913462374126.359</x:v>
      </x:c>
      <x:c r="S22" s="30" t="n">
        <x:f>IF($B$7=0,0,Q22/$B$7)</x:f>
        <x:v>12.695415690129447</x:v>
      </x:c>
    </x:row>
    <x:row r="23">
      <x:c r="A23" s="25" t="str">
        <x:v>Skenario 5</x:v>
      </x:c>
      <x:c r="B23" s="13" t="n">
        <x:f>'03_Parameter'!H102</x:f>
        <x:v>0.5670000000000001</x:v>
      </x:c>
      <x:c r="C23" s="26" t="n">
        <x:f>'02_Data_Layanan'!N69*B23</x:f>
        <x:v>77085.918</x:v>
      </x:c>
      <x:c r="D23" s="27" t="n">
        <x:f>'02_Data_Layanan'!O69*B23</x:f>
        <x:v>257860401223.04776</x:v>
      </x:c>
      <x:c r="E23" s="13" t="n">
        <x:f>'03_Parameter'!G102</x:f>
        <x:v>0.44799999999999995</x:v>
      </x:c>
      <x:c r="F23" s="26" t="n">
        <x:f>'02_Data_Layanan'!N68*E23</x:f>
        <x:v>268722.496</x:v>
      </x:c>
      <x:c r="G23" s="27" t="n">
        <x:f>'02_Data_Layanan'!O68*E23</x:f>
        <x:v>838321805556.3441</x:v>
      </x:c>
      <x:c r="H23" s="13" t="n">
        <x:f>'03_Parameter'!I102</x:f>
        <x:v>0.9</x:v>
      </x:c>
      <x:c r="I23" s="28" t="n">
        <x:f>'02_Data_Layanan'!H66*H23</x:f>
        <x:v>3975.3</x:v>
      </x:c>
      <x:c r="J23" s="29" t="n">
        <x:f>'02_Data_Layanan'!I66*H23</x:f>
        <x:v>3885845850</x:v>
      </x:c>
      <x:c r="K23" s="13" t="n">
        <x:f>'03_Parameter'!J102</x:f>
        <x:v>0.9</x:v>
      </x:c>
      <x:c r="L23" s="28" t="n">
        <x:f>'02_Data_Layanan'!H67*K23</x:f>
        <x:v>15894</x:v>
      </x:c>
      <x:c r="M23" s="29" t="n">
        <x:f>'02_Data_Layanan'!I67*K23</x:f>
        <x:v>15030814410</x:v>
      </x:c>
      <x:c r="N23" s="11" t="n">
        <x:f>C23+F23-(I23+L23)</x:f>
        <x:v>325939.114</x:v>
      </x:c>
      <x:c r="O23" s="11" t="n">
        <x:f>$B$6+N23</x:f>
        <x:v>359911.114</x:v>
      </x:c>
      <x:c r="P23" s="30" t="n">
        <x:f>IF($B$6=0,0,N23/$B$6)</x:f>
        <x:v>9.594345755327916</x:v>
      </x:c>
      <x:c r="Q23" s="10" t="n">
        <x:f>D23+G23-(J23+M23)</x:f>
        <x:v>1077265546519.3918</x:v>
      </x:c>
      <x:c r="R23" s="10" t="n">
        <x:f>$B$7+Q23</x:f>
        <x:v>1143963950919.3918</x:v>
      </x:c>
      <x:c r="S23" s="30" t="n">
        <x:f>IF($B$7=0,0,Q23/$B$7)</x:f>
        <x:v>16.15129411580634</x:v>
      </x:c>
    </x:row>
    <x:row r="24">
      <x:c r="A24" s="25" t="str">
        <x:v>Skenario 6</x:v>
      </x:c>
      <x:c r="B24" s="13" t="n">
        <x:f>'03_Parameter'!H103</x:f>
        <x:v>0.667</x:v>
      </x:c>
      <x:c r="C24" s="26" t="n">
        <x:f>'02_Data_Layanan'!N69*B24</x:f>
        <x:v>90681.318</x:v>
      </x:c>
      <x:c r="D24" s="27" t="n">
        <x:f>'02_Data_Layanan'!O69*B24</x:f>
        <x:v>303338426130.11084</x:v>
      </x:c>
      <x:c r="E24" s="13" t="n">
        <x:f>'03_Parameter'!G103</x:f>
        <x:v>0.5479999999999999</x:v>
      </x:c>
      <x:c r="F24" s="26" t="n">
        <x:f>'02_Data_Layanan'!N68*E24</x:f>
        <x:v>328705.19599999994</x:v>
      </x:c>
      <x:c r="G24" s="27" t="n">
        <x:f>'02_Data_Layanan'!O68*E24</x:f>
        <x:v>1025447208582.3137</x:v>
      </x:c>
      <x:c r="H24" s="13" t="n">
        <x:f>'03_Parameter'!I103</x:f>
        <x:v>1</x:v>
      </x:c>
      <x:c r="I24" s="28" t="n">
        <x:f>'02_Data_Layanan'!H66*H24</x:f>
        <x:v>4417</x:v>
      </x:c>
      <x:c r="J24" s="29" t="n">
        <x:f>'02_Data_Layanan'!I66*H24</x:f>
        <x:v>4317606500</x:v>
      </x:c>
      <x:c r="K24" s="13" t="n">
        <x:f>'03_Parameter'!J103</x:f>
        <x:v>1</x:v>
      </x:c>
      <x:c r="L24" s="28" t="n">
        <x:f>'02_Data_Layanan'!H67*K24</x:f>
        <x:v>17660</x:v>
      </x:c>
      <x:c r="M24" s="29" t="n">
        <x:f>'02_Data_Layanan'!I67*K24</x:f>
        <x:v>16700904900</x:v>
      </x:c>
      <x:c r="N24" s="11" t="n">
        <x:f>C24+F24-(I24+L24)</x:f>
        <x:v>397309.51399999997</x:v>
      </x:c>
      <x:c r="O24" s="11" t="n">
        <x:f>$B$6+N24</x:f>
        <x:v>431281.51399999997</x:v>
      </x:c>
      <x:c r="P24" s="30" t="n">
        <x:f>IF($B$6=0,0,N24/$B$6)</x:f>
        <x:v>11.695205286706699</x:v>
      </x:c>
      <x:c r="Q24" s="10" t="n">
        <x:f>D24+G24-(J24+M24)</x:f>
        <x:v>1307767123312.4246</x:v>
      </x:c>
      <x:c r="R24" s="10" t="n">
        <x:f>$B$7+Q24</x:f>
        <x:v>1374465527712.4246</x:v>
      </x:c>
      <x:c r="S24" s="30" t="n">
        <x:f>IF($B$7=0,0,Q24/$B$7)</x:f>
        <x:v>19.607172541483234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Rehabilitasi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0.0013742544879640605</x:v>
      </x:c>
      <x:c r="K5" s="16" t="str">
        <x:v>Setara/lebih tinggi</x:v>
      </x:c>
      <x:c r="L5" s="11" t="n">
        <x:f>'02_Data_Layanan'!Q70</x:f>
        <x:v>1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SUM('02_Data_Layanan'!H70,'02_Data_Layanan'!H71,'02_Data_Layanan'!H72,'02_Data_Layanan'!H73)</x:f>
        <x:v>11766</x:v>
      </x:c>
      <x:c r="C6" s="7" t="str"/>
      <x:c r="D6" s="7" t="str"/>
      <x:c r="E6" s="15" t="str">
        <x:v>Total Kasus</x:v>
      </x:c>
      <x:c r="F6" s="18" t="n">
        <x:f>SUM('02_Data_Layanan'!K70,'02_Data_Layanan'!K71,'02_Data_Layanan'!K72,'02_Data_Layanan'!K73)</x:f>
        <x:v>8561733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Pusat Dr. Hasan Sadikin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SUM('02_Data_Layanan'!I70,'02_Data_Layanan'!I71,'02_Data_Layanan'!I72,'02_Data_Layanan'!I73)</x:f>
        <x:v>3078748400</x:v>
      </x:c>
      <x:c r="C7" s="7" t="str"/>
      <x:c r="D7" s="7" t="str"/>
      <x:c r="E7" s="15" t="str">
        <x:v>Pendapatan INA</x:v>
      </x:c>
      <x:c r="F7" s="19" t="n">
        <x:f>SUM('02_Data_Layanan'!L70,'02_Data_Layanan'!L71,'02_Data_Layanan'!L72,'02_Data_Layanan'!L73)</x:f>
        <x:v>1524595581190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SUM('02_Data_Layanan'!J70,'02_Data_Layanan'!J71,'02_Data_Layanan'!J72,'02_Data_Layanan'!J73)</x:f>
        <x:v>2213607169.73</x:v>
      </x:c>
      <x:c r="C8" s="7" t="str"/>
      <x:c r="D8" s="7" t="str"/>
      <x:c r="E8" s="15" t="str">
        <x:v>Pendapatan iDRG</x:v>
      </x:c>
      <x:c r="F8" s="19" t="n">
        <x:f>SUM('02_Data_Layanan'!M70,'02_Data_Layanan'!M71,'02_Data_Layanan'!M72,'02_Data_Layanan'!M73)</x:f>
        <x:v>1759360058562.4004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'02_Data_Layanan'!H70</x:f>
        <x:v>2432</x:v>
      </x:c>
      <x:c r="C11" s="21" t="n">
        <x:f>'02_Data_Layanan'!I70</x:f>
        <x:v>880604300</x:v>
      </x:c>
      <x:c r="D11" s="21" t="n">
        <x:f>'02_Data_Layanan'!J70</x:f>
        <x:v>661505818.0899999</x:v>
      </x:c>
      <x:c r="E11" s="20" t="n">
        <x:f>'02_Data_Layanan'!K70</x:f>
        <x:v>3807337</x:v>
      </x:c>
      <x:c r="F11" s="21" t="n">
        <x:f>'02_Data_Layanan'!L70</x:f>
        <x:v>694071648985</x:v>
      </x:c>
      <x:c r="G11" s="21" t="n">
        <x:f>'02_Data_Layanan'!M70</x:f>
        <x:v>775779165128.8115</x:v>
      </x:c>
      <x:c r="H11" s="20" t="n">
        <x:f>'02_Data_Layanan'!N70</x:f>
        <x:v>3804905</x:v>
      </x:c>
      <x:c r="I11" s="21" t="n">
        <x:f>'02_Data_Layanan'!O70</x:f>
        <x:v>775117659310.7216</x:v>
      </x:c>
      <x:c r="J11" s="20" t="n">
        <x:f>'02_Data_Layanan'!P70</x:f>
        <x:v>802</x:v>
      </x:c>
    </x:row>
    <x:row r="12">
      <x:c r="A12" s="5" t="str">
        <x:v>Madya</x:v>
      </x:c>
      <x:c r="B12" s="20" t="n">
        <x:f>'02_Data_Layanan'!H71</x:f>
        <x:v>5712</x:v>
      </x:c>
      <x:c r="C12" s="21" t="n">
        <x:f>'02_Data_Layanan'!I71</x:f>
        <x:v>1355353400</x:v>
      </x:c>
      <x:c r="D12" s="21" t="n">
        <x:f>'02_Data_Layanan'!J71</x:f>
        <x:v>954176885.8199999</x:v>
      </x:c>
      <x:c r="E12" s="20" t="n">
        <x:f>'02_Data_Layanan'!K71</x:f>
        <x:v>2671161</x:v>
      </x:c>
      <x:c r="F12" s="21" t="n">
        <x:f>'02_Data_Layanan'!L71</x:f>
        <x:v>481032158620</x:v>
      </x:c>
      <x:c r="G12" s="21" t="n">
        <x:f>'02_Data_Layanan'!M71</x:f>
        <x:v>537045640296.0499</x:v>
      </x:c>
      <x:c r="H12" s="20" t="n">
        <x:f>'02_Data_Layanan'!N71</x:f>
        <x:v>2665449</x:v>
      </x:c>
      <x:c r="I12" s="21" t="n">
        <x:f>'02_Data_Layanan'!O71</x:f>
        <x:v>536091463410.2299</x:v>
      </x:c>
      <x:c r="J12" s="20" t="n">
        <x:f>'02_Data_Layanan'!P71</x:f>
        <x:v>268</x:v>
      </x:c>
    </x:row>
    <x:row r="13">
      <x:c r="A13" s="5" t="str">
        <x:v>Utama</x:v>
      </x:c>
      <x:c r="B13" s="20" t="n">
        <x:f>'02_Data_Layanan'!H72</x:f>
        <x:v>1616</x:v>
      </x:c>
      <x:c r="C13" s="21" t="n">
        <x:f>'02_Data_Layanan'!I72</x:f>
        <x:v>429065000</x:v>
      </x:c>
      <x:c r="D13" s="21" t="n">
        <x:f>'02_Data_Layanan'!J72</x:f>
        <x:v>285473915.98</x:v>
      </x:c>
      <x:c r="E13" s="20" t="n">
        <x:f>'02_Data_Layanan'!K72</x:f>
        <x:v>956975</x:v>
      </x:c>
      <x:c r="F13" s="21" t="n">
        <x:f>'02_Data_Layanan'!L72</x:f>
        <x:v>177073180560</x:v>
      </x:c>
      <x:c r="G13" s="21" t="n">
        <x:f>'02_Data_Layanan'!M72</x:f>
        <x:v>189549642863.22964</x:v>
      </x:c>
      <x:c r="H13" s="20" t="n">
        <x:f>'02_Data_Layanan'!N72</x:f>
        <x:v>955359</x:v>
      </x:c>
      <x:c r="I13" s="21" t="n">
        <x:f>'02_Data_Layanan'!O72</x:f>
        <x:v>189264168947.24963</x:v>
      </x:c>
      <x:c r="J13" s="20" t="n">
        <x:f>'02_Data_Layanan'!P72</x:f>
        <x:v>25</x:v>
      </x:c>
    </x:row>
    <x:row r="14">
      <x:c r="A14" s="5" t="str">
        <x:v>Paripurna</x:v>
      </x:c>
      <x:c r="B14" s="20" t="n">
        <x:f>'02_Data_Layanan'!H73</x:f>
        <x:v>2006</x:v>
      </x:c>
      <x:c r="C14" s="21" t="n">
        <x:f>'02_Data_Layanan'!I73</x:f>
        <x:v>413725700</x:v>
      </x:c>
      <x:c r="D14" s="21" t="n">
        <x:f>'02_Data_Layanan'!J73</x:f>
        <x:v>312450549.84</x:v>
      </x:c>
      <x:c r="E14" s="20" t="n">
        <x:f>'02_Data_Layanan'!K73</x:f>
        <x:v>1126260</x:v>
      </x:c>
      <x:c r="F14" s="21" t="n">
        <x:f>'02_Data_Layanan'!L73</x:f>
        <x:v>172418593025</x:v>
      </x:c>
      <x:c r="G14" s="21" t="n">
        <x:f>'02_Data_Layanan'!M73</x:f>
        <x:v>256985610274.30936</x:v>
      </x:c>
      <x:c r="H14" s="20" t="n">
        <x:f>'02_Data_Layanan'!N73</x:f>
        <x:v>1124254</x:v>
      </x:c>
      <x:c r="I14" s="21" t="n">
        <x:f>'02_Data_Layanan'!O73</x:f>
        <x:v>256673159724.46936</x:v>
      </x:c>
      <x:c r="J14" s="20" t="n">
        <x:f>'02_Data_Layanan'!P73</x:f>
        <x:v>1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'03_Parameter'!H104</x:f>
        <x:v>0.5</x:v>
      </x:c>
      <x:c r="C19" s="26" t="n">
        <x:f>'02_Data_Layanan'!N73*B19</x:f>
        <x:v>562127</x:v>
      </x:c>
      <x:c r="D19" s="27" t="n">
        <x:f>'02_Data_Layanan'!O73*B19</x:f>
        <x:v>128336579862.23468</x:v>
      </x:c>
      <x:c r="E19" s="13" t="n">
        <x:f>'03_Parameter'!G104</x:f>
        <x:v>0.037000000000000005</x:v>
      </x:c>
      <x:c r="F19" s="26" t="n">
        <x:f>'02_Data_Layanan'!N72*E19</x:f>
        <x:v>35348.283</x:v>
      </x:c>
      <x:c r="G19" s="27" t="n">
        <x:f>'02_Data_Layanan'!O72*E19</x:f>
        <x:v>7002774251.048238</x:v>
      </x:c>
      <x:c r="H19" s="13" t="n">
        <x:f>'03_Parameter'!I104</x:f>
        <x:v>0.5</x:v>
      </x:c>
      <x:c r="I19" s="28" t="n">
        <x:f>'02_Data_Layanan'!H70*H19</x:f>
        <x:v>1216</x:v>
      </x:c>
      <x:c r="J19" s="29" t="n">
        <x:f>'02_Data_Layanan'!I70*H19</x:f>
        <x:v>440302150</x:v>
      </x:c>
      <x:c r="K19" s="13" t="n">
        <x:f>'03_Parameter'!J104</x:f>
        <x:v>0.5</x:v>
      </x:c>
      <x:c r="L19" s="28" t="n">
        <x:f>'02_Data_Layanan'!H71*K19</x:f>
        <x:v>2856</x:v>
      </x:c>
      <x:c r="M19" s="29" t="n">
        <x:f>'02_Data_Layanan'!I71*K19</x:f>
        <x:v>677676700</x:v>
      </x:c>
      <x:c r="N19" s="11" t="n">
        <x:f>C19+F19-(I19+L19)</x:f>
        <x:v>593403.283</x:v>
      </x:c>
      <x:c r="O19" s="11" t="n">
        <x:f>$B$6+N19</x:f>
        <x:v>605169.283</x:v>
      </x:c>
      <x:c r="P19" s="30" t="n">
        <x:f>IF($B$6=0,0,N19/$B$6)</x:f>
        <x:v>50.4337313445521</x:v>
      </x:c>
      <x:c r="Q19" s="10" t="n">
        <x:f>D19+G19-(J19+M19)</x:f>
        <x:v>134221375263.28291</x:v>
      </x:c>
      <x:c r="R19" s="10" t="n">
        <x:f>$B$7+Q19</x:f>
        <x:v>137300123663.28291</x:v>
      </x:c>
      <x:c r="S19" s="30" t="n">
        <x:f>IF($B$7=0,0,Q19/$B$7)</x:f>
        <x:v>43.59608445538548</x:v>
      </x:c>
    </x:row>
    <x:row r="20">
      <x:c r="A20" s="25" t="str">
        <x:v>Skenario 2</x:v>
      </x:c>
      <x:c r="B20" s="13" t="n">
        <x:f>'03_Parameter'!H105</x:f>
        <x:v>0.6</x:v>
      </x:c>
      <x:c r="C20" s="26" t="n">
        <x:f>'02_Data_Layanan'!N73*B20</x:f>
        <x:v>674552.4</x:v>
      </x:c>
      <x:c r="D20" s="27" t="n">
        <x:f>'02_Data_Layanan'!O73*B20</x:f>
        <x:v>154003895834.6816</x:v>
      </x:c>
      <x:c r="E20" s="13" t="n">
        <x:f>'03_Parameter'!G105</x:f>
        <x:v>0.13699999999999998</x:v>
      </x:c>
      <x:c r="F20" s="26" t="n">
        <x:f>'02_Data_Layanan'!N72*E20</x:f>
        <x:v>130884.18299999999</x:v>
      </x:c>
      <x:c r="G20" s="27" t="n">
        <x:f>'02_Data_Layanan'!O72*E20</x:f>
        <x:v>25929191145.773197</x:v>
      </x:c>
      <x:c r="H20" s="13" t="n">
        <x:f>'03_Parameter'!I105</x:f>
        <x:v>0.6</x:v>
      </x:c>
      <x:c r="I20" s="28" t="n">
        <x:f>'02_Data_Layanan'!H70*H20</x:f>
        <x:v>1459.2</x:v>
      </x:c>
      <x:c r="J20" s="29" t="n">
        <x:f>'02_Data_Layanan'!I70*H20</x:f>
        <x:v>528362580</x:v>
      </x:c>
      <x:c r="K20" s="13" t="n">
        <x:f>'03_Parameter'!J105</x:f>
        <x:v>0.6</x:v>
      </x:c>
      <x:c r="L20" s="28" t="n">
        <x:f>'02_Data_Layanan'!H71*K20</x:f>
        <x:v>3427.2</x:v>
      </x:c>
      <x:c r="M20" s="29" t="n">
        <x:f>'02_Data_Layanan'!I71*K20</x:f>
        <x:v>813212040</x:v>
      </x:c>
      <x:c r="N20" s="11" t="n">
        <x:f>C20+F20-(I20+L20)</x:f>
        <x:v>800550.183</x:v>
      </x:c>
      <x:c r="O20" s="11" t="n">
        <x:f>$B$6+N20</x:f>
        <x:v>812316.183</x:v>
      </x:c>
      <x:c r="P20" s="30" t="n">
        <x:f>IF($B$6=0,0,N20/$B$6)</x:f>
        <x:v>68.03928123406425</x:v>
      </x:c>
      <x:c r="Q20" s="10" t="n">
        <x:f>D20+G20-(J20+M20)</x:f>
        <x:v>178591512360.4548</x:v>
      </x:c>
      <x:c r="R20" s="10" t="n">
        <x:f>$B$7+Q20</x:f>
        <x:v>181670260760.4548</x:v>
      </x:c>
      <x:c r="S20" s="30" t="n">
        <x:f>IF($B$7=0,0,Q20/$B$7)</x:f>
        <x:v>58.007829532434286</x:v>
      </x:c>
    </x:row>
    <x:row r="21">
      <x:c r="A21" s="25" t="str">
        <x:v>Skenario 3</x:v>
      </x:c>
      <x:c r="B21" s="13" t="n">
        <x:f>'03_Parameter'!H106</x:f>
        <x:v>0.7</x:v>
      </x:c>
      <x:c r="C21" s="26" t="n">
        <x:f>'02_Data_Layanan'!N73*B21</x:f>
        <x:v>786977.7999999999</x:v>
      </x:c>
      <x:c r="D21" s="27" t="n">
        <x:f>'02_Data_Layanan'!O73*B21</x:f>
        <x:v>179671211807.12854</x:v>
      </x:c>
      <x:c r="E21" s="13" t="n">
        <x:f>'03_Parameter'!G106</x:f>
        <x:v>0.237</x:v>
      </x:c>
      <x:c r="F21" s="26" t="n">
        <x:f>'02_Data_Layanan'!N72*E21</x:f>
        <x:v>226420.08299999998</x:v>
      </x:c>
      <x:c r="G21" s="27" t="n">
        <x:f>'02_Data_Layanan'!O72*E21</x:f>
        <x:v>44855608040.49816</x:v>
      </x:c>
      <x:c r="H21" s="13" t="n">
        <x:f>'03_Parameter'!I106</x:f>
        <x:v>0.7</x:v>
      </x:c>
      <x:c r="I21" s="28" t="n">
        <x:f>'02_Data_Layanan'!H70*H21</x:f>
        <x:v>1702.3999999999999</x:v>
      </x:c>
      <x:c r="J21" s="29" t="n">
        <x:f>'02_Data_Layanan'!I70*H21</x:f>
        <x:v>616423010</x:v>
      </x:c>
      <x:c r="K21" s="13" t="n">
        <x:f>'03_Parameter'!J106</x:f>
        <x:v>0.7</x:v>
      </x:c>
      <x:c r="L21" s="28" t="n">
        <x:f>'02_Data_Layanan'!H71*K21</x:f>
        <x:v>3998.3999999999996</x:v>
      </x:c>
      <x:c r="M21" s="29" t="n">
        <x:f>'02_Data_Layanan'!I71*K21</x:f>
        <x:v>948747379.9999999</x:v>
      </x:c>
      <x:c r="N21" s="11" t="n">
        <x:f>C21+F21-(I21+L21)</x:f>
        <x:v>1007697.0829999999</x:v>
      </x:c>
      <x:c r="O21" s="11" t="n">
        <x:f>$B$6+N21</x:f>
        <x:v>1019463.0829999999</x:v>
      </x:c>
      <x:c r="P21" s="30" t="n">
        <x:f>IF($B$6=0,0,N21/$B$6)</x:f>
        <x:v>85.6448311235764</x:v>
      </x:c>
      <x:c r="Q21" s="10" t="n">
        <x:f>D21+G21-(J21+M21)</x:f>
        <x:v>222961649457.6267</x:v>
      </x:c>
      <x:c r="R21" s="10" t="n">
        <x:f>$B$7+Q21</x:f>
        <x:v>226040397857.6267</x:v>
      </x:c>
      <x:c r="S21" s="30" t="n">
        <x:f>IF($B$7=0,0,Q21/$B$7)</x:f>
        <x:v>72.41957460948309</x:v>
      </x:c>
    </x:row>
    <x:row r="22">
      <x:c r="A22" s="25" t="str">
        <x:v>Skenario 4</x:v>
      </x:c>
      <x:c r="B22" s="13" t="n">
        <x:f>'03_Parameter'!H107</x:f>
        <x:v>0.8</x:v>
      </x:c>
      <x:c r="C22" s="26" t="n">
        <x:f>'02_Data_Layanan'!N73*B22</x:f>
        <x:v>899403.2000000001</x:v>
      </x:c>
      <x:c r="D22" s="27" t="n">
        <x:f>'02_Data_Layanan'!O73*B22</x:f>
        <x:v>205338527779.5755</x:v>
      </x:c>
      <x:c r="E22" s="13" t="n">
        <x:f>'03_Parameter'!G107</x:f>
        <x:v>0.337</x:v>
      </x:c>
      <x:c r="F22" s="26" t="n">
        <x:f>'02_Data_Layanan'!N72*E22</x:f>
        <x:v>321955.983</x:v>
      </x:c>
      <x:c r="G22" s="27" t="n">
        <x:f>'02_Data_Layanan'!O72*E22</x:f>
        <x:v>63782024935.22313</x:v>
      </x:c>
      <x:c r="H22" s="13" t="n">
        <x:f>'03_Parameter'!I107</x:f>
        <x:v>0.8</x:v>
      </x:c>
      <x:c r="I22" s="28" t="n">
        <x:f>'02_Data_Layanan'!H70*H22</x:f>
        <x:v>1945.6000000000001</x:v>
      </x:c>
      <x:c r="J22" s="29" t="n">
        <x:f>'02_Data_Layanan'!I70*H22</x:f>
        <x:v>704483440</x:v>
      </x:c>
      <x:c r="K22" s="13" t="n">
        <x:f>'03_Parameter'!J107</x:f>
        <x:v>0.8</x:v>
      </x:c>
      <x:c r="L22" s="28" t="n">
        <x:f>'02_Data_Layanan'!H71*K22</x:f>
        <x:v>4569.6</x:v>
      </x:c>
      <x:c r="M22" s="29" t="n">
        <x:f>'02_Data_Layanan'!I71*K22</x:f>
        <x:v>1084282720</x:v>
      </x:c>
      <x:c r="N22" s="11" t="n">
        <x:f>C22+F22-(I22+L22)</x:f>
        <x:v>1214843.9830000002</x:v>
      </x:c>
      <x:c r="O22" s="11" t="n">
        <x:f>$B$6+N22</x:f>
        <x:v>1226609.9830000002</x:v>
      </x:c>
      <x:c r="P22" s="30" t="n">
        <x:f>IF($B$6=0,0,N22/$B$6)</x:f>
        <x:v>103.25038101308859</x:v>
      </x:c>
      <x:c r="Q22" s="10" t="n">
        <x:f>D22+G22-(J22+M22)</x:f>
        <x:v>267331786554.79865</x:v>
      </x:c>
      <x:c r="R22" s="10" t="n">
        <x:f>$B$7+Q22</x:f>
        <x:v>270410534954.79865</x:v>
      </x:c>
      <x:c r="S22" s="30" t="n">
        <x:f>IF($B$7=0,0,Q22/$B$7)</x:f>
        <x:v>86.83131968653191</x:v>
      </x:c>
    </x:row>
    <x:row r="23">
      <x:c r="A23" s="25" t="str">
        <x:v>Skenario 5</x:v>
      </x:c>
      <x:c r="B23" s="13" t="n">
        <x:f>'03_Parameter'!H108</x:f>
        <x:v>0.9</x:v>
      </x:c>
      <x:c r="C23" s="26" t="n">
        <x:f>'02_Data_Layanan'!N73*B23</x:f>
        <x:v>1011828.6</x:v>
      </x:c>
      <x:c r="D23" s="27" t="n">
        <x:f>'02_Data_Layanan'!O73*B23</x:f>
        <x:v>231005843752.02243</x:v>
      </x:c>
      <x:c r="E23" s="13" t="n">
        <x:f>'03_Parameter'!G108</x:f>
        <x:v>0.43700000000000006</x:v>
      </x:c>
      <x:c r="F23" s="26" t="n">
        <x:f>'02_Data_Layanan'!N72*E23</x:f>
        <x:v>417491.88300000003</x:v>
      </x:c>
      <x:c r="G23" s="27" t="n">
        <x:f>'02_Data_Layanan'!O72*E23</x:f>
        <x:v>82708441829.9481</x:v>
      </x:c>
      <x:c r="H23" s="13" t="n">
        <x:f>'03_Parameter'!I108</x:f>
        <x:v>0.9</x:v>
      </x:c>
      <x:c r="I23" s="28" t="n">
        <x:f>'02_Data_Layanan'!H70*H23</x:f>
        <x:v>2188.8</x:v>
      </x:c>
      <x:c r="J23" s="29" t="n">
        <x:f>'02_Data_Layanan'!I70*H23</x:f>
        <x:v>792543870</x:v>
      </x:c>
      <x:c r="K23" s="13" t="n">
        <x:f>'03_Parameter'!J108</x:f>
        <x:v>0.9</x:v>
      </x:c>
      <x:c r="L23" s="28" t="n">
        <x:f>'02_Data_Layanan'!H71*K23</x:f>
        <x:v>5140.8</x:v>
      </x:c>
      <x:c r="M23" s="29" t="n">
        <x:f>'02_Data_Layanan'!I71*K23</x:f>
        <x:v>1219818060</x:v>
      </x:c>
      <x:c r="N23" s="11" t="n">
        <x:f>C23+F23-(I23+L23)</x:f>
        <x:v>1421990.883</x:v>
      </x:c>
      <x:c r="O23" s="11" t="n">
        <x:f>$B$6+N23</x:f>
        <x:v>1433756.883</x:v>
      </x:c>
      <x:c r="P23" s="30" t="n">
        <x:f>IF($B$6=0,0,N23/$B$6)</x:f>
        <x:v>120.8559309026007</x:v>
      </x:c>
      <x:c r="Q23" s="10" t="n">
        <x:f>D23+G23-(J23+M23)</x:f>
        <x:v>311701923651.9705</x:v>
      </x:c>
      <x:c r="R23" s="10" t="n">
        <x:f>$B$7+Q23</x:f>
        <x:v>314780672051.9705</x:v>
      </x:c>
      <x:c r="S23" s="30" t="n">
        <x:f>IF($B$7=0,0,Q23/$B$7)</x:f>
        <x:v>101.24306476358072</x:v>
      </x:c>
    </x:row>
    <x:row r="24">
      <x:c r="A24" s="25" t="str">
        <x:v>Skenario 6</x:v>
      </x:c>
      <x:c r="B24" s="13" t="n">
        <x:f>'03_Parameter'!H109</x:f>
        <x:v>1</x:v>
      </x:c>
      <x:c r="C24" s="26" t="n">
        <x:f>'02_Data_Layanan'!N73*B24</x:f>
        <x:v>1124254</x:v>
      </x:c>
      <x:c r="D24" s="27" t="n">
        <x:f>'02_Data_Layanan'!O73*B24</x:f>
        <x:v>256673159724.46936</x:v>
      </x:c>
      <x:c r="E24" s="13" t="n">
        <x:f>'03_Parameter'!G109</x:f>
        <x:v>0.537</x:v>
      </x:c>
      <x:c r="F24" s="26" t="n">
        <x:f>'02_Data_Layanan'!N72*E24</x:f>
        <x:v>513027.78300000005</x:v>
      </x:c>
      <x:c r="G24" s="27" t="n">
        <x:f>'02_Data_Layanan'!O72*E24</x:f>
        <x:v>101634858724.67307</x:v>
      </x:c>
      <x:c r="H24" s="13" t="n">
        <x:f>'03_Parameter'!I109</x:f>
        <x:v>1</x:v>
      </x:c>
      <x:c r="I24" s="28" t="n">
        <x:f>'02_Data_Layanan'!H70*H24</x:f>
        <x:v>2432</x:v>
      </x:c>
      <x:c r="J24" s="29" t="n">
        <x:f>'02_Data_Layanan'!I70*H24</x:f>
        <x:v>880604300</x:v>
      </x:c>
      <x:c r="K24" s="13" t="n">
        <x:f>'03_Parameter'!J109</x:f>
        <x:v>1</x:v>
      </x:c>
      <x:c r="L24" s="28" t="n">
        <x:f>'02_Data_Layanan'!H71*K24</x:f>
        <x:v>5712</x:v>
      </x:c>
      <x:c r="M24" s="29" t="n">
        <x:f>'02_Data_Layanan'!I71*K24</x:f>
        <x:v>1355353400</x:v>
      </x:c>
      <x:c r="N24" s="11" t="n">
        <x:f>C24+F24-(I24+L24)</x:f>
        <x:v>1629137.783</x:v>
      </x:c>
      <x:c r="O24" s="11" t="n">
        <x:f>$B$6+N24</x:f>
        <x:v>1640903.783</x:v>
      </x:c>
      <x:c r="P24" s="30" t="n">
        <x:f>IF($B$6=0,0,N24/$B$6)</x:f>
        <x:v>138.46148079211287</x:v>
      </x:c>
      <x:c r="Q24" s="10" t="n">
        <x:f>D24+G24-(J24+M24)</x:f>
        <x:v>356072060749.14246</x:v>
      </x:c>
      <x:c r="R24" s="10" t="n">
        <x:f>$B$7+Q24</x:f>
        <x:v>359150809149.14246</x:v>
      </x:c>
      <x:c r="S24" s="30" t="n">
        <x:f>IF($B$7=0,0,Q24/$B$7)</x:f>
        <x:v>115.65480984062954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Rekonstruksi &amp; Estetika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0.006258590221873159</x:v>
      </x:c>
      <x:c r="K5" s="16" t="str">
        <x:v>Setara/lebih tinggi</x:v>
      </x:c>
      <x:c r="L5" s="11" t="n">
        <x:f>'02_Data_Layanan'!Q74</x:f>
        <x:v>9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SUM('02_Data_Layanan'!H74,'02_Data_Layanan'!H75,'02_Data_Layanan'!H76,'02_Data_Layanan'!H77)</x:f>
        <x:v>1530</x:v>
      </x:c>
      <x:c r="C6" s="7" t="str"/>
      <x:c r="D6" s="7" t="str"/>
      <x:c r="E6" s="15" t="str">
        <x:v>Total Kasus</x:v>
      </x:c>
      <x:c r="F6" s="18" t="n">
        <x:f>SUM('02_Data_Layanan'!K74,'02_Data_Layanan'!K75,'02_Data_Layanan'!K76,'02_Data_Layanan'!K77)</x:f>
        <x:v>244464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Pusat Dr. Hasan Sadikin; RS Umum Santosa Hospital Bandung Central; RS PKU Muhammadiyah Surakarta; RS Umum Pusat Dr. Kariadi; RS Umum Daerah Dr. Saiful Anwar; RS Umum Daerah Dr. Soetomo; RSUP Prof. Dr. I.G.N.G. Ngoerah; +1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SUM('02_Data_Layanan'!I74,'02_Data_Layanan'!I75,'02_Data_Layanan'!I76,'02_Data_Layanan'!I77)</x:f>
        <x:v>12143465900</x:v>
      </x:c>
      <x:c r="C7" s="7" t="str"/>
      <x:c r="D7" s="7" t="str"/>
      <x:c r="E7" s="15" t="str">
        <x:v>Pendapatan INA</x:v>
      </x:c>
      <x:c r="F7" s="19" t="n">
        <x:f>SUM('02_Data_Layanan'!L74,'02_Data_Layanan'!L75,'02_Data_Layanan'!L76,'02_Data_Layanan'!L77)</x:f>
        <x:v>1026622022900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SUM('02_Data_Layanan'!J74,'02_Data_Layanan'!J75,'02_Data_Layanan'!J76,'02_Data_Layanan'!J77)</x:f>
        <x:v>9143962324.260002</x:v>
      </x:c>
      <x:c r="C8" s="7" t="str"/>
      <x:c r="D8" s="7" t="str"/>
      <x:c r="E8" s="15" t="str">
        <x:v>Pendapatan iDRG</x:v>
      </x:c>
      <x:c r="F8" s="19" t="n">
        <x:f>SUM('02_Data_Layanan'!M74,'02_Data_Layanan'!M75,'02_Data_Layanan'!M76,'02_Data_Layanan'!M77)</x:f>
        <x:v>1148261874760.951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'02_Data_Layanan'!H74</x:f>
        <x:v>375</x:v>
      </x:c>
      <x:c r="C11" s="21" t="n">
        <x:f>'02_Data_Layanan'!I74</x:f>
        <x:v>515121300</x:v>
      </x:c>
      <x:c r="D11" s="21" t="n">
        <x:f>'02_Data_Layanan'!J74</x:f>
        <x:v>498895498.67999995</x:v>
      </x:c>
      <x:c r="E11" s="20" t="n">
        <x:f>'02_Data_Layanan'!K74</x:f>
        <x:v>76301</x:v>
      </x:c>
      <x:c r="F11" s="21" t="n">
        <x:f>'02_Data_Layanan'!L74</x:f>
        <x:v>173450418300</x:v>
      </x:c>
      <x:c r="G11" s="21" t="n">
        <x:f>'02_Data_Layanan'!M74</x:f>
        <x:v>199018649557.5999</x:v>
      </x:c>
      <x:c r="H11" s="20" t="n">
        <x:f>'02_Data_Layanan'!N74</x:f>
        <x:v>75926</x:v>
      </x:c>
      <x:c r="I11" s="21" t="n">
        <x:f>'02_Data_Layanan'!O74</x:f>
        <x:v>198519754058.91992</x:v>
      </x:c>
      <x:c r="J11" s="20" t="n">
        <x:f>'02_Data_Layanan'!P74</x:f>
        <x:v>1009</x:v>
      </x:c>
    </x:row>
    <x:row r="12">
      <x:c r="A12" s="5" t="str">
        <x:v>Madya</x:v>
      </x:c>
      <x:c r="B12" s="20" t="n">
        <x:f>'02_Data_Layanan'!H75</x:f>
        <x:v>751</x:v>
      </x:c>
      <x:c r="C12" s="21" t="n">
        <x:f>'02_Data_Layanan'!I75</x:f>
        <x:v>7474837600</x:v>
      </x:c>
      <x:c r="D12" s="21" t="n">
        <x:f>'02_Data_Layanan'!J75</x:f>
        <x:v>5595443761.860001</x:v>
      </x:c>
      <x:c r="E12" s="20" t="n">
        <x:f>'02_Data_Layanan'!K75</x:f>
        <x:v>114763</x:v>
      </x:c>
      <x:c r="F12" s="21" t="n">
        <x:f>'02_Data_Layanan'!L75</x:f>
        <x:v>592585469800</x:v>
      </x:c>
      <x:c r="G12" s="21" t="n">
        <x:f>'02_Data_Layanan'!M75</x:f>
        <x:v>652841135064.8008</x:v>
      </x:c>
      <x:c r="H12" s="20" t="n">
        <x:f>'02_Data_Layanan'!N75</x:f>
        <x:v>114012</x:v>
      </x:c>
      <x:c r="I12" s="21" t="n">
        <x:f>'02_Data_Layanan'!O75</x:f>
        <x:v>647245691302.9408</x:v>
      </x:c>
      <x:c r="J12" s="20" t="n">
        <x:f>'02_Data_Layanan'!P75</x:f>
        <x:v>126</x:v>
      </x:c>
    </x:row>
    <x:row r="13">
      <x:c r="A13" s="5" t="str">
        <x:v>Utama</x:v>
      </x:c>
      <x:c r="B13" s="20" t="n">
        <x:f>'02_Data_Layanan'!H76</x:f>
        <x:v>395</x:v>
      </x:c>
      <x:c r="C13" s="21" t="n">
        <x:f>'02_Data_Layanan'!I76</x:f>
        <x:v>3923715100</x:v>
      </x:c>
      <x:c r="D13" s="21" t="n">
        <x:f>'02_Data_Layanan'!J76</x:f>
        <x:v>2951258828.38</x:v>
      </x:c>
      <x:c r="E13" s="20" t="n">
        <x:f>'02_Data_Layanan'!K76</x:f>
        <x:v>51127</x:v>
      </x:c>
      <x:c r="F13" s="21" t="n">
        <x:f>'02_Data_Layanan'!L76</x:f>
        <x:v>245206277200</x:v>
      </x:c>
      <x:c r="G13" s="21" t="n">
        <x:f>'02_Data_Layanan'!M76</x:f>
        <x:v>280030105565.9601</x:v>
      </x:c>
      <x:c r="H13" s="20" t="n">
        <x:f>'02_Data_Layanan'!N76</x:f>
        <x:v>50732</x:v>
      </x:c>
      <x:c r="I13" s="21" t="n">
        <x:f>'02_Data_Layanan'!O76</x:f>
        <x:v>277078846737.5801</x:v>
      </x:c>
      <x:c r="J13" s="20" t="n">
        <x:f>'02_Data_Layanan'!P76</x:f>
        <x:v>39</x:v>
      </x:c>
    </x:row>
    <x:row r="14">
      <x:c r="A14" s="5" t="str">
        <x:v>Paripurna</x:v>
      </x:c>
      <x:c r="B14" s="20" t="n">
        <x:f>'02_Data_Layanan'!H77</x:f>
        <x:v>9</x:v>
      </x:c>
      <x:c r="C14" s="21" t="n">
        <x:f>'02_Data_Layanan'!I77</x:f>
        <x:v>229791900</x:v>
      </x:c>
      <x:c r="D14" s="21" t="n">
        <x:f>'02_Data_Layanan'!J77</x:f>
        <x:v>98364235.34</x:v>
      </x:c>
      <x:c r="E14" s="20" t="n">
        <x:f>'02_Data_Layanan'!K77</x:f>
        <x:v>2273</x:v>
      </x:c>
      <x:c r="F14" s="21" t="n">
        <x:f>'02_Data_Layanan'!L77</x:f>
        <x:v>15379857600</x:v>
      </x:c>
      <x:c r="G14" s="21" t="n">
        <x:f>'02_Data_Layanan'!M77</x:f>
        <x:v>16371984572.589973</x:v>
      </x:c>
      <x:c r="H14" s="20" t="n">
        <x:f>'02_Data_Layanan'!N77</x:f>
        <x:v>2264</x:v>
      </x:c>
      <x:c r="I14" s="21" t="n">
        <x:f>'02_Data_Layanan'!O77</x:f>
        <x:v>16273620337.249973</x:v>
      </x:c>
      <x:c r="J14" s="20" t="n">
        <x:f>'02_Data_Layanan'!P77</x:f>
        <x:v>9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'03_Parameter'!H110</x:f>
        <x:v>0.1</x:v>
      </x:c>
      <x:c r="C19" s="26" t="n">
        <x:f>'02_Data_Layanan'!N77*B19</x:f>
        <x:v>226.4</x:v>
      </x:c>
      <x:c r="D19" s="27" t="n">
        <x:f>'02_Data_Layanan'!O77*B19</x:f>
        <x:v>1627362033.7249975</x:v>
      </x:c>
      <x:c r="E19" s="13" t="n">
        <x:f>'03_Parameter'!G110</x:f>
        <x:v>0.02</x:v>
      </x:c>
      <x:c r="F19" s="26" t="n">
        <x:f>'02_Data_Layanan'!N76*E19</x:f>
        <x:v>1014.64</x:v>
      </x:c>
      <x:c r="G19" s="27" t="n">
        <x:f>'02_Data_Layanan'!O76*E19</x:f>
        <x:v>5541576934.751601</x:v>
      </x:c>
      <x:c r="H19" s="13" t="n">
        <x:f>'03_Parameter'!I110</x:f>
        <x:v>0.5</x:v>
      </x:c>
      <x:c r="I19" s="28" t="n">
        <x:f>'02_Data_Layanan'!H74*H19</x:f>
        <x:v>187.5</x:v>
      </x:c>
      <x:c r="J19" s="29" t="n">
        <x:f>'02_Data_Layanan'!I74*H19</x:f>
        <x:v>257560650</x:v>
      </x:c>
      <x:c r="K19" s="13" t="n">
        <x:f>'03_Parameter'!J110</x:f>
        <x:v>0.5</x:v>
      </x:c>
      <x:c r="L19" s="28" t="n">
        <x:f>'02_Data_Layanan'!H75*K19</x:f>
        <x:v>375.5</x:v>
      </x:c>
      <x:c r="M19" s="29" t="n">
        <x:f>'02_Data_Layanan'!I75*K19</x:f>
        <x:v>3737418800</x:v>
      </x:c>
      <x:c r="N19" s="11" t="n">
        <x:f>C19+F19-(I19+L19)</x:f>
        <x:v>678.04</x:v>
      </x:c>
      <x:c r="O19" s="11" t="n">
        <x:f>$B$6+N19</x:f>
        <x:v>2208.04</x:v>
      </x:c>
      <x:c r="P19" s="30" t="n">
        <x:f>IF($B$6=0,0,N19/$B$6)</x:f>
        <x:v>0.4431633986928104</x:v>
      </x:c>
      <x:c r="Q19" s="10" t="n">
        <x:f>D19+G19-(J19+M19)</x:f>
        <x:v>3173959518.4765987</x:v>
      </x:c>
      <x:c r="R19" s="10" t="n">
        <x:f>$B$7+Q19</x:f>
        <x:v>15317425418.476599</x:v>
      </x:c>
      <x:c r="S19" s="30" t="n">
        <x:f>IF($B$7=0,0,Q19/$B$7)</x:f>
        <x:v>0.2613717981846187</x:v>
      </x:c>
    </x:row>
    <x:row r="20">
      <x:c r="A20" s="25" t="str">
        <x:v>Skenario 2</x:v>
      </x:c>
      <x:c r="B20" s="13" t="n">
        <x:f>'03_Parameter'!H111</x:f>
        <x:v>0.2</x:v>
      </x:c>
      <x:c r="C20" s="26" t="n">
        <x:f>'02_Data_Layanan'!N77*B20</x:f>
        <x:v>452.8</x:v>
      </x:c>
      <x:c r="D20" s="27" t="n">
        <x:f>'02_Data_Layanan'!O77*B20</x:f>
        <x:v>3254724067.449995</x:v>
      </x:c>
      <x:c r="E20" s="13" t="n">
        <x:f>'03_Parameter'!G111</x:f>
        <x:v>0.12</x:v>
      </x:c>
      <x:c r="F20" s="26" t="n">
        <x:f>'02_Data_Layanan'!N76*E20</x:f>
        <x:v>6087.84</x:v>
      </x:c>
      <x:c r="G20" s="27" t="n">
        <x:f>'02_Data_Layanan'!O76*E20</x:f>
        <x:v>33249461608.50961</x:v>
      </x:c>
      <x:c r="H20" s="13" t="n">
        <x:f>'03_Parameter'!I111</x:f>
        <x:v>0.6</x:v>
      </x:c>
      <x:c r="I20" s="28" t="n">
        <x:f>'02_Data_Layanan'!H74*H20</x:f>
        <x:v>225</x:v>
      </x:c>
      <x:c r="J20" s="29" t="n">
        <x:f>'02_Data_Layanan'!I74*H20</x:f>
        <x:v>309072780</x:v>
      </x:c>
      <x:c r="K20" s="13" t="n">
        <x:f>'03_Parameter'!J111</x:f>
        <x:v>0.6</x:v>
      </x:c>
      <x:c r="L20" s="28" t="n">
        <x:f>'02_Data_Layanan'!H75*K20</x:f>
        <x:v>450.59999999999997</x:v>
      </x:c>
      <x:c r="M20" s="29" t="n">
        <x:f>'02_Data_Layanan'!I75*K20</x:f>
        <x:v>4484902560</x:v>
      </x:c>
      <x:c r="N20" s="11" t="n">
        <x:f>C20+F20-(I20+L20)</x:f>
        <x:v>5865.040000000001</x:v>
      </x:c>
      <x:c r="O20" s="11" t="n">
        <x:f>$B$6+N20</x:f>
        <x:v>7395.040000000001</x:v>
      </x:c>
      <x:c r="P20" s="30" t="n">
        <x:f>IF($B$6=0,0,N20/$B$6)</x:f>
        <x:v>3.8333594771241835</x:v>
      </x:c>
      <x:c r="Q20" s="10" t="n">
        <x:f>D20+G20-(J20+M20)</x:f>
        <x:v>31710210335.959602</x:v>
      </x:c>
      <x:c r="R20" s="10" t="n">
        <x:f>$B$7+Q20</x:f>
        <x:v>43853676235.9596</x:v>
      </x:c>
      <x:c r="S20" s="30" t="n">
        <x:f>IF($B$7=0,0,Q20/$B$7)</x:f>
        <x:v>2.611298174433018</x:v>
      </x:c>
    </x:row>
    <x:row r="21">
      <x:c r="A21" s="25" t="str">
        <x:v>Skenario 3</x:v>
      </x:c>
      <x:c r="B21" s="13" t="n">
        <x:f>'03_Parameter'!H112</x:f>
        <x:v>0.3</x:v>
      </x:c>
      <x:c r="C21" s="26" t="n">
        <x:f>'02_Data_Layanan'!N77*B21</x:f>
        <x:v>679.1999999999999</x:v>
      </x:c>
      <x:c r="D21" s="27" t="n">
        <x:f>'02_Data_Layanan'!O77*B21</x:f>
        <x:v>4882086101.174992</x:v>
      </x:c>
      <x:c r="E21" s="13" t="n">
        <x:f>'03_Parameter'!G112</x:f>
        <x:v>0.22</x:v>
      </x:c>
      <x:c r="F21" s="26" t="n">
        <x:f>'02_Data_Layanan'!N76*E21</x:f>
        <x:v>11161.04</x:v>
      </x:c>
      <x:c r="G21" s="27" t="n">
        <x:f>'02_Data_Layanan'!O76*E21</x:f>
        <x:v>60957346282.26762</x:v>
      </x:c>
      <x:c r="H21" s="13" t="n">
        <x:f>'03_Parameter'!I112</x:f>
        <x:v>0.7</x:v>
      </x:c>
      <x:c r="I21" s="28" t="n">
        <x:f>'02_Data_Layanan'!H74*H21</x:f>
        <x:v>262.5</x:v>
      </x:c>
      <x:c r="J21" s="29" t="n">
        <x:f>'02_Data_Layanan'!I74*H21</x:f>
        <x:v>360584910</x:v>
      </x:c>
      <x:c r="K21" s="13" t="n">
        <x:f>'03_Parameter'!J112</x:f>
        <x:v>0.7</x:v>
      </x:c>
      <x:c r="L21" s="28" t="n">
        <x:f>'02_Data_Layanan'!H75*K21</x:f>
        <x:v>525.6999999999999</x:v>
      </x:c>
      <x:c r="M21" s="29" t="n">
        <x:f>'02_Data_Layanan'!I75*K21</x:f>
        <x:v>5232386320</x:v>
      </x:c>
      <x:c r="N21" s="11" t="n">
        <x:f>C21+F21-(I21+L21)</x:f>
        <x:v>11052.04</x:v>
      </x:c>
      <x:c r="O21" s="11" t="n">
        <x:f>$B$6+N21</x:f>
        <x:v>12582.04</x:v>
      </x:c>
      <x:c r="P21" s="30" t="n">
        <x:f>IF($B$6=0,0,N21/$B$6)</x:f>
        <x:v>7.223555555555556</x:v>
      </x:c>
      <x:c r="Q21" s="10" t="n">
        <x:f>D21+G21-(J21+M21)</x:f>
        <x:v>60246461153.44261</x:v>
      </x:c>
      <x:c r="R21" s="10" t="n">
        <x:f>$B$7+Q21</x:f>
        <x:v>72389927053.44261</x:v>
      </x:c>
      <x:c r="S21" s="30" t="n">
        <x:f>IF($B$7=0,0,Q21/$B$7)</x:f>
        <x:v>4.961224550681417</x:v>
      </x:c>
    </x:row>
    <x:row r="22">
      <x:c r="A22" s="25" t="str">
        <x:v>Skenario 4</x:v>
      </x:c>
      <x:c r="B22" s="13" t="n">
        <x:f>'03_Parameter'!H113</x:f>
        <x:v>0.4</x:v>
      </x:c>
      <x:c r="C22" s="26" t="n">
        <x:f>'02_Data_Layanan'!N77*B22</x:f>
        <x:v>905.6</x:v>
      </x:c>
      <x:c r="D22" s="27" t="n">
        <x:f>'02_Data_Layanan'!O77*B22</x:f>
        <x:v>6509448134.89999</x:v>
      </x:c>
      <x:c r="E22" s="13" t="n">
        <x:f>'03_Parameter'!G113</x:f>
        <x:v>0.32</x:v>
      </x:c>
      <x:c r="F22" s="26" t="n">
        <x:f>'02_Data_Layanan'!N76*E22</x:f>
        <x:v>16234.24</x:v>
      </x:c>
      <x:c r="G22" s="27" t="n">
        <x:f>'02_Data_Layanan'!O76*E22</x:f>
        <x:v>88665230956.02562</x:v>
      </x:c>
      <x:c r="H22" s="13" t="n">
        <x:f>'03_Parameter'!I113</x:f>
        <x:v>0.8</x:v>
      </x:c>
      <x:c r="I22" s="28" t="n">
        <x:f>'02_Data_Layanan'!H74*H22</x:f>
        <x:v>300</x:v>
      </x:c>
      <x:c r="J22" s="29" t="n">
        <x:f>'02_Data_Layanan'!I74*H22</x:f>
        <x:v>412097040</x:v>
      </x:c>
      <x:c r="K22" s="13" t="n">
        <x:f>'03_Parameter'!J113</x:f>
        <x:v>0.8</x:v>
      </x:c>
      <x:c r="L22" s="28" t="n">
        <x:f>'02_Data_Layanan'!H75*K22</x:f>
        <x:v>600.8000000000001</x:v>
      </x:c>
      <x:c r="M22" s="29" t="n">
        <x:f>'02_Data_Layanan'!I75*K22</x:f>
        <x:v>5979870080</x:v>
      </x:c>
      <x:c r="N22" s="11" t="n">
        <x:f>C22+F22-(I22+L22)</x:f>
        <x:v>16239.04</x:v>
      </x:c>
      <x:c r="O22" s="11" t="n">
        <x:f>$B$6+N22</x:f>
        <x:v>17769.04</x:v>
      </x:c>
      <x:c r="P22" s="30" t="n">
        <x:f>IF($B$6=0,0,N22/$B$6)</x:f>
        <x:v>10.61375163398693</x:v>
      </x:c>
      <x:c r="Q22" s="10" t="n">
        <x:f>D22+G22-(J22+M22)</x:f>
        <x:v>88782711970.92561</x:v>
      </x:c>
      <x:c r="R22" s="10" t="n">
        <x:f>$B$7+Q22</x:f>
        <x:v>100926177870.92561</x:v>
      </x:c>
      <x:c r="S22" s="30" t="n">
        <x:f>IF($B$7=0,0,Q22/$B$7)</x:f>
        <x:v>7.311150926929816</x:v>
      </x:c>
    </x:row>
    <x:row r="23">
      <x:c r="A23" s="25" t="str">
        <x:v>Skenario 5</x:v>
      </x:c>
      <x:c r="B23" s="13" t="n">
        <x:f>'03_Parameter'!H114</x:f>
        <x:v>0.5</x:v>
      </x:c>
      <x:c r="C23" s="26" t="n">
        <x:f>'02_Data_Layanan'!N77*B23</x:f>
        <x:v>1132</x:v>
      </x:c>
      <x:c r="D23" s="27" t="n">
        <x:f>'02_Data_Layanan'!O77*B23</x:f>
        <x:v>8136810168.624987</x:v>
      </x:c>
      <x:c r="E23" s="13" t="n">
        <x:f>'03_Parameter'!G114</x:f>
        <x:v>0.42</x:v>
      </x:c>
      <x:c r="F23" s="26" t="n">
        <x:f>'02_Data_Layanan'!N76*E23</x:f>
        <x:v>21307.44</x:v>
      </x:c>
      <x:c r="G23" s="27" t="n">
        <x:f>'02_Data_Layanan'!O76*E23</x:f>
        <x:v>116373115629.78363</x:v>
      </x:c>
      <x:c r="H23" s="13" t="n">
        <x:f>'03_Parameter'!I114</x:f>
        <x:v>0.9</x:v>
      </x:c>
      <x:c r="I23" s="28" t="n">
        <x:f>'02_Data_Layanan'!H74*H23</x:f>
        <x:v>337.5</x:v>
      </x:c>
      <x:c r="J23" s="29" t="n">
        <x:f>'02_Data_Layanan'!I74*H23</x:f>
        <x:v>463609170</x:v>
      </x:c>
      <x:c r="K23" s="13" t="n">
        <x:f>'03_Parameter'!J114</x:f>
        <x:v>0.9</x:v>
      </x:c>
      <x:c r="L23" s="28" t="n">
        <x:f>'02_Data_Layanan'!H75*K23</x:f>
        <x:v>675.9</x:v>
      </x:c>
      <x:c r="M23" s="29" t="n">
        <x:f>'02_Data_Layanan'!I75*K23</x:f>
        <x:v>6727353840</x:v>
      </x:c>
      <x:c r="N23" s="11" t="n">
        <x:f>C23+F23-(I23+L23)</x:f>
        <x:v>21426.039999999997</x:v>
      </x:c>
      <x:c r="O23" s="11" t="n">
        <x:f>$B$6+N23</x:f>
        <x:v>22956.039999999997</x:v>
      </x:c>
      <x:c r="P23" s="30" t="n">
        <x:f>IF($B$6=0,0,N23/$B$6)</x:f>
        <x:v>14.003947712418299</x:v>
      </x:c>
      <x:c r="Q23" s="10" t="n">
        <x:f>D23+G23-(J23+M23)</x:f>
        <x:v>117318962788.40862</x:v>
      </x:c>
      <x:c r="R23" s="10" t="n">
        <x:f>$B$7+Q23</x:f>
        <x:v>129462428688.40862</x:v>
      </x:c>
      <x:c r="S23" s="30" t="n">
        <x:f>IF($B$7=0,0,Q23/$B$7)</x:f>
        <x:v>9.661077303178216</x:v>
      </x:c>
    </x:row>
    <x:row r="24">
      <x:c r="A24" s="25" t="str">
        <x:v>Skenario 6</x:v>
      </x:c>
      <x:c r="B24" s="13" t="n">
        <x:f>'03_Parameter'!H115</x:f>
        <x:v>0.6</x:v>
      </x:c>
      <x:c r="C24" s="26" t="n">
        <x:f>'02_Data_Layanan'!N77*B24</x:f>
        <x:v>1358.3999999999999</x:v>
      </x:c>
      <x:c r="D24" s="27" t="n">
        <x:f>'02_Data_Layanan'!O77*B24</x:f>
        <x:v>9764172202.349983</x:v>
      </x:c>
      <x:c r="E24" s="13" t="n">
        <x:f>'03_Parameter'!G115</x:f>
        <x:v>0.52</x:v>
      </x:c>
      <x:c r="F24" s="26" t="n">
        <x:f>'02_Data_Layanan'!N76*E24</x:f>
        <x:v>26380.64</x:v>
      </x:c>
      <x:c r="G24" s="27" t="n">
        <x:f>'02_Data_Layanan'!O76*E24</x:f>
        <x:v>144081000303.54166</x:v>
      </x:c>
      <x:c r="H24" s="13" t="n">
        <x:f>'03_Parameter'!I115</x:f>
        <x:v>1</x:v>
      </x:c>
      <x:c r="I24" s="28" t="n">
        <x:f>'02_Data_Layanan'!H74*H24</x:f>
        <x:v>375</x:v>
      </x:c>
      <x:c r="J24" s="29" t="n">
        <x:f>'02_Data_Layanan'!I74*H24</x:f>
        <x:v>515121300</x:v>
      </x:c>
      <x:c r="K24" s="13" t="n">
        <x:f>'03_Parameter'!J115</x:f>
        <x:v>1</x:v>
      </x:c>
      <x:c r="L24" s="28" t="n">
        <x:f>'02_Data_Layanan'!H75*K24</x:f>
        <x:v>751</x:v>
      </x:c>
      <x:c r="M24" s="29" t="n">
        <x:f>'02_Data_Layanan'!I75*K24</x:f>
        <x:v>7474837600</x:v>
      </x:c>
      <x:c r="N24" s="11" t="n">
        <x:f>C24+F24-(I24+L24)</x:f>
        <x:v>26613.04</x:v>
      </x:c>
      <x:c r="O24" s="11" t="n">
        <x:f>$B$6+N24</x:f>
        <x:v>28143.04</x:v>
      </x:c>
      <x:c r="P24" s="30" t="n">
        <x:f>IF($B$6=0,0,N24/$B$6)</x:f>
        <x:v>17.394143790849675</x:v>
      </x:c>
      <x:c r="Q24" s="10" t="n">
        <x:f>D24+G24-(J24+M24)</x:f>
        <x:v>145855213605.89163</x:v>
      </x:c>
      <x:c r="R24" s="10" t="n">
        <x:f>$B$7+Q24</x:f>
        <x:v>157998679505.89163</x:v>
      </x:c>
      <x:c r="S24" s="30" t="n">
        <x:f>IF($B$7=0,0,Q24/$B$7)</x:f>
        <x:v>12.011003679426615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Saraf / Neuroscience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0.003447986801446455</x:v>
      </x:c>
      <x:c r="K5" s="16" t="str">
        <x:v>Setara/lebih tinggi</x:v>
      </x:c>
      <x:c r="L5" s="11" t="n">
        <x:f>'02_Data_Layanan'!Q78</x:f>
        <x:v>6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SUM('02_Data_Layanan'!H78,'02_Data_Layanan'!H79,'02_Data_Layanan'!H80,'02_Data_Layanan'!H81)</x:f>
        <x:v>20895</x:v>
      </x:c>
      <x:c r="C6" s="7" t="str"/>
      <x:c r="D6" s="7" t="str"/>
      <x:c r="E6" s="15" t="str">
        <x:v>Total Kasus</x:v>
      </x:c>
      <x:c r="F6" s="18" t="n">
        <x:f>SUM('02_Data_Layanan'!K78,'02_Data_Layanan'!K79,'02_Data_Layanan'!K80,'02_Data_Layanan'!K81)</x:f>
        <x:v>6060058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Pusat Dr. Hasan Sadikin; RS Umum Pusat Dr. Kariadi;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SUM('02_Data_Layanan'!I78,'02_Data_Layanan'!I79,'02_Data_Layanan'!I80,'02_Data_Layanan'!I81)</x:f>
        <x:v>70688233800</x:v>
      </x:c>
      <x:c r="C7" s="7" t="str"/>
      <x:c r="D7" s="7" t="str"/>
      <x:c r="E7" s="15" t="str">
        <x:v>Pendapatan INA</x:v>
      </x:c>
      <x:c r="F7" s="19" t="n">
        <x:f>SUM('02_Data_Layanan'!L78,'02_Data_Layanan'!L79,'02_Data_Layanan'!L80,'02_Data_Layanan'!L81)</x:f>
        <x:v>4671420045555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SUM('02_Data_Layanan'!J78,'02_Data_Layanan'!J79,'02_Data_Layanan'!J80,'02_Data_Layanan'!J81)</x:f>
        <x:v>61766206982.15001</x:v>
      </x:c>
      <x:c r="C8" s="7" t="str"/>
      <x:c r="D8" s="7" t="str"/>
      <x:c r="E8" s="15" t="str">
        <x:v>Pendapatan iDRG</x:v>
      </x:c>
      <x:c r="F8" s="19" t="n">
        <x:f>SUM('02_Data_Layanan'!M78,'02_Data_Layanan'!M79,'02_Data_Layanan'!M80,'02_Data_Layanan'!M81)</x:f>
        <x:v>5234295255234.926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'02_Data_Layanan'!H78</x:f>
        <x:v>6111</x:v>
      </x:c>
      <x:c r="C11" s="21" t="n">
        <x:f>'02_Data_Layanan'!I78</x:f>
        <x:v>3337614500</x:v>
      </x:c>
      <x:c r="D11" s="21" t="n">
        <x:f>'02_Data_Layanan'!J78</x:f>
        <x:v>2951125037.23</x:v>
      </x:c>
      <x:c r="E11" s="20" t="n">
        <x:f>'02_Data_Layanan'!K78</x:f>
        <x:v>1369603</x:v>
      </x:c>
      <x:c r="F11" s="21" t="n">
        <x:f>'02_Data_Layanan'!L78</x:f>
        <x:v>417070996400</x:v>
      </x:c>
      <x:c r="G11" s="21" t="n">
        <x:f>'02_Data_Layanan'!M78</x:f>
        <x:v>466107569975.7497</x:v>
      </x:c>
      <x:c r="H11" s="20" t="n">
        <x:f>'02_Data_Layanan'!N78</x:f>
        <x:v>1363492</x:v>
      </x:c>
      <x:c r="I11" s="21" t="n">
        <x:f>'02_Data_Layanan'!O78</x:f>
        <x:v>463156444938.5197</x:v>
      </x:c>
      <x:c r="J11" s="20" t="n">
        <x:f>'02_Data_Layanan'!P78</x:f>
        <x:v>1170</x:v>
      </x:c>
    </x:row>
    <x:row r="12">
      <x:c r="A12" s="5" t="str">
        <x:v>Madya</x:v>
      </x:c>
      <x:c r="B12" s="20" t="n">
        <x:f>'02_Data_Layanan'!H79</x:f>
        <x:v>6296</x:v>
      </x:c>
      <x:c r="C12" s="21" t="n">
        <x:f>'02_Data_Layanan'!I79</x:f>
        <x:v>9592492900</x:v>
      </x:c>
      <x:c r="D12" s="21" t="n">
        <x:f>'02_Data_Layanan'!J79</x:f>
        <x:v>6240559750.650001</x:v>
      </x:c>
      <x:c r="E12" s="20" t="n">
        <x:f>'02_Data_Layanan'!K79</x:f>
        <x:v>3037725</x:v>
      </x:c>
      <x:c r="F12" s="21" t="n">
        <x:f>'02_Data_Layanan'!L79</x:f>
        <x:v>1216307380660</x:v>
      </x:c>
      <x:c r="G12" s="21" t="n">
        <x:f>'02_Data_Layanan'!M79</x:f>
        <x:v>1357288562456.523</x:v>
      </x:c>
      <x:c r="H12" s="20" t="n">
        <x:f>'02_Data_Layanan'!N79</x:f>
        <x:v>3031429</x:v>
      </x:c>
      <x:c r="I12" s="21" t="n">
        <x:f>'02_Data_Layanan'!O79</x:f>
        <x:v>1351048002705.873</x:v>
      </x:c>
      <x:c r="J12" s="20" t="n">
        <x:f>'02_Data_Layanan'!P79</x:f>
        <x:v>50</x:v>
      </x:c>
    </x:row>
    <x:row r="13">
      <x:c r="A13" s="5" t="str">
        <x:v>Utama</x:v>
      </x:c>
      <x:c r="B13" s="20" t="n">
        <x:f>'02_Data_Layanan'!H80</x:f>
        <x:v>5241</x:v>
      </x:c>
      <x:c r="C13" s="21" t="n">
        <x:f>'02_Data_Layanan'!I80</x:f>
        <x:v>51240582100</x:v>
      </x:c>
      <x:c r="D13" s="21" t="n">
        <x:f>'02_Data_Layanan'!J80</x:f>
        <x:v>47173383855.72</x:v>
      </x:c>
      <x:c r="E13" s="20" t="n">
        <x:f>'02_Data_Layanan'!K80</x:f>
        <x:v>810453</x:v>
      </x:c>
      <x:c r="F13" s="21" t="n">
        <x:f>'02_Data_Layanan'!L80</x:f>
        <x:v>2528936697100</x:v>
      </x:c>
      <x:c r="G13" s="21" t="n">
        <x:f>'02_Data_Layanan'!M80</x:f>
        <x:v>2849523167976.174</x:v>
      </x:c>
      <x:c r="H13" s="20" t="n">
        <x:f>'02_Data_Layanan'!N80</x:f>
        <x:v>805212</x:v>
      </x:c>
      <x:c r="I13" s="21" t="n">
        <x:f>'02_Data_Layanan'!O80</x:f>
        <x:v>2802349784120.4536</x:v>
      </x:c>
      <x:c r="J13" s="20" t="n">
        <x:f>'02_Data_Layanan'!P80</x:f>
        <x:v>21</x:v>
      </x:c>
    </x:row>
    <x:row r="14">
      <x:c r="A14" s="5" t="str">
        <x:v>Paripurna</x:v>
      </x:c>
      <x:c r="B14" s="20" t="n">
        <x:f>'02_Data_Layanan'!H81</x:f>
        <x:v>3247</x:v>
      </x:c>
      <x:c r="C14" s="21" t="n">
        <x:f>'02_Data_Layanan'!I81</x:f>
        <x:v>6517544300</x:v>
      </x:c>
      <x:c r="D14" s="21" t="n">
        <x:f>'02_Data_Layanan'!J81</x:f>
        <x:v>5401138338.55</x:v>
      </x:c>
      <x:c r="E14" s="20" t="n">
        <x:f>'02_Data_Layanan'!K81</x:f>
        <x:v>842277</x:v>
      </x:c>
      <x:c r="F14" s="21" t="n">
        <x:f>'02_Data_Layanan'!L81</x:f>
        <x:v>509104971395</x:v>
      </x:c>
      <x:c r="G14" s="21" t="n">
        <x:f>'02_Data_Layanan'!M81</x:f>
        <x:v>561375954826.4791</x:v>
      </x:c>
      <x:c r="H14" s="20" t="n">
        <x:f>'02_Data_Layanan'!N81</x:f>
        <x:v>839030</x:v>
      </x:c>
      <x:c r="I14" s="21" t="n">
        <x:f>'02_Data_Layanan'!O81</x:f>
        <x:v>555974816487.9291</x:v>
      </x:c>
      <x:c r="J14" s="20" t="n">
        <x:f>'02_Data_Layanan'!P81</x:f>
        <x:v>6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'03_Parameter'!H116</x:f>
        <x:v>0.14300000000000002</x:v>
      </x:c>
      <x:c r="C19" s="26" t="n">
        <x:f>'02_Data_Layanan'!N81*B19</x:f>
        <x:v>119981.29000000001</x:v>
      </x:c>
      <x:c r="D19" s="27" t="n">
        <x:f>'02_Data_Layanan'!O81*B19</x:f>
        <x:v>79504398757.77386</x:v>
      </x:c>
      <x:c r="E19" s="13" t="n">
        <x:f>'03_Parameter'!G116</x:f>
        <x:v>0.036000000000000004</x:v>
      </x:c>
      <x:c r="F19" s="26" t="n">
        <x:f>'02_Data_Layanan'!N80*E19</x:f>
        <x:v>28987.632000000005</x:v>
      </x:c>
      <x:c r="G19" s="27" t="n">
        <x:f>'02_Data_Layanan'!O80*E19</x:f>
        <x:v>100884592228.33635</x:v>
      </x:c>
      <x:c r="H19" s="13" t="n">
        <x:f>'03_Parameter'!I116</x:f>
        <x:v>0.5</x:v>
      </x:c>
      <x:c r="I19" s="28" t="n">
        <x:f>'02_Data_Layanan'!H78*H19</x:f>
        <x:v>3055.5</x:v>
      </x:c>
      <x:c r="J19" s="29" t="n">
        <x:f>'02_Data_Layanan'!I78*H19</x:f>
        <x:v>1668807250</x:v>
      </x:c>
      <x:c r="K19" s="13" t="n">
        <x:f>'03_Parameter'!J116</x:f>
        <x:v>0.5</x:v>
      </x:c>
      <x:c r="L19" s="28" t="n">
        <x:f>'02_Data_Layanan'!H79*K19</x:f>
        <x:v>3148</x:v>
      </x:c>
      <x:c r="M19" s="29" t="n">
        <x:f>'02_Data_Layanan'!I79*K19</x:f>
        <x:v>4796246450</x:v>
      </x:c>
      <x:c r="N19" s="11" t="n">
        <x:f>C19+F19-(I19+L19)</x:f>
        <x:v>142765.42200000002</x:v>
      </x:c>
      <x:c r="O19" s="11" t="n">
        <x:f>$B$6+N19</x:f>
        <x:v>163660.42200000002</x:v>
      </x:c>
      <x:c r="P19" s="30" t="n">
        <x:f>IF($B$6=0,0,N19/$B$6)</x:f>
        <x:v>6.832516008614502</x:v>
      </x:c>
      <x:c r="Q19" s="10" t="n">
        <x:f>D19+G19-(J19+M19)</x:f>
        <x:v>173923937286.11023</x:v>
      </x:c>
      <x:c r="R19" s="10" t="n">
        <x:f>$B$7+Q19</x:f>
        <x:v>244612171086.11023</x:v>
      </x:c>
      <x:c r="S19" s="30" t="n">
        <x:f>IF($B$7=0,0,Q19/$B$7)</x:f>
        <x:v>2.460436878055231</x:v>
      </x:c>
    </x:row>
    <x:row r="20">
      <x:c r="A20" s="25" t="str">
        <x:v>Skenario 2</x:v>
      </x:c>
      <x:c r="B20" s="13" t="n">
        <x:f>'03_Parameter'!H117</x:f>
        <x:v>0.243</x:v>
      </x:c>
      <x:c r="C20" s="26" t="n">
        <x:f>'02_Data_Layanan'!N81*B20</x:f>
        <x:v>203884.29</x:v>
      </x:c>
      <x:c r="D20" s="27" t="n">
        <x:f>'02_Data_Layanan'!O81*B20</x:f>
        <x:v>135101880406.56676</x:v>
      </x:c>
      <x:c r="E20" s="13" t="n">
        <x:f>'03_Parameter'!G117</x:f>
        <x:v>0.136</x:v>
      </x:c>
      <x:c r="F20" s="26" t="n">
        <x:f>'02_Data_Layanan'!N80*E20</x:f>
        <x:v>109508.83200000001</x:v>
      </x:c>
      <x:c r="G20" s="27" t="n">
        <x:f>'02_Data_Layanan'!O80*E20</x:f>
        <x:v>381119570640.3817</x:v>
      </x:c>
      <x:c r="H20" s="13" t="n">
        <x:f>'03_Parameter'!I117</x:f>
        <x:v>0.6</x:v>
      </x:c>
      <x:c r="I20" s="28" t="n">
        <x:f>'02_Data_Layanan'!H78*H20</x:f>
        <x:v>3666.6</x:v>
      </x:c>
      <x:c r="J20" s="29" t="n">
        <x:f>'02_Data_Layanan'!I78*H20</x:f>
        <x:v>2002568700</x:v>
      </x:c>
      <x:c r="K20" s="13" t="n">
        <x:f>'03_Parameter'!J117</x:f>
        <x:v>0.6</x:v>
      </x:c>
      <x:c r="L20" s="28" t="n">
        <x:f>'02_Data_Layanan'!H79*K20</x:f>
        <x:v>3777.6</x:v>
      </x:c>
      <x:c r="M20" s="29" t="n">
        <x:f>'02_Data_Layanan'!I79*K20</x:f>
        <x:v>5755495740</x:v>
      </x:c>
      <x:c r="N20" s="11" t="n">
        <x:f>C20+F20-(I20+L20)</x:f>
        <x:v>305948.922</x:v>
      </x:c>
      <x:c r="O20" s="11" t="n">
        <x:f>$B$6+N20</x:f>
        <x:v>326843.922</x:v>
      </x:c>
      <x:c r="P20" s="30" t="n">
        <x:f>IF($B$6=0,0,N20/$B$6)</x:f>
        <x:v>14.642207322325916</x:v>
      </x:c>
      <x:c r="Q20" s="10" t="n">
        <x:f>D20+G20-(J20+M20)</x:f>
        <x:v>508463386606.9485</x:v>
      </x:c>
      <x:c r="R20" s="10" t="n">
        <x:f>$B$7+Q20</x:f>
        <x:v>579151620406.9485</x:v>
      </x:c>
      <x:c r="S20" s="30" t="n">
        <x:f>IF($B$7=0,0,Q20/$B$7)</x:f>
        <x:v>7.193041320646895</x:v>
      </x:c>
    </x:row>
    <x:row r="21">
      <x:c r="A21" s="25" t="str">
        <x:v>Skenario 3</x:v>
      </x:c>
      <x:c r="B21" s="13" t="n">
        <x:f>'03_Parameter'!H118</x:f>
        <x:v>0.34299999999999997</x:v>
      </x:c>
      <x:c r="C21" s="26" t="n">
        <x:f>'02_Data_Layanan'!N81*B21</x:f>
        <x:v>287787.29</x:v>
      </x:c>
      <x:c r="D21" s="27" t="n">
        <x:f>'02_Data_Layanan'!O81*B21</x:f>
        <x:v>190699362055.35965</x:v>
      </x:c>
      <x:c r="E21" s="13" t="n">
        <x:f>'03_Parameter'!G118</x:f>
        <x:v>0.23600000000000002</x:v>
      </x:c>
      <x:c r="F21" s="26" t="n">
        <x:f>'02_Data_Layanan'!N80*E21</x:f>
        <x:v>190030.032</x:v>
      </x:c>
      <x:c r="G21" s="27" t="n">
        <x:f>'02_Data_Layanan'!O80*E21</x:f>
        <x:v>661354549052.4271</x:v>
      </x:c>
      <x:c r="H21" s="13" t="n">
        <x:f>'03_Parameter'!I118</x:f>
        <x:v>0.7</x:v>
      </x:c>
      <x:c r="I21" s="28" t="n">
        <x:f>'02_Data_Layanan'!H78*H21</x:f>
        <x:v>4277.7</x:v>
      </x:c>
      <x:c r="J21" s="29" t="n">
        <x:f>'02_Data_Layanan'!I78*H21</x:f>
        <x:v>2336330150</x:v>
      </x:c>
      <x:c r="K21" s="13" t="n">
        <x:f>'03_Parameter'!J118</x:f>
        <x:v>0.7</x:v>
      </x:c>
      <x:c r="L21" s="28" t="n">
        <x:f>'02_Data_Layanan'!H79*K21</x:f>
        <x:v>4407.2</x:v>
      </x:c>
      <x:c r="M21" s="29" t="n">
        <x:f>'02_Data_Layanan'!I79*K21</x:f>
        <x:v>6714745030</x:v>
      </x:c>
      <x:c r="N21" s="11" t="n">
        <x:f>C21+F21-(I21+L21)</x:f>
        <x:v>469132.42199999996</x:v>
      </x:c>
      <x:c r="O21" s="11" t="n">
        <x:f>$B$6+N21</x:f>
        <x:v>490027.42199999996</x:v>
      </x:c>
      <x:c r="P21" s="30" t="n">
        <x:f>IF($B$6=0,0,N21/$B$6)</x:f>
        <x:v>22.451898636037328</x:v>
      </x:c>
      <x:c r="Q21" s="10" t="n">
        <x:f>D21+G21-(J21+M21)</x:f>
        <x:v>843002835927.7867</x:v>
      </x:c>
      <x:c r="R21" s="10" t="n">
        <x:f>$B$7+Q21</x:f>
        <x:v>913691069727.7867</x:v>
      </x:c>
      <x:c r="S21" s="30" t="n">
        <x:f>IF($B$7=0,0,Q21/$B$7)</x:f>
        <x:v>11.92564576323856</x:v>
      </x:c>
    </x:row>
    <x:row r="22">
      <x:c r="A22" s="25" t="str">
        <x:v>Skenario 4</x:v>
      </x:c>
      <x:c r="B22" s="13" t="n">
        <x:f>'03_Parameter'!H119</x:f>
        <x:v>0.44299999999999995</x:v>
      </x:c>
      <x:c r="C22" s="26" t="n">
        <x:f>'02_Data_Layanan'!N81*B22</x:f>
        <x:v>371690.29</x:v>
      </x:c>
      <x:c r="D22" s="27" t="n">
        <x:f>'02_Data_Layanan'!O81*B22</x:f>
        <x:v>246296843704.15256</x:v>
      </x:c>
      <x:c r="E22" s="13" t="n">
        <x:f>'03_Parameter'!G119</x:f>
        <x:v>0.336</x:v>
      </x:c>
      <x:c r="F22" s="26" t="n">
        <x:f>'02_Data_Layanan'!N80*E22</x:f>
        <x:v>270551.232</x:v>
      </x:c>
      <x:c r="G22" s="27" t="n">
        <x:f>'02_Data_Layanan'!O80*E22</x:f>
        <x:v>941589527464.4724</x:v>
      </x:c>
      <x:c r="H22" s="13" t="n">
        <x:f>'03_Parameter'!I119</x:f>
        <x:v>0.8</x:v>
      </x:c>
      <x:c r="I22" s="28" t="n">
        <x:f>'02_Data_Layanan'!H78*H22</x:f>
        <x:v>4888.8</x:v>
      </x:c>
      <x:c r="J22" s="29" t="n">
        <x:f>'02_Data_Layanan'!I78*H22</x:f>
        <x:v>2670091600</x:v>
      </x:c>
      <x:c r="K22" s="13" t="n">
        <x:f>'03_Parameter'!J119</x:f>
        <x:v>0.8</x:v>
      </x:c>
      <x:c r="L22" s="28" t="n">
        <x:f>'02_Data_Layanan'!H79*K22</x:f>
        <x:v>5036.8</x:v>
      </x:c>
      <x:c r="M22" s="29" t="n">
        <x:f>'02_Data_Layanan'!I79*K22</x:f>
        <x:v>7673994320</x:v>
      </x:c>
      <x:c r="N22" s="11" t="n">
        <x:f>C22+F22-(I22+L22)</x:f>
        <x:v>632315.922</x:v>
      </x:c>
      <x:c r="O22" s="11" t="n">
        <x:f>$B$6+N22</x:f>
        <x:v>653210.922</x:v>
      </x:c>
      <x:c r="P22" s="30" t="n">
        <x:f>IF($B$6=0,0,N22/$B$6)</x:f>
        <x:v>30.261589949748746</x:v>
      </x:c>
      <x:c r="Q22" s="10" t="n">
        <x:f>D22+G22-(J22+M22)</x:f>
        <x:v>1177542285248.625</x:v>
      </x:c>
      <x:c r="R22" s="10" t="n">
        <x:f>$B$7+Q22</x:f>
        <x:v>1248230519048.625</x:v>
      </x:c>
      <x:c r="S22" s="30" t="n">
        <x:f>IF($B$7=0,0,Q22/$B$7)</x:f>
        <x:v>16.658250205830225</x:v>
      </x:c>
    </x:row>
    <x:row r="23">
      <x:c r="A23" s="25" t="str">
        <x:v>Skenario 5</x:v>
      </x:c>
      <x:c r="B23" s="13" t="n">
        <x:f>'03_Parameter'!H120</x:f>
        <x:v>0.5429999999999999</x:v>
      </x:c>
      <x:c r="C23" s="26" t="n">
        <x:f>'02_Data_Layanan'!N81*B23</x:f>
        <x:v>455593.2899999999</x:v>
      </x:c>
      <x:c r="D23" s="27" t="n">
        <x:f>'02_Data_Layanan'!O81*B23</x:f>
        <x:v>301894325352.94543</x:v>
      </x:c>
      <x:c r="E23" s="13" t="n">
        <x:f>'03_Parameter'!G120</x:f>
        <x:v>0.436</x:v>
      </x:c>
      <x:c r="F23" s="26" t="n">
        <x:f>'02_Data_Layanan'!N80*E23</x:f>
        <x:v>351072.432</x:v>
      </x:c>
      <x:c r="G23" s="27" t="n">
        <x:f>'02_Data_Layanan'!O80*E23</x:f>
        <x:v>1221824505876.5178</x:v>
      </x:c>
      <x:c r="H23" s="13" t="n">
        <x:f>'03_Parameter'!I120</x:f>
        <x:v>0.9</x:v>
      </x:c>
      <x:c r="I23" s="28" t="n">
        <x:f>'02_Data_Layanan'!H78*H23</x:f>
        <x:v>5499.900000000001</x:v>
      </x:c>
      <x:c r="J23" s="29" t="n">
        <x:f>'02_Data_Layanan'!I78*H23</x:f>
        <x:v>3003853050</x:v>
      </x:c>
      <x:c r="K23" s="13" t="n">
        <x:f>'03_Parameter'!J120</x:f>
        <x:v>0.9</x:v>
      </x:c>
      <x:c r="L23" s="28" t="n">
        <x:f>'02_Data_Layanan'!H79*K23</x:f>
        <x:v>5666.400000000001</x:v>
      </x:c>
      <x:c r="M23" s="29" t="n">
        <x:f>'02_Data_Layanan'!I79*K23</x:f>
        <x:v>8633243610</x:v>
      </x:c>
      <x:c r="N23" s="11" t="n">
        <x:f>C23+F23-(I23+L23)</x:f>
        <x:v>795499.4219999998</x:v>
      </x:c>
      <x:c r="O23" s="11" t="n">
        <x:f>$B$6+N23</x:f>
        <x:v>816394.4219999998</x:v>
      </x:c>
      <x:c r="P23" s="30" t="n">
        <x:f>IF($B$6=0,0,N23/$B$6)</x:f>
        <x:v>38.07128126346015</x:v>
      </x:c>
      <x:c r="Q23" s="10" t="n">
        <x:f>D23+G23-(J23+M23)</x:f>
        <x:v>1512081734569.4634</x:v>
      </x:c>
      <x:c r="R23" s="10" t="n">
        <x:f>$B$7+Q23</x:f>
        <x:v>1582769968369.4634</x:v>
      </x:c>
      <x:c r="S23" s="30" t="n">
        <x:f>IF($B$7=0,0,Q23/$B$7)</x:f>
        <x:v>21.39085464842189</x:v>
      </x:c>
    </x:row>
    <x:row r="24">
      <x:c r="A24" s="25" t="str">
        <x:v>Skenario 6</x:v>
      </x:c>
      <x:c r="B24" s="13" t="n">
        <x:f>'03_Parameter'!H121</x:f>
        <x:v>0.643</x:v>
      </x:c>
      <x:c r="C24" s="26" t="n">
        <x:f>'02_Data_Layanan'!N81*B24</x:f>
        <x:v>539496.29</x:v>
      </x:c>
      <x:c r="D24" s="27" t="n">
        <x:f>'02_Data_Layanan'!O81*B24</x:f>
        <x:v>357491807001.7384</x:v>
      </x:c>
      <x:c r="E24" s="13" t="n">
        <x:f>'03_Parameter'!G121</x:f>
        <x:v>0.536</x:v>
      </x:c>
      <x:c r="F24" s="26" t="n">
        <x:f>'02_Data_Layanan'!N80*E24</x:f>
        <x:v>431593.63200000004</x:v>
      </x:c>
      <x:c r="G24" s="27" t="n">
        <x:f>'02_Data_Layanan'!O80*E24</x:f>
        <x:v>1502059484288.5632</x:v>
      </x:c>
      <x:c r="H24" s="13" t="n">
        <x:f>'03_Parameter'!I121</x:f>
        <x:v>1</x:v>
      </x:c>
      <x:c r="I24" s="28" t="n">
        <x:f>'02_Data_Layanan'!H78*H24</x:f>
        <x:v>6111</x:v>
      </x:c>
      <x:c r="J24" s="29" t="n">
        <x:f>'02_Data_Layanan'!I78*H24</x:f>
        <x:v>3337614500</x:v>
      </x:c>
      <x:c r="K24" s="13" t="n">
        <x:f>'03_Parameter'!J121</x:f>
        <x:v>1</x:v>
      </x:c>
      <x:c r="L24" s="28" t="n">
        <x:f>'02_Data_Layanan'!H79*K24</x:f>
        <x:v>6296</x:v>
      </x:c>
      <x:c r="M24" s="29" t="n">
        <x:f>'02_Data_Layanan'!I79*K24</x:f>
        <x:v>9592492900</x:v>
      </x:c>
      <x:c r="N24" s="11" t="n">
        <x:f>C24+F24-(I24+L24)</x:f>
        <x:v>958682.922</x:v>
      </x:c>
      <x:c r="O24" s="11" t="n">
        <x:f>$B$6+N24</x:f>
        <x:v>979577.922</x:v>
      </x:c>
      <x:c r="P24" s="30" t="n">
        <x:f>IF($B$6=0,0,N24/$B$6)</x:f>
        <x:v>45.880972577171576</x:v>
      </x:c>
      <x:c r="Q24" s="10" t="n">
        <x:f>D24+G24-(J24+M24)</x:f>
        <x:v>1846621183890.3018</x:v>
      </x:c>
      <x:c r="R24" s="10" t="n">
        <x:f>$B$7+Q24</x:f>
        <x:v>1917309417690.3018</x:v>
      </x:c>
      <x:c r="S24" s="30" t="n">
        <x:f>IF($B$7=0,0,Q24/$B$7)</x:f>
        <x:v>26.123459091013558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Tht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3</x:v>
      </x:c>
      <x:c r="C5" s="7" t="str">
        <x:v>Utama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0.004686247979224563</x:v>
      </x:c>
      <x:c r="K5" s="16" t="str">
        <x:v>Setara/lebih tinggi</x:v>
      </x:c>
      <x:c r="L5" s="11" t="n">
        <x:f>'02_Data_Layanan'!Q82</x:f>
        <x:v>11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SUM('02_Data_Layanan'!H82,'02_Data_Layanan'!H83,'02_Data_Layanan'!H84,'02_Data_Layanan'!H85)</x:f>
        <x:v>13691</x:v>
      </x:c>
      <x:c r="C6" s="7" t="str"/>
      <x:c r="D6" s="7" t="str"/>
      <x:c r="E6" s="15" t="str">
        <x:v>Total Kasus</x:v>
      </x:c>
      <x:c r="F6" s="18" t="n">
        <x:f>SUM('02_Data_Layanan'!K82,'02_Data_Layanan'!K83,'02_Data_Layanan'!K84,'02_Data_Layanan'!K85)</x:f>
        <x:v>2921527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 Awal Bros Pekanbaru; RS Universitas Indonesia; RS Umum Pusat Dr. Hasan Sadikin; RS Umum Santosa Hospital Bandung Central; RS Umum Daerah Prof Dr. Margono Soekarjo; RS Umum Pusat Dr. Kariadi; RS Umum Daerah Dr. Saiful Anwar; +3 RS lainnya (lihat 01B_Kompetitor_RS)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SUM('02_Data_Layanan'!I82,'02_Data_Layanan'!I83,'02_Data_Layanan'!I84,'02_Data_Layanan'!I85)</x:f>
        <x:v>19751557700</x:v>
      </x:c>
      <x:c r="C7" s="7" t="str"/>
      <x:c r="D7" s="7" t="str"/>
      <x:c r="E7" s="15" t="str">
        <x:v>Pendapatan INA</x:v>
      </x:c>
      <x:c r="F7" s="19" t="n">
        <x:f>SUM('02_Data_Layanan'!L82,'02_Data_Layanan'!L83,'02_Data_Layanan'!L84,'02_Data_Layanan'!L85)</x:f>
        <x:v>1725212884255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SUM('02_Data_Layanan'!J82,'02_Data_Layanan'!J83,'02_Data_Layanan'!J84,'02_Data_Layanan'!J85)</x:f>
        <x:v>16445588755.15</x:v>
      </x:c>
      <x:c r="C8" s="7" t="str"/>
      <x:c r="D8" s="7" t="str"/>
      <x:c r="E8" s="15" t="str">
        <x:v>Pendapatan iDRG</x:v>
      </x:c>
      <x:c r="F8" s="19" t="n">
        <x:f>SUM('02_Data_Layanan'!M82,'02_Data_Layanan'!M83,'02_Data_Layanan'!M84,'02_Data_Layanan'!M85)</x:f>
        <x:v>1952143804237.282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'02_Data_Layanan'!H82</x:f>
        <x:v>5475</x:v>
      </x:c>
      <x:c r="C11" s="21" t="n">
        <x:f>'02_Data_Layanan'!I82</x:f>
        <x:v>3713030700</x:v>
      </x:c>
      <x:c r="D11" s="21" t="n">
        <x:f>'02_Data_Layanan'!J82</x:f>
        <x:v>3050945561.58</x:v>
      </x:c>
      <x:c r="E11" s="20" t="n">
        <x:f>'02_Data_Layanan'!K82</x:f>
        <x:v>1461142</x:v>
      </x:c>
      <x:c r="F11" s="21" t="n">
        <x:f>'02_Data_Layanan'!L82</x:f>
        <x:v>541636979400</x:v>
      </x:c>
      <x:c r="G11" s="21" t="n">
        <x:f>'02_Data_Layanan'!M82</x:f>
        <x:v>600326956956.3114</x:v>
      </x:c>
      <x:c r="H11" s="20" t="n">
        <x:f>'02_Data_Layanan'!N82</x:f>
        <x:v>1455667</x:v>
      </x:c>
      <x:c r="I11" s="21" t="n">
        <x:f>'02_Data_Layanan'!O82</x:f>
        <x:v>597276011394.7314</x:v>
      </x:c>
      <x:c r="J11" s="20" t="n">
        <x:f>'02_Data_Layanan'!P82</x:f>
        <x:v>841</x:v>
      </x:c>
    </x:row>
    <x:row r="12">
      <x:c r="A12" s="5" t="str">
        <x:v>Madya</x:v>
      </x:c>
      <x:c r="B12" s="20" t="n">
        <x:f>'02_Data_Layanan'!H83</x:f>
        <x:v>4603</x:v>
      </x:c>
      <x:c r="C12" s="21" t="n">
        <x:f>'02_Data_Layanan'!I83</x:f>
        <x:v>5106496500</x:v>
      </x:c>
      <x:c r="D12" s="21" t="n">
        <x:f>'02_Data_Layanan'!J83</x:f>
        <x:v>4255085703.8500004</x:v>
      </x:c>
      <x:c r="E12" s="20" t="n">
        <x:f>'02_Data_Layanan'!K83</x:f>
        <x:v>1264420</x:v>
      </x:c>
      <x:c r="F12" s="21" t="n">
        <x:f>'02_Data_Layanan'!L83</x:f>
        <x:v>785282927355</x:v>
      </x:c>
      <x:c r="G12" s="21" t="n">
        <x:f>'02_Data_Layanan'!M83</x:f>
        <x:v>909592316216.3704</x:v>
      </x:c>
      <x:c r="H12" s="20" t="n">
        <x:f>'02_Data_Layanan'!N83</x:f>
        <x:v>1259817</x:v>
      </x:c>
      <x:c r="I12" s="21" t="n">
        <x:f>'02_Data_Layanan'!O83</x:f>
        <x:v>905337230512.5204</x:v>
      </x:c>
      <x:c r="J12" s="20" t="n">
        <x:f>'02_Data_Layanan'!P83</x:f>
        <x:v>177</x:v>
      </x:c>
    </x:row>
    <x:row r="13">
      <x:c r="A13" s="5" t="str">
        <x:v>Utama</x:v>
      </x:c>
      <x:c r="B13" s="20" t="n">
        <x:f>'02_Data_Layanan'!H84</x:f>
        <x:v>3334</x:v>
      </x:c>
      <x:c r="C13" s="21" t="n">
        <x:f>'02_Data_Layanan'!I84</x:f>
        <x:v>9828023400</x:v>
      </x:c>
      <x:c r="D13" s="21" t="n">
        <x:f>'02_Data_Layanan'!J84</x:f>
        <x:v>7908668029.03</x:v>
      </x:c>
      <x:c r="E13" s="20" t="n">
        <x:f>'02_Data_Layanan'!K84</x:f>
        <x:v>165385</x:v>
      </x:c>
      <x:c r="F13" s="21" t="n">
        <x:f>'02_Data_Layanan'!L84</x:f>
        <x:v>353592074400</x:v>
      </x:c>
      <x:c r="G13" s="21" t="n">
        <x:f>'02_Data_Layanan'!M84</x:f>
        <x:v>387643863509.94037</x:v>
      </x:c>
      <x:c r="H13" s="20" t="n">
        <x:f>'02_Data_Layanan'!N84</x:f>
        <x:v>162051</x:v>
      </x:c>
      <x:c r="I13" s="21" t="n">
        <x:f>'02_Data_Layanan'!O84</x:f>
        <x:v>379735195480.91034</x:v>
      </x:c>
      <x:c r="J13" s="20" t="n">
        <x:f>'02_Data_Layanan'!P84</x:f>
        <x:v>8</x:v>
      </x:c>
    </x:row>
    <x:row r="14">
      <x:c r="A14" s="5" t="str">
        <x:v>Paripurna</x:v>
      </x:c>
      <x:c r="B14" s="20" t="n">
        <x:f>'02_Data_Layanan'!H85</x:f>
        <x:v>279</x:v>
      </x:c>
      <x:c r="C14" s="21" t="n">
        <x:f>'02_Data_Layanan'!I85</x:f>
        <x:v>1104007100</x:v>
      </x:c>
      <x:c r="D14" s="21" t="n">
        <x:f>'02_Data_Layanan'!J85</x:f>
        <x:v>1230889460.69</x:v>
      </x:c>
      <x:c r="E14" s="20" t="n">
        <x:f>'02_Data_Layanan'!K85</x:f>
        <x:v>30580</x:v>
      </x:c>
      <x:c r="F14" s="21" t="n">
        <x:f>'02_Data_Layanan'!L85</x:f>
        <x:v>44700903100</x:v>
      </x:c>
      <x:c r="G14" s="21" t="n">
        <x:f>'02_Data_Layanan'!M85</x:f>
        <x:v>54580667554.65997</x:v>
      </x:c>
      <x:c r="H14" s="20" t="n">
        <x:f>'02_Data_Layanan'!N85</x:f>
        <x:v>30301</x:v>
      </x:c>
      <x:c r="I14" s="21" t="n">
        <x:f>'02_Data_Layanan'!O85</x:f>
        <x:v>53349778093.96997</x:v>
      </x:c>
      <x:c r="J14" s="20" t="n">
        <x:f>'02_Data_Layanan'!P85</x:f>
        <x:v>3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UTAMA</x:v>
      </x:c>
      <x:c r="C17" s="23" t="str"/>
      <x:c r="D17" s="23" t="str"/>
      <x:c r="E17" s="23" t="str">
        <x:v>TAMBAHAN MADYA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PARIPURNA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'03_Parameter'!G122</x:f>
        <x:v>0.083</x:v>
      </x:c>
      <x:c r="C19" s="26" t="n">
        <x:f>'02_Data_Layanan'!N84*B19</x:f>
        <x:v>13450.233</x:v>
      </x:c>
      <x:c r="D19" s="27" t="n">
        <x:f>'02_Data_Layanan'!O84*B19</x:f>
        <x:v>31518021224.91556</x:v>
      </x:c>
      <x:c r="E19" s="13" t="n">
        <x:f>'03_Parameter'!F122</x:f>
        <x:v>0.005</x:v>
      </x:c>
      <x:c r="F19" s="26" t="n">
        <x:f>'02_Data_Layanan'!N83*E19</x:f>
        <x:v>6299.085</x:v>
      </x:c>
      <x:c r="G19" s="27" t="n">
        <x:f>'02_Data_Layanan'!O83*E19</x:f>
        <x:v>4526686152.562602</x:v>
      </x:c>
      <x:c r="H19" s="13" t="n">
        <x:f>'03_Parameter'!I122</x:f>
        <x:v>0.5</x:v>
      </x:c>
      <x:c r="I19" s="28" t="n">
        <x:f>'02_Data_Layanan'!H82*H19</x:f>
        <x:v>2737.5</x:v>
      </x:c>
      <x:c r="J19" s="29" t="n">
        <x:f>'02_Data_Layanan'!I82*H19</x:f>
        <x:v>1856515350</x:v>
      </x:c>
      <x:c r="K19" s="13" t="n">
        <x:f>'03_Parameter'!L122</x:f>
        <x:v>1</x:v>
      </x:c>
      <x:c r="L19" s="28" t="n">
        <x:f>'02_Data_Layanan'!H85*K19</x:f>
        <x:v>279</x:v>
      </x:c>
      <x:c r="M19" s="29" t="n">
        <x:f>'02_Data_Layanan'!I85*K19</x:f>
        <x:v>1104007100</x:v>
      </x:c>
      <x:c r="N19" s="11" t="n">
        <x:f>C19+F19-(I19+L19)</x:f>
        <x:v>16732.818</x:v>
      </x:c>
      <x:c r="O19" s="11" t="n">
        <x:f>$B$6+N19</x:f>
        <x:v>30423.818</x:v>
      </x:c>
      <x:c r="P19" s="30" t="n">
        <x:f>IF($B$6=0,0,N19/$B$6)</x:f>
        <x:v>1.2221764662917245</x:v>
      </x:c>
      <x:c r="Q19" s="10" t="n">
        <x:f>D19+G19-(J19+M19)</x:f>
        <x:v>33084184927.478165</x:v>
      </x:c>
      <x:c r="R19" s="10" t="n">
        <x:f>$B$7+Q19</x:f>
        <x:v>52835742627.478165</x:v>
      </x:c>
      <x:c r="S19" s="30" t="n">
        <x:f>IF($B$7=0,0,Q19/$B$7)</x:f>
        <x:v>1.6750164938878802</x:v>
      </x:c>
    </x:row>
    <x:row r="20">
      <x:c r="A20" s="25" t="str">
        <x:v>Skenario 2</x:v>
      </x:c>
      <x:c r="B20" s="13" t="n">
        <x:f>'03_Parameter'!G123</x:f>
        <x:v>0.183</x:v>
      </x:c>
      <x:c r="C20" s="26" t="n">
        <x:f>'02_Data_Layanan'!N84*B20</x:f>
        <x:v>29655.333</x:v>
      </x:c>
      <x:c r="D20" s="27" t="n">
        <x:f>'02_Data_Layanan'!O84*B20</x:f>
        <x:v>69491540773.00659</x:v>
      </x:c>
      <x:c r="E20" s="13" t="n">
        <x:f>'03_Parameter'!F123</x:f>
        <x:v>0.105</x:v>
      </x:c>
      <x:c r="F20" s="26" t="n">
        <x:f>'02_Data_Layanan'!N83*E20</x:f>
        <x:v>132280.785</x:v>
      </x:c>
      <x:c r="G20" s="27" t="n">
        <x:f>'02_Data_Layanan'!O83*E20</x:f>
        <x:v>95060409203.81464</x:v>
      </x:c>
      <x:c r="H20" s="13" t="n">
        <x:f>'03_Parameter'!I123</x:f>
        <x:v>0.6</x:v>
      </x:c>
      <x:c r="I20" s="28" t="n">
        <x:f>'02_Data_Layanan'!H82*H20</x:f>
        <x:v>3285</x:v>
      </x:c>
      <x:c r="J20" s="29" t="n">
        <x:f>'02_Data_Layanan'!I82*H20</x:f>
        <x:v>2227818420</x:v>
      </x:c>
      <x:c r="K20" s="13" t="n">
        <x:f>'03_Parameter'!L123</x:f>
        <x:v>1</x:v>
      </x:c>
      <x:c r="L20" s="28" t="n">
        <x:f>'02_Data_Layanan'!H85*K20</x:f>
        <x:v>279</x:v>
      </x:c>
      <x:c r="M20" s="29" t="n">
        <x:f>'02_Data_Layanan'!I85*K20</x:f>
        <x:v>1104007100</x:v>
      </x:c>
      <x:c r="N20" s="11" t="n">
        <x:f>C20+F20-(I20+L20)</x:f>
        <x:v>158372.11800000002</x:v>
      </x:c>
      <x:c r="O20" s="11" t="n">
        <x:f>$B$6+N20</x:f>
        <x:v>172063.11800000002</x:v>
      </x:c>
      <x:c r="P20" s="30" t="n">
        <x:f>IF($B$6=0,0,N20/$B$6)</x:f>
        <x:v>11.567607771528742</x:v>
      </x:c>
      <x:c r="Q20" s="10" t="n">
        <x:f>D20+G20-(J20+M20)</x:f>
        <x:v>161220124456.82123</x:v>
      </x:c>
      <x:c r="R20" s="10" t="n">
        <x:f>$B$7+Q20</x:f>
        <x:v>180971682156.82123</x:v>
      </x:c>
      <x:c r="S20" s="30" t="n">
        <x:f>IF($B$7=0,0,Q20/$B$7)</x:f>
        <x:v>8.162400500534762</x:v>
      </x:c>
    </x:row>
    <x:row r="21">
      <x:c r="A21" s="25" t="str">
        <x:v>Skenario 3</x:v>
      </x:c>
      <x:c r="B21" s="13" t="n">
        <x:f>'03_Parameter'!G124</x:f>
        <x:v>0.28300000000000003</x:v>
      </x:c>
      <x:c r="C21" s="26" t="n">
        <x:f>'02_Data_Layanan'!N84*B21</x:f>
        <x:v>45860.433000000005</x:v>
      </x:c>
      <x:c r="D21" s="27" t="n">
        <x:f>'02_Data_Layanan'!O84*B21</x:f>
        <x:v>107465060321.09764</x:v>
      </x:c>
      <x:c r="E21" s="13" t="n">
        <x:f>'03_Parameter'!F124</x:f>
        <x:v>0.205</x:v>
      </x:c>
      <x:c r="F21" s="26" t="n">
        <x:f>'02_Data_Layanan'!N83*E21</x:f>
        <x:v>258262.485</x:v>
      </x:c>
      <x:c r="G21" s="27" t="n">
        <x:f>'02_Data_Layanan'!O83*E21</x:f>
        <x:v>185594132255.06668</x:v>
      </x:c>
      <x:c r="H21" s="13" t="n">
        <x:f>'03_Parameter'!I124</x:f>
        <x:v>0.7</x:v>
      </x:c>
      <x:c r="I21" s="28" t="n">
        <x:f>'02_Data_Layanan'!H82*H21</x:f>
        <x:v>3832.4999999999995</x:v>
      </x:c>
      <x:c r="J21" s="29" t="n">
        <x:f>'02_Data_Layanan'!I82*H21</x:f>
        <x:v>2599121490</x:v>
      </x:c>
      <x:c r="K21" s="13" t="n">
        <x:f>'03_Parameter'!L124</x:f>
        <x:v>1</x:v>
      </x:c>
      <x:c r="L21" s="28" t="n">
        <x:f>'02_Data_Layanan'!H85*K21</x:f>
        <x:v>279</x:v>
      </x:c>
      <x:c r="M21" s="29" t="n">
        <x:f>'02_Data_Layanan'!I85*K21</x:f>
        <x:v>1104007100</x:v>
      </x:c>
      <x:c r="N21" s="11" t="n">
        <x:f>C21+F21-(I21+L21)</x:f>
        <x:v>300011.418</x:v>
      </x:c>
      <x:c r="O21" s="11" t="n">
        <x:f>$B$6+N21</x:f>
        <x:v>313702.418</x:v>
      </x:c>
      <x:c r="P21" s="30" t="n">
        <x:f>IF($B$6=0,0,N21/$B$6)</x:f>
        <x:v>21.91303907676576</x:v>
      </x:c>
      <x:c r="Q21" s="10" t="n">
        <x:f>D21+G21-(J21+M21)</x:f>
        <x:v>289356063986.1643</x:v>
      </x:c>
      <x:c r="R21" s="10" t="n">
        <x:f>$B$7+Q21</x:f>
        <x:v>309107621686.1643</x:v>
      </x:c>
      <x:c r="S21" s="30" t="n">
        <x:f>IF($B$7=0,0,Q21/$B$7)</x:f>
        <x:v>14.649784507181645</x:v>
      </x:c>
    </x:row>
    <x:row r="22">
      <x:c r="A22" s="25" t="str">
        <x:v>Skenario 4</x:v>
      </x:c>
      <x:c r="B22" s="13" t="n">
        <x:f>'03_Parameter'!G125</x:f>
        <x:v>0.38299999999999995</x:v>
      </x:c>
      <x:c r="C22" s="26" t="n">
        <x:f>'02_Data_Layanan'!N84*B22</x:f>
        <x:v>62065.53299999999</x:v>
      </x:c>
      <x:c r="D22" s="27" t="n">
        <x:f>'02_Data_Layanan'!O84*B22</x:f>
        <x:v>145438579869.18863</x:v>
      </x:c>
      <x:c r="E22" s="13" t="n">
        <x:f>'03_Parameter'!F125</x:f>
        <x:v>0.305</x:v>
      </x:c>
      <x:c r="F22" s="26" t="n">
        <x:f>'02_Data_Layanan'!N83*E22</x:f>
        <x:v>384244.185</x:v>
      </x:c>
      <x:c r="G22" s="27" t="n">
        <x:f>'02_Data_Layanan'!O83*E22</x:f>
        <x:v>276127855306.3187</x:v>
      </x:c>
      <x:c r="H22" s="13" t="n">
        <x:f>'03_Parameter'!I125</x:f>
        <x:v>0.8</x:v>
      </x:c>
      <x:c r="I22" s="28" t="n">
        <x:f>'02_Data_Layanan'!H82*H22</x:f>
        <x:v>4380</x:v>
      </x:c>
      <x:c r="J22" s="29" t="n">
        <x:f>'02_Data_Layanan'!I82*H22</x:f>
        <x:v>2970424560</x:v>
      </x:c>
      <x:c r="K22" s="13" t="n">
        <x:f>'03_Parameter'!L125</x:f>
        <x:v>1</x:v>
      </x:c>
      <x:c r="L22" s="28" t="n">
        <x:f>'02_Data_Layanan'!H85*K22</x:f>
        <x:v>279</x:v>
      </x:c>
      <x:c r="M22" s="29" t="n">
        <x:f>'02_Data_Layanan'!I85*K22</x:f>
        <x:v>1104007100</x:v>
      </x:c>
      <x:c r="N22" s="11" t="n">
        <x:f>C22+F22-(I22+L22)</x:f>
        <x:v>441650.718</x:v>
      </x:c>
      <x:c r="O22" s="11" t="n">
        <x:f>$B$6+N22</x:f>
        <x:v>455341.718</x:v>
      </x:c>
      <x:c r="P22" s="30" t="n">
        <x:f>IF($B$6=0,0,N22/$B$6)</x:f>
        <x:v>32.25847038200278</x:v>
      </x:c>
      <x:c r="Q22" s="10" t="n">
        <x:f>D22+G22-(J22+M22)</x:f>
        <x:v>417492003515.5073</x:v>
      </x:c>
      <x:c r="R22" s="10" t="n">
        <x:f>$B$7+Q22</x:f>
        <x:v>437243561215.5073</x:v>
      </x:c>
      <x:c r="S22" s="30" t="n">
        <x:f>IF($B$7=0,0,Q22/$B$7)</x:f>
        <x:v>21.137168513828524</x:v>
      </x:c>
    </x:row>
    <x:row r="23">
      <x:c r="A23" s="25" t="str">
        <x:v>Skenario 5</x:v>
      </x:c>
      <x:c r="B23" s="13" t="n">
        <x:f>'03_Parameter'!G126</x:f>
        <x:v>0.483</x:v>
      </x:c>
      <x:c r="C23" s="26" t="n">
        <x:f>'02_Data_Layanan'!N84*B23</x:f>
        <x:v>78270.633</x:v>
      </x:c>
      <x:c r="D23" s="27" t="n">
        <x:f>'02_Data_Layanan'!O84*B23</x:f>
        <x:v>183412099417.2797</x:v>
      </x:c>
      <x:c r="E23" s="13" t="n">
        <x:f>'03_Parameter'!F126</x:f>
        <x:v>0.405</x:v>
      </x:c>
      <x:c r="F23" s="26" t="n">
        <x:f>'02_Data_Layanan'!N83*E23</x:f>
        <x:v>510225.885</x:v>
      </x:c>
      <x:c r="G23" s="27" t="n">
        <x:f>'02_Data_Layanan'!O83*E23</x:f>
        <x:v>366661578357.5708</x:v>
      </x:c>
      <x:c r="H23" s="13" t="n">
        <x:f>'03_Parameter'!I126</x:f>
        <x:v>0.9</x:v>
      </x:c>
      <x:c r="I23" s="28" t="n">
        <x:f>'02_Data_Layanan'!H82*H23</x:f>
        <x:v>4927.5</x:v>
      </x:c>
      <x:c r="J23" s="29" t="n">
        <x:f>'02_Data_Layanan'!I82*H23</x:f>
        <x:v>3341727630</x:v>
      </x:c>
      <x:c r="K23" s="13" t="n">
        <x:f>'03_Parameter'!L126</x:f>
        <x:v>1</x:v>
      </x:c>
      <x:c r="L23" s="28" t="n">
        <x:f>'02_Data_Layanan'!H85*K23</x:f>
        <x:v>279</x:v>
      </x:c>
      <x:c r="M23" s="29" t="n">
        <x:f>'02_Data_Layanan'!I85*K23</x:f>
        <x:v>1104007100</x:v>
      </x:c>
      <x:c r="N23" s="11" t="n">
        <x:f>C23+F23-(I23+L23)</x:f>
        <x:v>583290.018</x:v>
      </x:c>
      <x:c r="O23" s="11" t="n">
        <x:f>$B$6+N23</x:f>
        <x:v>596981.018</x:v>
      </x:c>
      <x:c r="P23" s="30" t="n">
        <x:f>IF($B$6=0,0,N23/$B$6)</x:f>
        <x:v>42.6039016872398</x:v>
      </x:c>
      <x:c r="Q23" s="10" t="n">
        <x:f>D23+G23-(J23+M23)</x:f>
        <x:v>545627943044.85046</x:v>
      </x:c>
      <x:c r="R23" s="10" t="n">
        <x:f>$B$7+Q23</x:f>
        <x:v>565379500744.8505</x:v>
      </x:c>
      <x:c r="S23" s="30" t="n">
        <x:f>IF($B$7=0,0,Q23/$B$7)</x:f>
        <x:v>27.624552520475408</x:v>
      </x:c>
    </x:row>
    <x:row r="24">
      <x:c r="A24" s="25" t="str">
        <x:v>Skenario 6</x:v>
      </x:c>
      <x:c r="B24" s="13" t="n">
        <x:f>'03_Parameter'!G127</x:f>
        <x:v>0.583</x:v>
      </x:c>
      <x:c r="C24" s="26" t="n">
        <x:f>'02_Data_Layanan'!N84*B24</x:f>
        <x:v>94475.733</x:v>
      </x:c>
      <x:c r="D24" s="27" t="n">
        <x:f>'02_Data_Layanan'!O84*B24</x:f>
        <x:v>221385618965.37073</x:v>
      </x:c>
      <x:c r="E24" s="13" t="n">
        <x:f>'03_Parameter'!F127</x:f>
        <x:v>0.505</x:v>
      </x:c>
      <x:c r="F24" s="26" t="n">
        <x:f>'02_Data_Layanan'!N83*E24</x:f>
        <x:v>636207.585</x:v>
      </x:c>
      <x:c r="G24" s="27" t="n">
        <x:f>'02_Data_Layanan'!O83*E24</x:f>
        <x:v>457195301408.8228</x:v>
      </x:c>
      <x:c r="H24" s="13" t="n">
        <x:f>'03_Parameter'!I127</x:f>
        <x:v>1</x:v>
      </x:c>
      <x:c r="I24" s="28" t="n">
        <x:f>'02_Data_Layanan'!H82*H24</x:f>
        <x:v>5475</x:v>
      </x:c>
      <x:c r="J24" s="29" t="n">
        <x:f>'02_Data_Layanan'!I82*H24</x:f>
        <x:v>3713030700</x:v>
      </x:c>
      <x:c r="K24" s="13" t="n">
        <x:f>'03_Parameter'!L127</x:f>
        <x:v>1</x:v>
      </x:c>
      <x:c r="L24" s="28" t="n">
        <x:f>'02_Data_Layanan'!H85*K24</x:f>
        <x:v>279</x:v>
      </x:c>
      <x:c r="M24" s="29" t="n">
        <x:f>'02_Data_Layanan'!I85*K24</x:f>
        <x:v>1104007100</x:v>
      </x:c>
      <x:c r="N24" s="11" t="n">
        <x:f>C24+F24-(I24+L24)</x:f>
        <x:v>724929.318</x:v>
      </x:c>
      <x:c r="O24" s="11" t="n">
        <x:f>$B$6+N24</x:f>
        <x:v>738620.318</x:v>
      </x:c>
      <x:c r="P24" s="30" t="n">
        <x:f>IF($B$6=0,0,N24/$B$6)</x:f>
        <x:v>52.949332992476805</x:v>
      </x:c>
      <x:c r="Q24" s="10" t="n">
        <x:f>D24+G24-(J24+M24)</x:f>
        <x:v>673763882574.1936</x:v>
      </x:c>
      <x:c r="R24" s="10" t="n">
        <x:f>$B$7+Q24</x:f>
        <x:v>693515440274.1936</x:v>
      </x:c>
      <x:c r="S24" s="30" t="n">
        <x:f>IF($B$7=0,0,Q24/$B$7)</x:f>
        <x:v>34.111936527122296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Trauma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0.01097227590896178</x:v>
      </x:c>
      <x:c r="K5" s="16" t="str">
        <x:v>Setara/lebih tinggi</x:v>
      </x:c>
      <x:c r="L5" s="11" t="n">
        <x:f>'02_Data_Layanan'!Q86</x:f>
        <x:v>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SUM('02_Data_Layanan'!H86,'02_Data_Layanan'!H87,'02_Data_Layanan'!H88,'02_Data_Layanan'!H89)</x:f>
        <x:v>2356</x:v>
      </x:c>
      <x:c r="C6" s="7" t="str"/>
      <x:c r="D6" s="7" t="str"/>
      <x:c r="E6" s="15" t="str">
        <x:v>Total Kasus</x:v>
      </x:c>
      <x:c r="F6" s="18" t="n">
        <x:f>SUM('02_Data_Layanan'!K86,'02_Data_Layanan'!K87,'02_Data_Layanan'!K88,'02_Data_Layanan'!K89)</x:f>
        <x:v>214723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 Umum Daerah  Arifin Achmad; RS Umum Pusat Dr. Hasan Sadikin; RS Umum Santosa Hospital Bandung Central; RS Umum Daerah Dr. Soetomo; RSUP Prof. Dr. I.G.N.G. Ngoerah; RSUP Dr. Sardjito; RS Umum Panti Rapih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SUM('02_Data_Layanan'!I86,'02_Data_Layanan'!I87,'02_Data_Layanan'!I88,'02_Data_Layanan'!I89)</x:f>
        <x:v>20967895100</x:v>
      </x:c>
      <x:c r="C7" s="7" t="str"/>
      <x:c r="D7" s="7" t="str"/>
      <x:c r="E7" s="15" t="str">
        <x:v>Pendapatan INA</x:v>
      </x:c>
      <x:c r="F7" s="19" t="n">
        <x:f>SUM('02_Data_Layanan'!L86,'02_Data_Layanan'!L87,'02_Data_Layanan'!L88,'02_Data_Layanan'!L89)</x:f>
        <x:v>484048541995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SUM('02_Data_Layanan'!J86,'02_Data_Layanan'!J87,'02_Data_Layanan'!J88,'02_Data_Layanan'!J89)</x:f>
        <x:v>20464528150.739998</x:v>
      </x:c>
      <x:c r="C8" s="7" t="str"/>
      <x:c r="D8" s="7" t="str"/>
      <x:c r="E8" s="15" t="str">
        <x:v>Pendapatan iDRG</x:v>
      </x:c>
      <x:c r="F8" s="19" t="n">
        <x:f>SUM('02_Data_Layanan'!M86,'02_Data_Layanan'!M87,'02_Data_Layanan'!M88,'02_Data_Layanan'!M89)</x:f>
        <x:v>793631467418.7605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'02_Data_Layanan'!H86</x:f>
        <x:v>912</x:v>
      </x:c>
      <x:c r="C11" s="21" t="n">
        <x:f>'02_Data_Layanan'!I86</x:f>
        <x:v>520881000</x:v>
      </x:c>
      <x:c r="D11" s="21" t="n">
        <x:f>'02_Data_Layanan'!J86</x:f>
        <x:v>688893631.14</x:v>
      </x:c>
      <x:c r="E11" s="20" t="n">
        <x:f>'02_Data_Layanan'!K86</x:f>
        <x:v>130094</x:v>
      </x:c>
      <x:c r="F11" s="21" t="n">
        <x:f>'02_Data_Layanan'!L86</x:f>
        <x:v>48768656400</x:v>
      </x:c>
      <x:c r="G11" s="21" t="n">
        <x:f>'02_Data_Layanan'!M86</x:f>
        <x:v>78257446369.68971</x:v>
      </x:c>
      <x:c r="H11" s="20" t="n">
        <x:f>'02_Data_Layanan'!N86</x:f>
        <x:v>129182</x:v>
      </x:c>
      <x:c r="I11" s="21" t="n">
        <x:f>'02_Data_Layanan'!O86</x:f>
        <x:v>77568552738.54971</x:v>
      </x:c>
      <x:c r="J11" s="20" t="n">
        <x:f>'02_Data_Layanan'!P86</x:f>
        <x:v>869</x:v>
      </x:c>
    </x:row>
    <x:row r="12">
      <x:c r="A12" s="5" t="str">
        <x:v>Madya</x:v>
      </x:c>
      <x:c r="B12" s="20" t="n">
        <x:f>'02_Data_Layanan'!H87</x:f>
        <x:v>612</x:v>
      </x:c>
      <x:c r="C12" s="21" t="n">
        <x:f>'02_Data_Layanan'!I87</x:f>
        <x:v>2395929300</x:v>
      </x:c>
      <x:c r="D12" s="21" t="n">
        <x:f>'02_Data_Layanan'!J87</x:f>
        <x:v>2248455984.46</x:v>
      </x:c>
      <x:c r="E12" s="20" t="n">
        <x:f>'02_Data_Layanan'!K87</x:f>
        <x:v>49545</x:v>
      </x:c>
      <x:c r="F12" s="21" t="n">
        <x:f>'02_Data_Layanan'!L87</x:f>
        <x:v>81196378400</x:v>
      </x:c>
      <x:c r="G12" s="21" t="n">
        <x:f>'02_Data_Layanan'!M87</x:f>
        <x:v>146037690058.02014</x:v>
      </x:c>
      <x:c r="H12" s="20" t="n">
        <x:f>'02_Data_Layanan'!N87</x:f>
        <x:v>48933</x:v>
      </x:c>
      <x:c r="I12" s="21" t="n">
        <x:f>'02_Data_Layanan'!O87</x:f>
        <x:v>143789234073.56015</x:v>
      </x:c>
      <x:c r="J12" s="20" t="n">
        <x:f>'02_Data_Layanan'!P87</x:f>
        <x:v>200</x:v>
      </x:c>
    </x:row>
    <x:row r="13">
      <x:c r="A13" s="5" t="str">
        <x:v>Utama</x:v>
      </x:c>
      <x:c r="B13" s="20" t="n">
        <x:f>'02_Data_Layanan'!H88</x:f>
        <x:v>601</x:v>
      </x:c>
      <x:c r="C13" s="21" t="n">
        <x:f>'02_Data_Layanan'!I88</x:f>
        <x:v>9958322900</x:v>
      </x:c>
      <x:c r="D13" s="21" t="n">
        <x:f>'02_Data_Layanan'!J88</x:f>
        <x:v>10009499639.42</x:v>
      </x:c>
      <x:c r="E13" s="20" t="n">
        <x:f>'02_Data_Layanan'!K88</x:f>
        <x:v>30546</x:v>
      </x:c>
      <x:c r="F13" s="21" t="n">
        <x:f>'02_Data_Layanan'!L88</x:f>
        <x:v>273335317500</x:v>
      </x:c>
      <x:c r="G13" s="21" t="n">
        <x:f>'02_Data_Layanan'!M88</x:f>
        <x:v>466457744409.5807</x:v>
      </x:c>
      <x:c r="H13" s="20" t="n">
        <x:f>'02_Data_Layanan'!N88</x:f>
        <x:v>29945</x:v>
      </x:c>
      <x:c r="I13" s="21" t="n">
        <x:f>'02_Data_Layanan'!O88</x:f>
        <x:v>456448244770.1607</x:v>
      </x:c>
      <x:c r="J13" s="20" t="n">
        <x:f>'02_Data_Layanan'!P88</x:f>
        <x:v>30</x:v>
      </x:c>
    </x:row>
    <x:row r="14">
      <x:c r="A14" s="5" t="str">
        <x:v>Paripurna</x:v>
      </x:c>
      <x:c r="B14" s="20" t="n">
        <x:f>'02_Data_Layanan'!H89</x:f>
        <x:v>231</x:v>
      </x:c>
      <x:c r="C14" s="21" t="n">
        <x:f>'02_Data_Layanan'!I89</x:f>
        <x:v>8092761900</x:v>
      </x:c>
      <x:c r="D14" s="21" t="n">
        <x:f>'02_Data_Layanan'!J89</x:f>
        <x:v>7517678895.719999</x:v>
      </x:c>
      <x:c r="E14" s="20" t="n">
        <x:f>'02_Data_Layanan'!K89</x:f>
        <x:v>4538</x:v>
      </x:c>
      <x:c r="F14" s="21" t="n">
        <x:f>'02_Data_Layanan'!L89</x:f>
        <x:v>80748189695</x:v>
      </x:c>
      <x:c r="G14" s="21" t="n">
        <x:f>'02_Data_Layanan'!M89</x:f>
        <x:v>102878586581.46994</x:v>
      </x:c>
      <x:c r="H14" s="20" t="n">
        <x:f>'02_Data_Layanan'!N89</x:f>
        <x:v>4307</x:v>
      </x:c>
      <x:c r="I14" s="21" t="n">
        <x:f>'02_Data_Layanan'!O89</x:f>
        <x:v>95360907685.74994</x:v>
      </x:c>
      <x:c r="J14" s="20" t="n">
        <x:f>'02_Data_Layanan'!P89</x:f>
        <x:v>7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'03_Parameter'!H128</x:f>
        <x:v>0.125</x:v>
      </x:c>
      <x:c r="C19" s="26" t="n">
        <x:f>'02_Data_Layanan'!N89*B19</x:f>
        <x:v>538.375</x:v>
      </x:c>
      <x:c r="D19" s="27" t="n">
        <x:f>'02_Data_Layanan'!O89*B19</x:f>
        <x:v>11920113460.718742</x:v>
      </x:c>
      <x:c r="E19" s="13" t="n">
        <x:f>'03_Parameter'!G128</x:f>
        <x:v>0.026000000000000002</x:v>
      </x:c>
      <x:c r="F19" s="26" t="n">
        <x:f>'02_Data_Layanan'!N88*E19</x:f>
        <x:v>778.57</x:v>
      </x:c>
      <x:c r="G19" s="27" t="n">
        <x:f>'02_Data_Layanan'!O88*E19</x:f>
        <x:v>11867654364.02418</x:v>
      </x:c>
      <x:c r="H19" s="13" t="n">
        <x:f>'03_Parameter'!I128</x:f>
        <x:v>0.5</x:v>
      </x:c>
      <x:c r="I19" s="28" t="n">
        <x:f>'02_Data_Layanan'!H86*H19</x:f>
        <x:v>456</x:v>
      </x:c>
      <x:c r="J19" s="29" t="n">
        <x:f>'02_Data_Layanan'!I86*H19</x:f>
        <x:v>260440500</x:v>
      </x:c>
      <x:c r="K19" s="13" t="n">
        <x:f>'03_Parameter'!J128</x:f>
        <x:v>0.5</x:v>
      </x:c>
      <x:c r="L19" s="28" t="n">
        <x:f>'02_Data_Layanan'!H87*K19</x:f>
        <x:v>306</x:v>
      </x:c>
      <x:c r="M19" s="29" t="n">
        <x:f>'02_Data_Layanan'!I87*K19</x:f>
        <x:v>1197964650</x:v>
      </x:c>
      <x:c r="N19" s="11" t="n">
        <x:f>C19+F19-(I19+L19)</x:f>
        <x:v>554.9450000000002</x:v>
      </x:c>
      <x:c r="O19" s="11" t="n">
        <x:f>$B$6+N19</x:f>
        <x:v>2910.945</x:v>
      </x:c>
      <x:c r="P19" s="30" t="n">
        <x:f>IF($B$6=0,0,N19/$B$6)</x:f>
        <x:v>0.23554541595925305</x:v>
      </x:c>
      <x:c r="Q19" s="10" t="n">
        <x:f>D19+G19-(J19+M19)</x:f>
        <x:v>22329362674.74292</x:v>
      </x:c>
      <x:c r="R19" s="10" t="n">
        <x:f>$B$7+Q19</x:f>
        <x:v>43297257774.74292</x:v>
      </x:c>
      <x:c r="S19" s="30" t="n">
        <x:f>IF($B$7=0,0,Q19/$B$7)</x:f>
        <x:v>1.0649310561813579</x:v>
      </x:c>
    </x:row>
    <x:row r="20">
      <x:c r="A20" s="25" t="str">
        <x:v>Skenario 2</x:v>
      </x:c>
      <x:c r="B20" s="13" t="n">
        <x:f>'03_Parameter'!H129</x:f>
        <x:v>0.225</x:v>
      </x:c>
      <x:c r="C20" s="26" t="n">
        <x:f>'02_Data_Layanan'!N89*B20</x:f>
        <x:v>969.075</x:v>
      </x:c>
      <x:c r="D20" s="27" t="n">
        <x:f>'02_Data_Layanan'!O89*B20</x:f>
        <x:v>21456204229.293736</x:v>
      </x:c>
      <x:c r="E20" s="13" t="n">
        <x:f>'03_Parameter'!G129</x:f>
        <x:v>0.126</x:v>
      </x:c>
      <x:c r="F20" s="26" t="n">
        <x:f>'02_Data_Layanan'!N88*E20</x:f>
        <x:v>3773.07</x:v>
      </x:c>
      <x:c r="G20" s="27" t="n">
        <x:f>'02_Data_Layanan'!O88*E20</x:f>
        <x:v>57512478841.04025</x:v>
      </x:c>
      <x:c r="H20" s="13" t="n">
        <x:f>'03_Parameter'!I129</x:f>
        <x:v>0.6</x:v>
      </x:c>
      <x:c r="I20" s="28" t="n">
        <x:f>'02_Data_Layanan'!H86*H20</x:f>
        <x:v>547.1999999999999</x:v>
      </x:c>
      <x:c r="J20" s="29" t="n">
        <x:f>'02_Data_Layanan'!I86*H20</x:f>
        <x:v>312528600</x:v>
      </x:c>
      <x:c r="K20" s="13" t="n">
        <x:f>'03_Parameter'!J129</x:f>
        <x:v>0.6</x:v>
      </x:c>
      <x:c r="L20" s="28" t="n">
        <x:f>'02_Data_Layanan'!H87*K20</x:f>
        <x:v>367.2</x:v>
      </x:c>
      <x:c r="M20" s="29" t="n">
        <x:f>'02_Data_Layanan'!I87*K20</x:f>
        <x:v>1437557580</x:v>
      </x:c>
      <x:c r="N20" s="11" t="n">
        <x:f>C20+F20-(I20+L20)</x:f>
        <x:v>3827.745000000001</x:v>
      </x:c>
      <x:c r="O20" s="11" t="n">
        <x:f>$B$6+N20</x:f>
        <x:v>6183.745000000001</x:v>
      </x:c>
      <x:c r="P20" s="30" t="n">
        <x:f>IF($B$6=0,0,N20/$B$6)</x:f>
        <x:v>1.6246795415959256</x:v>
      </x:c>
      <x:c r="Q20" s="10" t="n">
        <x:f>D20+G20-(J20+M20)</x:f>
        <x:v>77218596890.33398</x:v>
      </x:c>
      <x:c r="R20" s="10" t="n">
        <x:f>$B$7+Q20</x:f>
        <x:v>98186491990.33398</x:v>
      </x:c>
      <x:c r="S20" s="30" t="n">
        <x:f>IF($B$7=0,0,Q20/$B$7)</x:f>
        <x:v>3.6827061811432844</x:v>
      </x:c>
    </x:row>
    <x:row r="21">
      <x:c r="A21" s="25" t="str">
        <x:v>Skenario 3</x:v>
      </x:c>
      <x:c r="B21" s="13" t="n">
        <x:f>'03_Parameter'!H130</x:f>
        <x:v>0.325</x:v>
      </x:c>
      <x:c r="C21" s="26" t="n">
        <x:f>'02_Data_Layanan'!N89*B21</x:f>
        <x:v>1399.775</x:v>
      </x:c>
      <x:c r="D21" s="27" t="n">
        <x:f>'02_Data_Layanan'!O89*B21</x:f>
        <x:v>30992294997.868732</x:v>
      </x:c>
      <x:c r="E21" s="13" t="n">
        <x:f>'03_Parameter'!G130</x:f>
        <x:v>0.226</x:v>
      </x:c>
      <x:c r="F21" s="26" t="n">
        <x:f>'02_Data_Layanan'!N88*E21</x:f>
        <x:v>6767.570000000001</x:v>
      </x:c>
      <x:c r="G21" s="27" t="n">
        <x:f>'02_Data_Layanan'!O88*E21</x:f>
        <x:v>103157303318.05632</x:v>
      </x:c>
      <x:c r="H21" s="13" t="n">
        <x:f>'03_Parameter'!I130</x:f>
        <x:v>0.7</x:v>
      </x:c>
      <x:c r="I21" s="28" t="n">
        <x:f>'02_Data_Layanan'!H86*H21</x:f>
        <x:v>638.4</x:v>
      </x:c>
      <x:c r="J21" s="29" t="n">
        <x:f>'02_Data_Layanan'!I86*H21</x:f>
        <x:v>364616700</x:v>
      </x:c>
      <x:c r="K21" s="13" t="n">
        <x:f>'03_Parameter'!J130</x:f>
        <x:v>0.7</x:v>
      </x:c>
      <x:c r="L21" s="28" t="n">
        <x:f>'02_Data_Layanan'!H87*K21</x:f>
        <x:v>428.4</x:v>
      </x:c>
      <x:c r="M21" s="29" t="n">
        <x:f>'02_Data_Layanan'!I87*K21</x:f>
        <x:v>1677150510</x:v>
      </x:c>
      <x:c r="N21" s="11" t="n">
        <x:f>C21+F21-(I21+L21)</x:f>
        <x:v>7100.545000000001</x:v>
      </x:c>
      <x:c r="O21" s="11" t="n">
        <x:f>$B$6+N21</x:f>
        <x:v>9456.545000000002</x:v>
      </x:c>
      <x:c r="P21" s="30" t="n">
        <x:f>IF($B$6=0,0,N21/$B$6)</x:f>
        <x:v>3.013813667232598</x:v>
      </x:c>
      <x:c r="Q21" s="10" t="n">
        <x:f>D21+G21-(J21+M21)</x:f>
        <x:v>132107831105.92505</x:v>
      </x:c>
      <x:c r="R21" s="10" t="n">
        <x:f>$B$7+Q21</x:f>
        <x:v>153075726205.92505</x:v>
      </x:c>
      <x:c r="S21" s="30" t="n">
        <x:f>IF($B$7=0,0,Q21/$B$7)</x:f>
        <x:v>6.300481306105211</x:v>
      </x:c>
    </x:row>
    <x:row r="22">
      <x:c r="A22" s="25" t="str">
        <x:v>Skenario 4</x:v>
      </x:c>
      <x:c r="B22" s="13" t="n">
        <x:f>'03_Parameter'!H131</x:f>
        <x:v>0.425</x:v>
      </x:c>
      <x:c r="C22" s="26" t="n">
        <x:f>'02_Data_Layanan'!N89*B22</x:f>
        <x:v>1830.475</x:v>
      </x:c>
      <x:c r="D22" s="27" t="n">
        <x:f>'02_Data_Layanan'!O89*B22</x:f>
        <x:v>40528385766.443726</x:v>
      </x:c>
      <x:c r="E22" s="13" t="n">
        <x:f>'03_Parameter'!G131</x:f>
        <x:v>0.326</x:v>
      </x:c>
      <x:c r="F22" s="26" t="n">
        <x:f>'02_Data_Layanan'!N88*E22</x:f>
        <x:v>9762.07</x:v>
      </x:c>
      <x:c r="G22" s="27" t="n">
        <x:f>'02_Data_Layanan'!O88*E22</x:f>
        <x:v>148802127795.0724</x:v>
      </x:c>
      <x:c r="H22" s="13" t="n">
        <x:f>'03_Parameter'!I131</x:f>
        <x:v>0.8</x:v>
      </x:c>
      <x:c r="I22" s="28" t="n">
        <x:f>'02_Data_Layanan'!H86*H22</x:f>
        <x:v>729.6</x:v>
      </x:c>
      <x:c r="J22" s="29" t="n">
        <x:f>'02_Data_Layanan'!I86*H22</x:f>
        <x:v>416704800</x:v>
      </x:c>
      <x:c r="K22" s="13" t="n">
        <x:f>'03_Parameter'!J131</x:f>
        <x:v>0.8</x:v>
      </x:c>
      <x:c r="L22" s="28" t="n">
        <x:f>'02_Data_Layanan'!H87*K22</x:f>
        <x:v>489.6</x:v>
      </x:c>
      <x:c r="M22" s="29" t="n">
        <x:f>'02_Data_Layanan'!I87*K22</x:f>
        <x:v>1916743440</x:v>
      </x:c>
      <x:c r="N22" s="11" t="n">
        <x:f>C22+F22-(I22+L22)</x:f>
        <x:v>10373.345</x:v>
      </x:c>
      <x:c r="O22" s="11" t="n">
        <x:f>$B$6+N22</x:f>
        <x:v>12729.345</x:v>
      </x:c>
      <x:c r="P22" s="30" t="n">
        <x:f>IF($B$6=0,0,N22/$B$6)</x:f>
        <x:v>4.40294779286927</x:v>
      </x:c>
      <x:c r="Q22" s="10" t="n">
        <x:f>D22+G22-(J22+M22)</x:f>
        <x:v>186997065321.5161</x:v>
      </x:c>
      <x:c r="R22" s="10" t="n">
        <x:f>$B$7+Q22</x:f>
        <x:v>207964960421.5161</x:v>
      </x:c>
      <x:c r="S22" s="30" t="n">
        <x:f>IF($B$7=0,0,Q22/$B$7)</x:f>
        <x:v>8.918256431067137</x:v>
      </x:c>
    </x:row>
    <x:row r="23">
      <x:c r="A23" s="25" t="str">
        <x:v>Skenario 5</x:v>
      </x:c>
      <x:c r="B23" s="13" t="n">
        <x:f>'03_Parameter'!H132</x:f>
        <x:v>0.525</x:v>
      </x:c>
      <x:c r="C23" s="26" t="n">
        <x:f>'02_Data_Layanan'!N89*B23</x:f>
        <x:v>2261.175</x:v>
      </x:c>
      <x:c r="D23" s="27" t="n">
        <x:f>'02_Data_Layanan'!O89*B23</x:f>
        <x:v>50064476535.01872</x:v>
      </x:c>
      <x:c r="E23" s="13" t="n">
        <x:f>'03_Parameter'!G132</x:f>
        <x:v>0.426</x:v>
      </x:c>
      <x:c r="F23" s="26" t="n">
        <x:f>'02_Data_Layanan'!N88*E23</x:f>
        <x:v>12756.57</x:v>
      </x:c>
      <x:c r="G23" s="27" t="n">
        <x:f>'02_Data_Layanan'!O88*E23</x:f>
        <x:v>194446952272.08847</x:v>
      </x:c>
      <x:c r="H23" s="13" t="n">
        <x:f>'03_Parameter'!I132</x:f>
        <x:v>0.9</x:v>
      </x:c>
      <x:c r="I23" s="28" t="n">
        <x:f>'02_Data_Layanan'!H86*H23</x:f>
        <x:v>820.8000000000001</x:v>
      </x:c>
      <x:c r="J23" s="29" t="n">
        <x:f>'02_Data_Layanan'!I86*H23</x:f>
        <x:v>468792900</x:v>
      </x:c>
      <x:c r="K23" s="13" t="n">
        <x:f>'03_Parameter'!J132</x:f>
        <x:v>0.9</x:v>
      </x:c>
      <x:c r="L23" s="28" t="n">
        <x:f>'02_Data_Layanan'!H87*K23</x:f>
        <x:v>550.8000000000001</x:v>
      </x:c>
      <x:c r="M23" s="29" t="n">
        <x:f>'02_Data_Layanan'!I87*K23</x:f>
        <x:v>2156336370</x:v>
      </x:c>
      <x:c r="N23" s="11" t="n">
        <x:f>C23+F23-(I23+L23)</x:f>
        <x:v>13646.144999999999</x:v>
      </x:c>
      <x:c r="O23" s="11" t="n">
        <x:f>$B$6+N23</x:f>
        <x:v>16002.144999999999</x:v>
      </x:c>
      <x:c r="P23" s="30" t="n">
        <x:f>IF($B$6=0,0,N23/$B$6)</x:f>
        <x:v>5.792081918505942</x:v>
      </x:c>
      <x:c r="Q23" s="10" t="n">
        <x:f>D23+G23-(J23+M23)</x:f>
        <x:v>241886299537.10718</x:v>
      </x:c>
      <x:c r="R23" s="10" t="n">
        <x:f>$B$7+Q23</x:f>
        <x:v>262854194637.10718</x:v>
      </x:c>
      <x:c r="S23" s="30" t="n">
        <x:f>IF($B$7=0,0,Q23/$B$7)</x:f>
        <x:v>11.536031556029064</x:v>
      </x:c>
    </x:row>
    <x:row r="24">
      <x:c r="A24" s="25" t="str">
        <x:v>Skenario 6</x:v>
      </x:c>
      <x:c r="B24" s="13" t="n">
        <x:f>'03_Parameter'!H133</x:f>
        <x:v>0.625</x:v>
      </x:c>
      <x:c r="C24" s="26" t="n">
        <x:f>'02_Data_Layanan'!N89*B24</x:f>
        <x:v>2691.875</x:v>
      </x:c>
      <x:c r="D24" s="27" t="n">
        <x:f>'02_Data_Layanan'!O89*B24</x:f>
        <x:v>59600567303.59371</x:v>
      </x:c>
      <x:c r="E24" s="13" t="n">
        <x:f>'03_Parameter'!G133</x:f>
        <x:v>0.526</x:v>
      </x:c>
      <x:c r="F24" s="26" t="n">
        <x:f>'02_Data_Layanan'!N88*E24</x:f>
        <x:v>15751.070000000002</x:v>
      </x:c>
      <x:c r="G24" s="27" t="n">
        <x:f>'02_Data_Layanan'!O88*E24</x:f>
        <x:v>240091776749.10455</x:v>
      </x:c>
      <x:c r="H24" s="13" t="n">
        <x:f>'03_Parameter'!I133</x:f>
        <x:v>1</x:v>
      </x:c>
      <x:c r="I24" s="28" t="n">
        <x:f>'02_Data_Layanan'!H86*H24</x:f>
        <x:v>912</x:v>
      </x:c>
      <x:c r="J24" s="29" t="n">
        <x:f>'02_Data_Layanan'!I86*H24</x:f>
        <x:v>520881000</x:v>
      </x:c>
      <x:c r="K24" s="13" t="n">
        <x:f>'03_Parameter'!J133</x:f>
        <x:v>1</x:v>
      </x:c>
      <x:c r="L24" s="28" t="n">
        <x:f>'02_Data_Layanan'!H87*K24</x:f>
        <x:v>612</x:v>
      </x:c>
      <x:c r="M24" s="29" t="n">
        <x:f>'02_Data_Layanan'!I87*K24</x:f>
        <x:v>2395929300</x:v>
      </x:c>
      <x:c r="N24" s="11" t="n">
        <x:f>C24+F24-(I24+L24)</x:f>
        <x:v>16918.945</x:v>
      </x:c>
      <x:c r="O24" s="11" t="n">
        <x:f>$B$6+N24</x:f>
        <x:v>19274.945</x:v>
      </x:c>
      <x:c r="P24" s="30" t="n">
        <x:f>IF($B$6=0,0,N24/$B$6)</x:f>
        <x:v>7.181216044142614</x:v>
      </x:c>
      <x:c r="Q24" s="10" t="n">
        <x:f>D24+G24-(J24+M24)</x:f>
        <x:v>296775533752.69824</x:v>
      </x:c>
      <x:c r="R24" s="10" t="n">
        <x:f>$B$7+Q24</x:f>
        <x:v>317743428852.69824</x:v>
      </x:c>
      <x:c r="S24" s="30" t="n">
        <x:f>IF($B$7=0,0,Q24/$B$7)</x:f>
        <x:v>14.15380668099099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cols>
    <x:col min="1" max="1" width="13.83203125" customWidth="1"/>
    <x:col min="2" max="2" width="12.83203125" customWidth="1"/>
    <x:col min="3" max="3" width="14.83203125" customWidth="1"/>
    <x:col min="4" max="4" width="19.83203125" customWidth="1"/>
    <x:col min="5" max="5" width="12.83203125" customWidth="1"/>
    <x:col min="6" max="6" width="14.83203125" customWidth="1"/>
    <x:col min="7" max="7" width="19.83203125" customWidth="1"/>
    <x:col min="8" max="8" width="12.83203125" customWidth="1"/>
    <x:col min="9" max="9" width="14.83203125" customWidth="1"/>
    <x:col min="10" max="10" width="19.83203125" customWidth="1"/>
    <x:col min="11" max="11" width="12.83203125" customWidth="1"/>
    <x:col min="12" max="12" width="14.83203125" customWidth="1"/>
    <x:col min="13" max="13" width="19.83203125" customWidth="1"/>
    <x:col min="14" max="14" width="15.83203125" customWidth="1"/>
    <x:col min="15" max="15" width="17.83203125" customWidth="1"/>
    <x:col min="16" max="16" width="15.83203125" customWidth="1"/>
    <x:col min="17" max="17" width="20.83203125" customWidth="1"/>
    <x:col min="18" max="18" width="21.83203125" customWidth="1"/>
    <x:col min="19" max="19" width="17.83203125" customWidth="1"/>
  </x:cols>
  <x:sheetData>
    <x:row r="1" ht="28" customHeight="1">
      <x:c r="A1" s="3" t="str">
        <x:v>SIMULASI KASUS MARKET SHARE - Uro Nefro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24" customHeight="1">
      <x:c r="A2" s="14" t="str">
        <x:v>RS Target: RS Umum Daerah Dr. Moewardi Surakarta | Kode RS: 3372015 | Sel kuning diedit pada 03_Parameter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</x:row>
    <x:row r="4">
      <x:c r="A4" s="7" t="str">
        <x:v>RS TARGET</x:v>
      </x:c>
      <x:c r="B4" s="7" t="str"/>
      <x:c r="C4" s="7" t="str"/>
      <x:c r="D4" s="7" t="str"/>
      <x:c r="E4" s="15" t="str">
        <x:v>REGIONAL</x:v>
      </x:c>
      <x:c r="F4" s="15" t="str"/>
      <x:c r="G4" s="15" t="str"/>
      <x:c r="H4" s="15" t="str"/>
      <x:c r="I4" s="4" t="str">
        <x:v>MARKET SHARE</x:v>
      </x:c>
      <x:c r="J4" s="4" t="str"/>
      <x:c r="K4" s="16" t="str">
        <x:v>KOMPETITOR</x:v>
      </x:c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</x:row>
    <x:row r="5">
      <x:c r="A5" s="7" t="str">
        <x:v>Kompetensi</x:v>
      </x:c>
      <x:c r="B5" s="7">
        <x:v>4</x:v>
      </x:c>
      <x:c r="C5" s="7" t="str">
        <x:v>Paripurna</x:v>
      </x:c>
      <x:c r="D5" s="7" t="str"/>
      <x:c r="E5" s="15" t="str">
        <x:v>Jumlah RS</x:v>
      </x:c>
      <x:c r="F5" s="15">
        <x:v>1722</x:v>
      </x:c>
      <x:c r="G5" s="15" t="str"/>
      <x:c r="H5" s="15" t="str"/>
      <x:c r="I5" s="4" t="str">
        <x:v>Eksisting</x:v>
      </x:c>
      <x:c r="J5" s="17" t="n">
        <x:f>IFERROR(B6/F6,0)</x:f>
        <x:v>0.005987189023036842</x:v>
      </x:c>
      <x:c r="K5" s="16" t="str">
        <x:v>Setara/lebih tinggi</x:v>
      </x:c>
      <x:c r="L5" s="11" t="n">
        <x:f>'02_Data_Layanan'!Q90</x:f>
        <x:v>7</x:v>
      </x:c>
      <x:c r="M5" s="16" t="str"/>
      <x:c r="N5" s="16" t="str"/>
      <x:c r="O5" s="16" t="str"/>
      <x:c r="P5" s="16" t="str"/>
      <x:c r="Q5" s="16" t="str"/>
      <x:c r="R5" s="16" t="str"/>
      <x:c r="S5" s="16" t="str"/>
    </x:row>
    <x:row r="6" ht="48" customHeight="1">
      <x:c r="A6" s="7" t="str">
        <x:v>Total Kasus</x:v>
      </x:c>
      <x:c r="B6" s="8" t="n">
        <x:f>SUM('02_Data_Layanan'!H90,'02_Data_Layanan'!H91,'02_Data_Layanan'!H92,'02_Data_Layanan'!H93)</x:f>
        <x:v>39032</x:v>
      </x:c>
      <x:c r="C6" s="7" t="str"/>
      <x:c r="D6" s="7" t="str"/>
      <x:c r="E6" s="15" t="str">
        <x:v>Total Kasus</x:v>
      </x:c>
      <x:c r="F6" s="18" t="n">
        <x:f>SUM('02_Data_Layanan'!K90,'02_Data_Layanan'!K91,'02_Data_Layanan'!K92,'02_Data_Layanan'!K93)</x:f>
        <x:v>6519253</x:v>
      </x:c>
      <x:c r="G6" s="15" t="str"/>
      <x:c r="H6" s="15" t="str"/>
      <x:c r="I6" s="4" t="str"/>
      <x:c r="J6" s="4" t="str"/>
      <x:c r="K6" s="16" t="str">
        <x:v>Daftar RS</x:v>
      </x:c>
      <x:c r="L6" s="16" t="str">
        <x:v>RSUP Dr. M. Djamil; RS Umum Pusat Dr. Hasan Sadikin; RS Umum Pusat Dr. Kariadi; RS Umum Daerah Dr. Saiful Anwar; RS Umum Daerah Dr. Soetomo; RSUP Prof. Dr. I.G.N.G. Ngoerah; RSUP Dr. Sardjito</x:v>
      </x:c>
      <x:c r="M6" s="16" t="str"/>
      <x:c r="N6" s="16" t="str"/>
      <x:c r="O6" s="16" t="str"/>
      <x:c r="P6" s="16" t="str"/>
      <x:c r="Q6" s="16" t="str"/>
      <x:c r="R6" s="16" t="str"/>
      <x:c r="S6" s="16" t="str"/>
    </x:row>
    <x:row r="7">
      <x:c r="A7" s="7" t="str">
        <x:v>Pendapatan INA</x:v>
      </x:c>
      <x:c r="B7" s="9" t="n">
        <x:f>SUM('02_Data_Layanan'!I90,'02_Data_Layanan'!I91,'02_Data_Layanan'!I92,'02_Data_Layanan'!I93)</x:f>
        <x:v>78355163600</x:v>
      </x:c>
      <x:c r="C7" s="7" t="str"/>
      <x:c r="D7" s="7" t="str"/>
      <x:c r="E7" s="15" t="str">
        <x:v>Pendapatan INA</x:v>
      </x:c>
      <x:c r="F7" s="19" t="n">
        <x:f>SUM('02_Data_Layanan'!L90,'02_Data_Layanan'!L91,'02_Data_Layanan'!L92,'02_Data_Layanan'!L93)</x:f>
        <x:v>7644803066430</x:v>
      </x:c>
      <x:c r="G7" s="15" t="str"/>
      <x:c r="H7" s="15" t="str"/>
      <x:c r="I7" s="4" t="str"/>
      <x:c r="J7" s="4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</x:row>
    <x:row r="8">
      <x:c r="A8" s="7" t="str">
        <x:v>Pendapatan iDRG</x:v>
      </x:c>
      <x:c r="B8" s="9" t="n">
        <x:f>SUM('02_Data_Layanan'!J90,'02_Data_Layanan'!J91,'02_Data_Layanan'!J92,'02_Data_Layanan'!J93)</x:f>
        <x:v>61951680371.579994</x:v>
      </x:c>
      <x:c r="C8" s="7" t="str"/>
      <x:c r="D8" s="7" t="str"/>
      <x:c r="E8" s="15" t="str">
        <x:v>Pendapatan iDRG</x:v>
      </x:c>
      <x:c r="F8" s="19" t="n">
        <x:f>SUM('02_Data_Layanan'!M90,'02_Data_Layanan'!M91,'02_Data_Layanan'!M92,'02_Data_Layanan'!M93)</x:f>
        <x:v>7968188030151.997</x:v>
      </x:c>
      <x:c r="G8" s="15" t="str"/>
      <x:c r="H8" s="15" t="str"/>
      <x:c r="I8" s="4" t="str"/>
      <x:c r="J8" s="4" t="str"/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</x:row>
    <x:row r="10">
      <x:c r="A10" s="4" t="str">
        <x:v>TINGKAT</x:v>
      </x:c>
      <x:c r="B10" s="4" t="str">
        <x:v>KASUS TARGET</x:v>
      </x:c>
      <x:c r="C10" s="4" t="str">
        <x:v>INA TARGET</x:v>
      </x:c>
      <x:c r="D10" s="4" t="str">
        <x:v>iDRG TARGET</x:v>
      </x:c>
      <x:c r="E10" s="4" t="str">
        <x:v>KASUS REGIONAL</x:v>
      </x:c>
      <x:c r="F10" s="4" t="str">
        <x:v>INA REGIONAL</x:v>
      </x:c>
      <x:c r="G10" s="4" t="str">
        <x:v>iDRG REGIONAL</x:v>
      </x:c>
      <x:c r="H10" s="4" t="str">
        <x:v>EXTERNAL KASUS</x:v>
      </x:c>
      <x:c r="I10" s="4" t="str">
        <x:v>EXTERNAL iDRG</x:v>
      </x:c>
      <x:c r="J10" s="4" t="str">
        <x:v>KOMPETITOR TEPAT LEVEL</x:v>
      </x:c>
    </x:row>
    <x:row r="11">
      <x:c r="A11" s="5" t="str">
        <x:v>Dasar</x:v>
      </x:c>
      <x:c r="B11" s="20" t="n">
        <x:f>'02_Data_Layanan'!H90</x:f>
        <x:v>7278</x:v>
      </x:c>
      <x:c r="C11" s="21" t="n">
        <x:f>'02_Data_Layanan'!I90</x:f>
        <x:v>4702520700</x:v>
      </x:c>
      <x:c r="D11" s="21" t="n">
        <x:f>'02_Data_Layanan'!J90</x:f>
        <x:v>4010975363.84</x:v>
      </x:c>
      <x:c r="E11" s="20" t="n">
        <x:f>'02_Data_Layanan'!K90</x:f>
        <x:v>1033963</x:v>
      </x:c>
      <x:c r="F11" s="21" t="n">
        <x:f>'02_Data_Layanan'!L90</x:f>
        <x:v>396179970775</x:v>
      </x:c>
      <x:c r="G11" s="21" t="n">
        <x:f>'02_Data_Layanan'!M90</x:f>
        <x:v>446924170369.7389</x:v>
      </x:c>
      <x:c r="H11" s="20" t="n">
        <x:f>'02_Data_Layanan'!N90</x:f>
        <x:v>1026685</x:v>
      </x:c>
      <x:c r="I11" s="21" t="n">
        <x:f>'02_Data_Layanan'!O90</x:f>
        <x:v>442913195005.89886</x:v>
      </x:c>
      <x:c r="J11" s="20" t="n">
        <x:f>'02_Data_Layanan'!P90</x:f>
        <x:v>1117</x:v>
      </x:c>
    </x:row>
    <x:row r="12">
      <x:c r="A12" s="5" t="str">
        <x:v>Madya</x:v>
      </x:c>
      <x:c r="B12" s="20" t="n">
        <x:f>'02_Data_Layanan'!H91</x:f>
        <x:v>24079</x:v>
      </x:c>
      <x:c r="C12" s="21" t="n">
        <x:f>'02_Data_Layanan'!I91</x:f>
        <x:v>46657517700</x:v>
      </x:c>
      <x:c r="D12" s="21" t="n">
        <x:f>'02_Data_Layanan'!J91</x:f>
        <x:v>37293019772.19</x:v>
      </x:c>
      <x:c r="E12" s="20" t="n">
        <x:f>'02_Data_Layanan'!K91</x:f>
        <x:v>4880237</x:v>
      </x:c>
      <x:c r="F12" s="21" t="n">
        <x:f>'02_Data_Layanan'!L91</x:f>
        <x:v>5584870871675</x:v>
      </x:c>
      <x:c r="G12" s="21" t="n">
        <x:f>'02_Data_Layanan'!M91</x:f>
        <x:v>5755336825770.928</x:v>
      </x:c>
      <x:c r="H12" s="20" t="n">
        <x:f>'02_Data_Layanan'!N91</x:f>
        <x:v>4856158</x:v>
      </x:c>
      <x:c r="I12" s="21" t="n">
        <x:f>'02_Data_Layanan'!O91</x:f>
        <x:v>5718043805998.737</x:v>
      </x:c>
      <x:c r="J12" s="20" t="n">
        <x:f>'02_Data_Layanan'!P91</x:f>
        <x:v>239</x:v>
      </x:c>
    </x:row>
    <x:row r="13">
      <x:c r="A13" s="5" t="str">
        <x:v>Utama</x:v>
      </x:c>
      <x:c r="B13" s="20" t="n">
        <x:f>'02_Data_Layanan'!H92</x:f>
        <x:v>7430</x:v>
      </x:c>
      <x:c r="C13" s="21" t="n">
        <x:f>'02_Data_Layanan'!I92</x:f>
        <x:v>25012924800</x:v>
      </x:c>
      <x:c r="D13" s="21" t="n">
        <x:f>'02_Data_Layanan'!J92</x:f>
        <x:v>19114931569.48</x:v>
      </x:c>
      <x:c r="E13" s="20" t="n">
        <x:f>'02_Data_Layanan'!K92</x:f>
        <x:v>530833</x:v>
      </x:c>
      <x:c r="F13" s="21" t="n">
        <x:f>'02_Data_Layanan'!L92</x:f>
        <x:v>1531234518315</x:v>
      </x:c>
      <x:c r="G13" s="21" t="n">
        <x:f>'02_Data_Layanan'!M92</x:f>
        <x:v>1654894616528.6494</x:v>
      </x:c>
      <x:c r="H13" s="20" t="n">
        <x:f>'02_Data_Layanan'!N92</x:f>
        <x:v>523403</x:v>
      </x:c>
      <x:c r="I13" s="21" t="n">
        <x:f>'02_Data_Layanan'!O92</x:f>
        <x:v>1635779684959.1694</x:v>
      </x:c>
      <x:c r="J13" s="20" t="n">
        <x:f>'02_Data_Layanan'!P92</x:f>
        <x:v>1</x:v>
      </x:c>
    </x:row>
    <x:row r="14">
      <x:c r="A14" s="5" t="str">
        <x:v>Paripurna</x:v>
      </x:c>
      <x:c r="B14" s="20" t="n">
        <x:f>'02_Data_Layanan'!H93</x:f>
        <x:v>245</x:v>
      </x:c>
      <x:c r="C14" s="21" t="n">
        <x:f>'02_Data_Layanan'!I93</x:f>
        <x:v>1982200400</x:v>
      </x:c>
      <x:c r="D14" s="21" t="n">
        <x:f>'02_Data_Layanan'!J93</x:f>
        <x:v>1532753666.0700002</x:v>
      </x:c>
      <x:c r="E14" s="20" t="n">
        <x:f>'02_Data_Layanan'!K93</x:f>
        <x:v>74220</x:v>
      </x:c>
      <x:c r="F14" s="21" t="n">
        <x:f>'02_Data_Layanan'!L93</x:f>
        <x:v>132517705665</x:v>
      </x:c>
      <x:c r="G14" s="21" t="n">
        <x:f>'02_Data_Layanan'!M93</x:f>
        <x:v>111032417482.68025</x:v>
      </x:c>
      <x:c r="H14" s="20" t="n">
        <x:f>'02_Data_Layanan'!N93</x:f>
        <x:v>73975</x:v>
      </x:c>
      <x:c r="I14" s="21" t="n">
        <x:f>'02_Data_Layanan'!O93</x:f>
        <x:v>109499663816.61024</x:v>
      </x:c>
      <x:c r="J14" s="20" t="n">
        <x:f>'02_Data_Layanan'!P93</x:f>
        <x:v>7</x:v>
      </x:c>
    </x:row>
    <x:row r="16">
      <x:c r="A16" s="22" t="str">
        <x:v>ASUMSI SKENARIO - edit parameter pada sheet 03_Parameter</x:v>
      </x:c>
      <x:c r="B16" s="22" t="str"/>
      <x:c r="C16" s="22" t="str"/>
      <x:c r="D16" s="22" t="str"/>
      <x:c r="E16" s="22" t="str"/>
      <x:c r="F16" s="22" t="str"/>
      <x:c r="G16" s="22" t="str"/>
      <x:c r="H16" s="22" t="str"/>
      <x:c r="I16" s="22" t="str"/>
      <x:c r="J16" s="22" t="str"/>
      <x:c r="K16" s="22" t="str"/>
      <x:c r="L16" s="22" t="str"/>
      <x:c r="M16" s="22" t="str"/>
      <x:c r="N16" s="22" t="str"/>
      <x:c r="O16" s="22" t="str"/>
      <x:c r="P16" s="22" t="str"/>
      <x:c r="Q16" s="22" t="str"/>
      <x:c r="R16" s="22" t="str"/>
      <x:c r="S16" s="22" t="str"/>
    </x:row>
    <x:row r="17">
      <x:c r="A17" s="4" t="str">
        <x:v>SKENARIO</x:v>
      </x:c>
      <x:c r="B17" s="23" t="str">
        <x:v>TAMBAHAN PARIPURNA</x:v>
      </x:c>
      <x:c r="C17" s="23" t="str"/>
      <x:c r="D17" s="23" t="str"/>
      <x:c r="E17" s="23" t="str">
        <x:v>TAMBAHAN UTAMA</x:v>
      </x:c>
      <x:c r="F17" s="23" t="str"/>
      <x:c r="G17" s="23" t="str"/>
      <x:c r="H17" s="24" t="str">
        <x:v>PENGURANGAN DASAR</x:v>
      </x:c>
      <x:c r="I17" s="24" t="str"/>
      <x:c r="J17" s="24" t="str"/>
      <x:c r="K17" s="24" t="str">
        <x:v>PENGURANGAN MADYA</x:v>
      </x:c>
      <x:c r="L17" s="24" t="str"/>
      <x:c r="M17" s="24" t="str"/>
      <x:c r="N17" s="4" t="str">
        <x:v>DAMPAK KASUS</x:v>
      </x:c>
      <x:c r="O17" s="4" t="str"/>
      <x:c r="P17" s="4" t="str"/>
      <x:c r="Q17" s="4" t="str">
        <x:v>DAMPAK PENDAPATAN</x:v>
      </x:c>
      <x:c r="R17" s="4" t="str"/>
      <x:c r="S17" s="4" t="str"/>
    </x:row>
    <x:row r="18">
      <x:c r="A18" s="4" t="str">
        <x:v>Skenario</x:v>
      </x:c>
      <x:c r="B18" s="4" t="str">
        <x:v>% Tambah</x:v>
      </x:c>
      <x:c r="C18" s="4" t="str">
        <x:v>Kasus</x:v>
      </x:c>
      <x:c r="D18" s="4" t="str">
        <x:v>iDRG</x:v>
      </x:c>
      <x:c r="E18" s="4" t="str">
        <x:v>% Tambah</x:v>
      </x:c>
      <x:c r="F18" s="4" t="str">
        <x:v>Kasus</x:v>
      </x:c>
      <x:c r="G18" s="4" t="str">
        <x:v>iDRG</x:v>
      </x:c>
      <x:c r="H18" s="4" t="str">
        <x:v>% Kurang</x:v>
      </x:c>
      <x:c r="I18" s="4" t="str">
        <x:v>Kasus</x:v>
      </x:c>
      <x:c r="J18" s="4" t="str">
        <x:v>INA-CBG</x:v>
      </x:c>
      <x:c r="K18" s="4" t="str">
        <x:v>% Kurang</x:v>
      </x:c>
      <x:c r="L18" s="4" t="str">
        <x:v>Kasus</x:v>
      </x:c>
      <x:c r="M18" s="4" t="str">
        <x:v>INA-CBG</x:v>
      </x:c>
      <x:c r="N18" s="4" t="str">
        <x:v>Delta Kasus</x:v>
      </x:c>
      <x:c r="O18" s="4" t="str">
        <x:v>Proyeksi Kasus</x:v>
      </x:c>
      <x:c r="P18" s="4" t="str">
        <x:v>% Delta</x:v>
      </x:c>
      <x:c r="Q18" s="4" t="str">
        <x:v>Delta Pendapatan</x:v>
      </x:c>
      <x:c r="R18" s="4" t="str">
        <x:v>Proyeksi Pendapatan</x:v>
      </x:c>
      <x:c r="S18" s="4" t="str">
        <x:v>% vs INA Eksisting</x:v>
      </x:c>
    </x:row>
    <x:row r="19">
      <x:c r="A19" s="25" t="str">
        <x:v>Skenario 1</x:v>
      </x:c>
      <x:c r="B19" s="13" t="n">
        <x:f>'03_Parameter'!H134</x:f>
        <x:v>0.125</x:v>
      </x:c>
      <x:c r="C19" s="26" t="n">
        <x:f>'02_Data_Layanan'!N93*B19</x:f>
        <x:v>9246.875</x:v>
      </x:c>
      <x:c r="D19" s="27" t="n">
        <x:f>'02_Data_Layanan'!O93*B19</x:f>
        <x:v>13687457977.07628</x:v>
      </x:c>
      <x:c r="E19" s="13" t="n">
        <x:f>'03_Parameter'!G134</x:f>
        <x:v>0.111</x:v>
      </x:c>
      <x:c r="F19" s="26" t="n">
        <x:f>'02_Data_Layanan'!N92*E19</x:f>
        <x:v>58097.733</x:v>
      </x:c>
      <x:c r="G19" s="27" t="n">
        <x:f>'02_Data_Layanan'!O92*E19</x:f>
        <x:v>181571545030.4678</x:v>
      </x:c>
      <x:c r="H19" s="13" t="n">
        <x:f>'03_Parameter'!I134</x:f>
        <x:v>0.5</x:v>
      </x:c>
      <x:c r="I19" s="28" t="n">
        <x:f>'02_Data_Layanan'!H90*H19</x:f>
        <x:v>3639</x:v>
      </x:c>
      <x:c r="J19" s="29" t="n">
        <x:f>'02_Data_Layanan'!I90*H19</x:f>
        <x:v>2351260350</x:v>
      </x:c>
      <x:c r="K19" s="13" t="n">
        <x:f>'03_Parameter'!J134</x:f>
        <x:v>0.5</x:v>
      </x:c>
      <x:c r="L19" s="28" t="n">
        <x:f>'02_Data_Layanan'!H91*K19</x:f>
        <x:v>12039.5</x:v>
      </x:c>
      <x:c r="M19" s="29" t="n">
        <x:f>'02_Data_Layanan'!I91*K19</x:f>
        <x:v>23328758850</x:v>
      </x:c>
      <x:c r="N19" s="11" t="n">
        <x:f>C19+F19-(I19+L19)</x:f>
        <x:v>51666.10800000001</x:v>
      </x:c>
      <x:c r="O19" s="11" t="n">
        <x:f>$B$6+N19</x:f>
        <x:v>90698.10800000001</x:v>
      </x:c>
      <x:c r="P19" s="30" t="n">
        <x:f>IF($B$6=0,0,N19/$B$6)</x:f>
        <x:v>1.323685898749744</x:v>
      </x:c>
      <x:c r="Q19" s="10" t="n">
        <x:f>D19+G19-(J19+M19)</x:f>
        <x:v>169578983807.5441</x:v>
      </x:c>
      <x:c r="R19" s="10" t="n">
        <x:f>$B$7+Q19</x:f>
        <x:v>247934147407.5441</x:v>
      </x:c>
      <x:c r="S19" s="30" t="n">
        <x:f>IF($B$7=0,0,Q19/$B$7)</x:f>
        <x:v>2.164234952953938</x:v>
      </x:c>
    </x:row>
    <x:row r="20">
      <x:c r="A20" s="25" t="str">
        <x:v>Skenario 2</x:v>
      </x:c>
      <x:c r="B20" s="13" t="n">
        <x:f>'03_Parameter'!H135</x:f>
        <x:v>0.225</x:v>
      </x:c>
      <x:c r="C20" s="26" t="n">
        <x:f>'02_Data_Layanan'!N93*B20</x:f>
        <x:v>16644.375</x:v>
      </x:c>
      <x:c r="D20" s="27" t="n">
        <x:f>'02_Data_Layanan'!O93*B20</x:f>
        <x:v>24637424358.737305</x:v>
      </x:c>
      <x:c r="E20" s="13" t="n">
        <x:f>'03_Parameter'!G135</x:f>
        <x:v>0.21100000000000002</x:v>
      </x:c>
      <x:c r="F20" s="26" t="n">
        <x:f>'02_Data_Layanan'!N92*E20</x:f>
        <x:v>110438.03300000001</x:v>
      </x:c>
      <x:c r="G20" s="27" t="n">
        <x:f>'02_Data_Layanan'!O92*E20</x:f>
        <x:v>345149513526.38477</x:v>
      </x:c>
      <x:c r="H20" s="13" t="n">
        <x:f>'03_Parameter'!I135</x:f>
        <x:v>0.6</x:v>
      </x:c>
      <x:c r="I20" s="28" t="n">
        <x:f>'02_Data_Layanan'!H90*H20</x:f>
        <x:v>4366.8</x:v>
      </x:c>
      <x:c r="J20" s="29" t="n">
        <x:f>'02_Data_Layanan'!I90*H20</x:f>
        <x:v>2821512420</x:v>
      </x:c>
      <x:c r="K20" s="13" t="n">
        <x:f>'03_Parameter'!J135</x:f>
        <x:v>0.6</x:v>
      </x:c>
      <x:c r="L20" s="28" t="n">
        <x:f>'02_Data_Layanan'!H91*K20</x:f>
        <x:v>14447.4</x:v>
      </x:c>
      <x:c r="M20" s="29" t="n">
        <x:f>'02_Data_Layanan'!I91*K20</x:f>
        <x:v>27994510620</x:v>
      </x:c>
      <x:c r="N20" s="11" t="n">
        <x:f>C20+F20-(I20+L20)</x:f>
        <x:v>108268.20800000001</x:v>
      </x:c>
      <x:c r="O20" s="11" t="n">
        <x:f>$B$6+N20</x:f>
        <x:v>147300.208</x:v>
      </x:c>
      <x:c r="P20" s="30" t="n">
        <x:f>IF($B$6=0,0,N20/$B$6)</x:f>
        <x:v>2.77383193277311</x:v>
      </x:c>
      <x:c r="Q20" s="10" t="n">
        <x:f>D20+G20-(J20+M20)</x:f>
        <x:v>338970914845.1221</x:v>
      </x:c>
      <x:c r="R20" s="10" t="n">
        <x:f>$B$7+Q20</x:f>
        <x:v>417326078445.1221</x:v>
      </x:c>
      <x:c r="S20" s="30" t="n">
        <x:f>IF($B$7=0,0,Q20/$B$7)</x:f>
        <x:v>4.326082663493055</x:v>
      </x:c>
    </x:row>
    <x:row r="21">
      <x:c r="A21" s="25" t="str">
        <x:v>Skenario 3</x:v>
      </x:c>
      <x:c r="B21" s="13" t="n">
        <x:f>'03_Parameter'!H136</x:f>
        <x:v>0.325</x:v>
      </x:c>
      <x:c r="C21" s="26" t="n">
        <x:f>'02_Data_Layanan'!N93*B21</x:f>
        <x:v>24041.875</x:v>
      </x:c>
      <x:c r="D21" s="27" t="n">
        <x:f>'02_Data_Layanan'!O93*B21</x:f>
        <x:v>35587390740.39833</x:v>
      </x:c>
      <x:c r="E21" s="13" t="n">
        <x:f>'03_Parameter'!G136</x:f>
        <x:v>0.311</x:v>
      </x:c>
      <x:c r="F21" s="26" t="n">
        <x:f>'02_Data_Layanan'!N92*E21</x:f>
        <x:v>162778.333</x:v>
      </x:c>
      <x:c r="G21" s="27" t="n">
        <x:f>'02_Data_Layanan'!O92*E21</x:f>
        <x:v>508727482022.3017</x:v>
      </x:c>
      <x:c r="H21" s="13" t="n">
        <x:f>'03_Parameter'!I136</x:f>
        <x:v>0.7</x:v>
      </x:c>
      <x:c r="I21" s="28" t="n">
        <x:f>'02_Data_Layanan'!H90*H21</x:f>
        <x:v>5094.599999999999</x:v>
      </x:c>
      <x:c r="J21" s="29" t="n">
        <x:f>'02_Data_Layanan'!I90*H21</x:f>
        <x:v>3291764490</x:v>
      </x:c>
      <x:c r="K21" s="13" t="n">
        <x:f>'03_Parameter'!J136</x:f>
        <x:v>0.7</x:v>
      </x:c>
      <x:c r="L21" s="28" t="n">
        <x:f>'02_Data_Layanan'!H91*K21</x:f>
        <x:v>16855.3</x:v>
      </x:c>
      <x:c r="M21" s="29" t="n">
        <x:f>'02_Data_Layanan'!I91*K21</x:f>
        <x:v>32660262389.999996</x:v>
      </x:c>
      <x:c r="N21" s="11" t="n">
        <x:f>C21+F21-(I21+L21)</x:f>
        <x:v>164870.30800000002</x:v>
      </x:c>
      <x:c r="O21" s="11" t="n">
        <x:f>$B$6+N21</x:f>
        <x:v>203902.30800000002</x:v>
      </x:c>
      <x:c r="P21" s="30" t="n">
        <x:f>IF($B$6=0,0,N21/$B$6)</x:f>
        <x:v>4.223977966796475</x:v>
      </x:c>
      <x:c r="Q21" s="10" t="n">
        <x:f>D21+G21-(J21+M21)</x:f>
        <x:v>508362845882.7</x:v>
      </x:c>
      <x:c r="R21" s="10" t="n">
        <x:f>$B$7+Q21</x:f>
        <x:v>586718009482.7</x:v>
      </x:c>
      <x:c r="S21" s="30" t="n">
        <x:f>IF($B$7=0,0,Q21/$B$7)</x:f>
        <x:v>6.487930374032172</x:v>
      </x:c>
    </x:row>
    <x:row r="22">
      <x:c r="A22" s="25" t="str">
        <x:v>Skenario 4</x:v>
      </x:c>
      <x:c r="B22" s="13" t="n">
        <x:f>'03_Parameter'!H137</x:f>
        <x:v>0.425</x:v>
      </x:c>
      <x:c r="C22" s="26" t="n">
        <x:f>'02_Data_Layanan'!N93*B22</x:f>
        <x:v>31439.375</x:v>
      </x:c>
      <x:c r="D22" s="27" t="n">
        <x:f>'02_Data_Layanan'!O93*B22</x:f>
        <x:v>46537357122.05935</x:v>
      </x:c>
      <x:c r="E22" s="13" t="n">
        <x:f>'03_Parameter'!G137</x:f>
        <x:v>0.41100000000000003</x:v>
      </x:c>
      <x:c r="F22" s="26" t="n">
        <x:f>'02_Data_Layanan'!N92*E22</x:f>
        <x:v>215118.63300000003</x:v>
      </x:c>
      <x:c r="G22" s="27" t="n">
        <x:f>'02_Data_Layanan'!O92*E22</x:f>
        <x:v>672305450518.2188</x:v>
      </x:c>
      <x:c r="H22" s="13" t="n">
        <x:f>'03_Parameter'!I137</x:f>
        <x:v>0.8</x:v>
      </x:c>
      <x:c r="I22" s="28" t="n">
        <x:f>'02_Data_Layanan'!H90*H22</x:f>
        <x:v>5822.400000000001</x:v>
      </x:c>
      <x:c r="J22" s="29" t="n">
        <x:f>'02_Data_Layanan'!I90*H22</x:f>
        <x:v>3762016560</x:v>
      </x:c>
      <x:c r="K22" s="13" t="n">
        <x:f>'03_Parameter'!J137</x:f>
        <x:v>0.8</x:v>
      </x:c>
      <x:c r="L22" s="28" t="n">
        <x:f>'02_Data_Layanan'!H91*K22</x:f>
        <x:v>19263.2</x:v>
      </x:c>
      <x:c r="M22" s="29" t="n">
        <x:f>'02_Data_Layanan'!I91*K22</x:f>
        <x:v>37326014160</x:v>
      </x:c>
      <x:c r="N22" s="11" t="n">
        <x:f>C22+F22-(I22+L22)</x:f>
        <x:v>221472.40800000002</x:v>
      </x:c>
      <x:c r="O22" s="11" t="n">
        <x:f>$B$6+N22</x:f>
        <x:v>260504.40800000002</x:v>
      </x:c>
      <x:c r="P22" s="30" t="n">
        <x:f>IF($B$6=0,0,N22/$B$6)</x:f>
        <x:v>5.674124000819841</x:v>
      </x:c>
      <x:c r="Q22" s="10" t="n">
        <x:f>D22+G22-(J22+M22)</x:f>
        <x:v>677754776920.2781</x:v>
      </x:c>
      <x:c r="R22" s="10" t="n">
        <x:f>$B$7+Q22</x:f>
        <x:v>756109940520.2781</x:v>
      </x:c>
      <x:c r="S22" s="30" t="n">
        <x:f>IF($B$7=0,0,Q22/$B$7)</x:f>
        <x:v>8.64977808457129</x:v>
      </x:c>
    </x:row>
    <x:row r="23">
      <x:c r="A23" s="25" t="str">
        <x:v>Skenario 5</x:v>
      </x:c>
      <x:c r="B23" s="13" t="n">
        <x:f>'03_Parameter'!H138</x:f>
        <x:v>0.525</x:v>
      </x:c>
      <x:c r="C23" s="26" t="n">
        <x:f>'02_Data_Layanan'!N93*B23</x:f>
        <x:v>38836.875</x:v>
      </x:c>
      <x:c r="D23" s="27" t="n">
        <x:f>'02_Data_Layanan'!O93*B23</x:f>
        <x:v>57487323503.72038</x:v>
      </x:c>
      <x:c r="E23" s="13" t="n">
        <x:f>'03_Parameter'!G138</x:f>
        <x:v>0.511</x:v>
      </x:c>
      <x:c r="F23" s="26" t="n">
        <x:f>'02_Data_Layanan'!N92*E23</x:f>
        <x:v>267458.933</x:v>
      </x:c>
      <x:c r="G23" s="27" t="n">
        <x:f>'02_Data_Layanan'!O92*E23</x:f>
        <x:v>835883419014.1356</x:v>
      </x:c>
      <x:c r="H23" s="13" t="n">
        <x:f>'03_Parameter'!I138</x:f>
        <x:v>0.9</x:v>
      </x:c>
      <x:c r="I23" s="28" t="n">
        <x:f>'02_Data_Layanan'!H90*H23</x:f>
        <x:v>6550.2</x:v>
      </x:c>
      <x:c r="J23" s="29" t="n">
        <x:f>'02_Data_Layanan'!I90*H23</x:f>
        <x:v>4232268630</x:v>
      </x:c>
      <x:c r="K23" s="13" t="n">
        <x:f>'03_Parameter'!J138</x:f>
        <x:v>0.9</x:v>
      </x:c>
      <x:c r="L23" s="28" t="n">
        <x:f>'02_Data_Layanan'!H91*K23</x:f>
        <x:v>21671.100000000002</x:v>
      </x:c>
      <x:c r="M23" s="29" t="n">
        <x:f>'02_Data_Layanan'!I91*K23</x:f>
        <x:v>41991765930</x:v>
      </x:c>
      <x:c r="N23" s="11" t="n">
        <x:f>C23+F23-(I23+L23)</x:f>
        <x:v>278074.50800000003</x:v>
      </x:c>
      <x:c r="O23" s="11" t="n">
        <x:f>$B$6+N23</x:f>
        <x:v>317106.50800000003</x:v>
      </x:c>
      <x:c r="P23" s="30" t="n">
        <x:f>IF($B$6=0,0,N23/$B$6)</x:f>
        <x:v>7.124270034843207</x:v>
      </x:c>
      <x:c r="Q23" s="10" t="n">
        <x:f>D23+G23-(J23+M23)</x:f>
        <x:v>847146707957.856</x:v>
      </x:c>
      <x:c r="R23" s="10" t="n">
        <x:f>$B$7+Q23</x:f>
        <x:v>925501871557.856</x:v>
      </x:c>
      <x:c r="S23" s="30" t="n">
        <x:f>IF($B$7=0,0,Q23/$B$7)</x:f>
        <x:v>10.811625795110405</x:v>
      </x:c>
    </x:row>
    <x:row r="24">
      <x:c r="A24" s="25" t="str">
        <x:v>Skenario 6</x:v>
      </x:c>
      <x:c r="B24" s="13" t="n">
        <x:f>'03_Parameter'!H139</x:f>
        <x:v>0.625</x:v>
      </x:c>
      <x:c r="C24" s="26" t="n">
        <x:f>'02_Data_Layanan'!N93*B24</x:f>
        <x:v>46234.375</x:v>
      </x:c>
      <x:c r="D24" s="27" t="n">
        <x:f>'02_Data_Layanan'!O93*B24</x:f>
        <x:v>68437289885.3814</x:v>
      </x:c>
      <x:c r="E24" s="13" t="n">
        <x:f>'03_Parameter'!G139</x:f>
        <x:v>0.611</x:v>
      </x:c>
      <x:c r="F24" s="26" t="n">
        <x:f>'02_Data_Layanan'!N92*E24</x:f>
        <x:v>319799.233</x:v>
      </x:c>
      <x:c r="G24" s="27" t="n">
        <x:f>'02_Data_Layanan'!O92*E24</x:f>
        <x:v>999461387510.0525</x:v>
      </x:c>
      <x:c r="H24" s="13" t="n">
        <x:f>'03_Parameter'!I139</x:f>
        <x:v>1</x:v>
      </x:c>
      <x:c r="I24" s="28" t="n">
        <x:f>'02_Data_Layanan'!H90*H24</x:f>
        <x:v>7278</x:v>
      </x:c>
      <x:c r="J24" s="29" t="n">
        <x:f>'02_Data_Layanan'!I90*H24</x:f>
        <x:v>4702520700</x:v>
      </x:c>
      <x:c r="K24" s="13" t="n">
        <x:f>'03_Parameter'!J139</x:f>
        <x:v>1</x:v>
      </x:c>
      <x:c r="L24" s="28" t="n">
        <x:f>'02_Data_Layanan'!H91*K24</x:f>
        <x:v>24079</x:v>
      </x:c>
      <x:c r="M24" s="29" t="n">
        <x:f>'02_Data_Layanan'!I91*K24</x:f>
        <x:v>46657517700</x:v>
      </x:c>
      <x:c r="N24" s="11" t="n">
        <x:f>C24+F24-(I24+L24)</x:f>
        <x:v>334676.608</x:v>
      </x:c>
      <x:c r="O24" s="11" t="n">
        <x:f>$B$6+N24</x:f>
        <x:v>373708.608</x:v>
      </x:c>
      <x:c r="P24" s="30" t="n">
        <x:f>IF($B$6=0,0,N24/$B$6)</x:f>
        <x:v>8.57441606886657</x:v>
      </x:c>
      <x:c r="Q24" s="10" t="n">
        <x:f>D24+G24-(J24+M24)</x:f>
        <x:v>1016538638995.4338</x:v>
      </x:c>
      <x:c r="R24" s="10" t="n">
        <x:f>$B$7+Q24</x:f>
        <x:v>1094893802595.4338</x:v>
      </x:c>
      <x:c r="S24" s="30" t="n">
        <x:f>IF($B$7=0,0,Q24/$B$7)</x:f>
        <x:v>12.973473505649523</x:v>
      </x:c>
    </x:row>
    <x:row r="26">
      <x:c r="A26" s="31" t="str">
        <x:v>CATATAN FORMULA</x:v>
      </x:c>
      <x:c r="B26" s="31" t="str">
        <x:v>Tambahan = external pool regional × % tambah. Pengurangan = eksisting target × % kurang. Proyeksi kasus = eksisting + tambahan − pengurangan. Proyeksi pendapatan = INA eksisting + tambahan iDRG − pengurangan INA.</x:v>
      </x:c>
      <x:c r="C26" s="31" t="str"/>
      <x:c r="D26" s="31" t="str"/>
      <x:c r="E26" s="31" t="str"/>
      <x:c r="F26" s="31" t="str"/>
      <x:c r="G26" s="31" t="str"/>
      <x:c r="H26" s="31" t="str"/>
      <x:c r="I26" s="31" t="str"/>
      <x:c r="J26" s="31" t="str"/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31" t="str"/>
    </x:row>
    <x:row r="27">
      <x:c r="A27" s="31" t="str">
        <x:v>SUMBER</x:v>
      </x:c>
      <x:c r="B27" s="31" t="str">
        <x:v>Data: 02_Data_Layanan | Parameter: 03_Parameter | Kompetitor: 01B_Kompetitor_RS</x:v>
      </x:c>
      <x:c r="C27" s="31" t="str"/>
      <x:c r="D27" s="31" t="str"/>
      <x:c r="E27" s="31" t="str"/>
      <x:c r="F27" s="31" t="str"/>
      <x:c r="G27" s="31" t="str"/>
      <x:c r="H27" s="31" t="str"/>
      <x:c r="I27" s="31" t="str"/>
      <x:c r="J27" s="31" t="str"/>
      <x:c r="K27" s="31" t="str"/>
      <x:c r="L27" s="31" t="str"/>
      <x:c r="M27" s="31" t="str"/>
      <x:c r="N27" s="31" t="str"/>
      <x:c r="O27" s="31" t="str"/>
      <x:c r="P27" s="31" t="str"/>
      <x:c r="Q27" s="31" t="str"/>
      <x:c r="R27" s="31" t="str"/>
      <x:c r="S27" s="31" t="str"/>
    </x:row>
  </x:sheetData>
  <x:mergeCells>
    <x:mergeCell ref="A2:S2"/>
    <x:mergeCell ref="L6:S6"/>
    <x:mergeCell ref="B26:S26"/>
    <x:mergeCell ref="B27:S27"/>
    <x:mergeCell ref="A1:S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cols>
    <x:col min="1" max="1" width="6.83203125" customWidth="1"/>
    <x:col min="2" max="2" width="30.83203125" customWidth="1"/>
    <x:col min="3" max="3" width="34.83203125" customWidth="1"/>
    <x:col min="4" max="4" width="30.83203125" customWidth="1"/>
    <x:col min="5" max="5" width="18.83203125" customWidth="1"/>
    <x:col min="6" max="6" width="10.83203125" customWidth="1"/>
    <x:col min="7" max="7" width="16.83203125" customWidth="1"/>
    <x:col min="8" max="8" width="16.83203125" customWidth="1"/>
    <x:col min="9" max="9" width="18.83203125" customWidth="1"/>
    <x:col min="10" max="10" width="15.83203125" customWidth="1"/>
    <x:col min="11" max="11" width="17.83203125" customWidth="1"/>
    <x:col min="12" max="12" width="15.83203125" customWidth="1"/>
    <x:col min="13" max="13" width="20.83203125" customWidth="1"/>
    <x:col min="14" max="14" width="20.83203125" customWidth="1"/>
    <x:col min="15" max="15" width="20.83203125" customWidth="1"/>
    <x:col min="16" max="16" width="20.83203125" customWidth="1"/>
    <x:col min="17" max="17" width="22.83203125" customWidth="1"/>
    <x:col min="18" max="18" width="18.83203125" customWidth="1"/>
  </x:cols>
  <x:sheetData>
    <x:row r="1">
      <x:c r="A1" s="4" t="str">
        <x:v>No</x:v>
      </x:c>
      <x:c r="B1" s="4" t="str">
        <x:v>Kode Layanan</x:v>
      </x:c>
      <x:c r="C1" s="4" t="str">
        <x:v>Nama Layanan</x:v>
      </x:c>
      <x:c r="D1" s="4" t="str">
        <x:v>Sheet Simulasi</x:v>
      </x:c>
      <x:c r="E1" s="4" t="str">
        <x:v>Kompetensi</x:v>
      </x:c>
      <x:c r="F1" s="4" t="str">
        <x:v>Skenario</x:v>
      </x:c>
      <x:c r="G1" s="4" t="str">
        <x:v>Kasus Eksisting</x:v>
      </x:c>
      <x:c r="H1" s="4" t="str">
        <x:v>Tambahan Kasus</x:v>
      </x:c>
      <x:c r="I1" s="4" t="str">
        <x:v>Pengurangan Kasus</x:v>
      </x:c>
      <x:c r="J1" s="4" t="str">
        <x:v>Delta Kasus</x:v>
      </x:c>
      <x:c r="K1" s="4" t="str">
        <x:v>Proyeksi Kasus</x:v>
      </x:c>
      <x:c r="L1" s="4" t="str">
        <x:v>% Delta Kasus</x:v>
      </x:c>
      <x:c r="M1" s="4" t="str">
        <x:v>INA Eksisting</x:v>
      </x:c>
      <x:c r="N1" s="4" t="str">
        <x:v>Tambahan iDRG</x:v>
      </x:c>
      <x:c r="O1" s="4" t="str">
        <x:v>Pengurangan INA</x:v>
      </x:c>
      <x:c r="P1" s="4" t="str">
        <x:v>Delta Pendapatan</x:v>
      </x:c>
      <x:c r="Q1" s="4" t="str">
        <x:v>Proyeksi Pendapatan</x:v>
      </x:c>
      <x:c r="R1" s="4" t="str">
        <x:v>% vs INA Eksisting</x:v>
      </x:c>
    </x:row>
    <x:row r="2">
      <x:c r="A2" s="8">
        <x:v>1</x:v>
      </x:c>
      <x:c r="B2" s="7" t="str">
        <x:v>ALERGI IMUNOLOGI DAN RHEUMATOLOGI</x:v>
      </x:c>
      <x:c r="C2" s="7" t="str">
        <x:v>Alergi, Imunologi &amp; Rheumatologi</x:v>
      </x:c>
      <x:c r="D2" s="7" t="str">
        <x:v>SIM_01_Alergi_Imunologi_Rheumat</x:v>
      </x:c>
      <x:c r="E2" s="7" t="str">
        <x:v>Paripurna</x:v>
      </x:c>
      <x:c r="F2" s="8">
        <x:v>1</x:v>
      </x:c>
      <x:c r="G2" s="11" t="n">
        <x:f>'SIM_01_Alergi_Imunologi_Rheumat'!$B$6</x:f>
        <x:v>124</x:v>
      </x:c>
      <x:c r="H2" s="11" t="n">
        <x:f>'SIM_01_Alergi_Imunologi_Rheumat'!C19+'SIM_01_Alergi_Imunologi_Rheumat'!F19</x:f>
        <x:v>72.066</x:v>
      </x:c>
      <x:c r="I2" s="11" t="n">
        <x:f>'SIM_01_Alergi_Imunologi_Rheumat'!I19+'SIM_01_Alergi_Imunologi_Rheumat'!L19</x:f>
        <x:v>41.5</x:v>
      </x:c>
      <x:c r="J2" s="11" t="n">
        <x:f>'SIM_01_Alergi_Imunologi_Rheumat'!N19</x:f>
        <x:v>30.566000000000003</x:v>
      </x:c>
      <x:c r="K2" s="11" t="n">
        <x:f>'SIM_01_Alergi_Imunologi_Rheumat'!O19</x:f>
        <x:v>154.566</x:v>
      </x:c>
      <x:c r="L2" s="32" t="n">
        <x:f>'SIM_01_Alergi_Imunologi_Rheumat'!P19</x:f>
        <x:v>0.24650000000000002</x:v>
      </x:c>
      <x:c r="M2" s="12" t="n">
        <x:f>'SIM_01_Alergi_Imunologi_Rheumat'!$B$7</x:f>
        <x:v>997348100</x:v>
      </x:c>
      <x:c r="N2" s="12" t="n">
        <x:f>'SIM_01_Alergi_Imunologi_Rheumat'!D19+'SIM_01_Alergi_Imunologi_Rheumat'!G19</x:f>
        <x:v>639541954.0863202</x:v>
      </x:c>
      <x:c r="O2" s="12" t="n">
        <x:f>'SIM_01_Alergi_Imunologi_Rheumat'!J19+'SIM_01_Alergi_Imunologi_Rheumat'!M19</x:f>
        <x:v>342958950</x:v>
      </x:c>
      <x:c r="P2" s="12" t="n">
        <x:f>'SIM_01_Alergi_Imunologi_Rheumat'!Q19</x:f>
        <x:v>296583004.08632016</x:v>
      </x:c>
      <x:c r="Q2" s="12" t="n">
        <x:f>'SIM_01_Alergi_Imunologi_Rheumat'!R19</x:f>
        <x:v>1293931104.0863202</x:v>
      </x:c>
      <x:c r="R2" s="32" t="n">
        <x:f>'SIM_01_Alergi_Imunologi_Rheumat'!S19</x:f>
        <x:v>0.29737160384255024</x:v>
      </x:c>
    </x:row>
    <x:row r="3">
      <x:c r="A3" s="8">
        <x:v>1</x:v>
      </x:c>
      <x:c r="B3" s="7" t="str">
        <x:v>ALERGI IMUNOLOGI DAN RHEUMATOLOGI</x:v>
      </x:c>
      <x:c r="C3" s="7" t="str">
        <x:v>Alergi, Imunologi &amp; Rheumatologi</x:v>
      </x:c>
      <x:c r="D3" s="7" t="str">
        <x:v>SIM_01_Alergi_Imunologi_Rheumat</x:v>
      </x:c>
      <x:c r="E3" s="7" t="str">
        <x:v>Paripurna</x:v>
      </x:c>
      <x:c r="F3" s="8">
        <x:v>2</x:v>
      </x:c>
      <x:c r="G3" s="11" t="n">
        <x:f>'SIM_01_Alergi_Imunologi_Rheumat'!$B$6</x:f>
        <x:v>124</x:v>
      </x:c>
      <x:c r="H3" s="11" t="n">
        <x:f>'SIM_01_Alergi_Imunologi_Rheumat'!C20+'SIM_01_Alergi_Imunologi_Rheumat'!F20</x:f>
        <x:v>165.666</x:v>
      </x:c>
      <x:c r="I3" s="11" t="n">
        <x:f>'SIM_01_Alergi_Imunologi_Rheumat'!I20+'SIM_01_Alergi_Imunologi_Rheumat'!L20</x:f>
        <x:v>49.8</x:v>
      </x:c>
      <x:c r="J3" s="11" t="n">
        <x:f>'SIM_01_Alergi_Imunologi_Rheumat'!N20</x:f>
        <x:v>115.866</x:v>
      </x:c>
      <x:c r="K3" s="11" t="n">
        <x:f>'SIM_01_Alergi_Imunologi_Rheumat'!O20</x:f>
        <x:v>239.86599999999999</x:v>
      </x:c>
      <x:c r="L3" s="32" t="n">
        <x:f>'SIM_01_Alergi_Imunologi_Rheumat'!P20</x:f>
        <x:v>0.9344032258064516</x:v>
      </x:c>
      <x:c r="M3" s="12" t="n">
        <x:f>'SIM_01_Alergi_Imunologi_Rheumat'!$B$7</x:f>
        <x:v>997348100</x:v>
      </x:c>
      <x:c r="N3" s="12" t="n">
        <x:f>'SIM_01_Alergi_Imunologi_Rheumat'!D20+'SIM_01_Alergi_Imunologi_Rheumat'!G20</x:f>
        <x:v>1489320418.3903208</x:v>
      </x:c>
      <x:c r="O3" s="12" t="n">
        <x:f>'SIM_01_Alergi_Imunologi_Rheumat'!J20+'SIM_01_Alergi_Imunologi_Rheumat'!M20</x:f>
        <x:v>411550740</x:v>
      </x:c>
      <x:c r="P3" s="12" t="n">
        <x:f>'SIM_01_Alergi_Imunologi_Rheumat'!Q20</x:f>
        <x:v>1077769678.3903208</x:v>
      </x:c>
      <x:c r="Q3" s="12" t="n">
        <x:f>'SIM_01_Alergi_Imunologi_Rheumat'!R20</x:f>
        <x:v>2075117778.3903208</x:v>
      </x:c>
      <x:c r="R3" s="32" t="n">
        <x:f>'SIM_01_Alergi_Imunologi_Rheumat'!S20</x:f>
        <x:v>1.0806354154485487</x:v>
      </x:c>
    </x:row>
    <x:row r="4">
      <x:c r="A4" s="8">
        <x:v>1</x:v>
      </x:c>
      <x:c r="B4" s="7" t="str">
        <x:v>ALERGI IMUNOLOGI DAN RHEUMATOLOGI</x:v>
      </x:c>
      <x:c r="C4" s="7" t="str">
        <x:v>Alergi, Imunologi &amp; Rheumatologi</x:v>
      </x:c>
      <x:c r="D4" s="7" t="str">
        <x:v>SIM_01_Alergi_Imunologi_Rheumat</x:v>
      </x:c>
      <x:c r="E4" s="7" t="str">
        <x:v>Paripurna</x:v>
      </x:c>
      <x:c r="F4" s="8">
        <x:v>3</x:v>
      </x:c>
      <x:c r="G4" s="11" t="n">
        <x:f>'SIM_01_Alergi_Imunologi_Rheumat'!$B$6</x:f>
        <x:v>124</x:v>
      </x:c>
      <x:c r="H4" s="11" t="n">
        <x:f>'SIM_01_Alergi_Imunologi_Rheumat'!C21+'SIM_01_Alergi_Imunologi_Rheumat'!F21</x:f>
        <x:v>259.266</x:v>
      </x:c>
      <x:c r="I4" s="11" t="n">
        <x:f>'SIM_01_Alergi_Imunologi_Rheumat'!I21+'SIM_01_Alergi_Imunologi_Rheumat'!L21</x:f>
        <x:v>58.099999999999994</x:v>
      </x:c>
      <x:c r="J4" s="11" t="n">
        <x:f>'SIM_01_Alergi_Imunologi_Rheumat'!N21</x:f>
        <x:v>201.16600000000003</x:v>
      </x:c>
      <x:c r="K4" s="11" t="n">
        <x:f>'SIM_01_Alergi_Imunologi_Rheumat'!O21</x:f>
        <x:v>325.16600000000005</x:v>
      </x:c>
      <x:c r="L4" s="32" t="n">
        <x:f>'SIM_01_Alergi_Imunologi_Rheumat'!P21</x:f>
        <x:v>1.6223064516129033</x:v>
      </x:c>
      <x:c r="M4" s="12" t="n">
        <x:f>'SIM_01_Alergi_Imunologi_Rheumat'!$B$7</x:f>
        <x:v>997348100</x:v>
      </x:c>
      <x:c r="N4" s="12" t="n">
        <x:f>'SIM_01_Alergi_Imunologi_Rheumat'!D21+'SIM_01_Alergi_Imunologi_Rheumat'!G21</x:f>
        <x:v>2339098882.694321</x:v>
      </x:c>
      <x:c r="O4" s="12" t="n">
        <x:f>'SIM_01_Alergi_Imunologi_Rheumat'!J21+'SIM_01_Alergi_Imunologi_Rheumat'!M21</x:f>
        <x:v>480142530</x:v>
      </x:c>
      <x:c r="P4" s="12" t="n">
        <x:f>'SIM_01_Alergi_Imunologi_Rheumat'!Q21</x:f>
        <x:v>1858956352.6943212</x:v>
      </x:c>
      <x:c r="Q4" s="12" t="n">
        <x:f>'SIM_01_Alergi_Imunologi_Rheumat'!R21</x:f>
        <x:v>2856304452.694321</x:v>
      </x:c>
      <x:c r="R4" s="32" t="n">
        <x:f>'SIM_01_Alergi_Imunologi_Rheumat'!S21</x:f>
        <x:v>1.8638992270545471</x:v>
      </x:c>
    </x:row>
    <x:row r="5">
      <x:c r="A5" s="8">
        <x:v>1</x:v>
      </x:c>
      <x:c r="B5" s="7" t="str">
        <x:v>ALERGI IMUNOLOGI DAN RHEUMATOLOGI</x:v>
      </x:c>
      <x:c r="C5" s="7" t="str">
        <x:v>Alergi, Imunologi &amp; Rheumatologi</x:v>
      </x:c>
      <x:c r="D5" s="7" t="str">
        <x:v>SIM_01_Alergi_Imunologi_Rheumat</x:v>
      </x:c>
      <x:c r="E5" s="7" t="str">
        <x:v>Paripurna</x:v>
      </x:c>
      <x:c r="F5" s="8">
        <x:v>4</x:v>
      </x:c>
      <x:c r="G5" s="11" t="n">
        <x:f>'SIM_01_Alergi_Imunologi_Rheumat'!$B$6</x:f>
        <x:v>124</x:v>
      </x:c>
      <x:c r="H5" s="11" t="n">
        <x:f>'SIM_01_Alergi_Imunologi_Rheumat'!C22+'SIM_01_Alergi_Imunologi_Rheumat'!F22</x:f>
        <x:v>352.866</x:v>
      </x:c>
      <x:c r="I5" s="11" t="n">
        <x:f>'SIM_01_Alergi_Imunologi_Rheumat'!I22+'SIM_01_Alergi_Imunologi_Rheumat'!L22</x:f>
        <x:v>66.4</x:v>
      </x:c>
      <x:c r="J5" s="11" t="n">
        <x:f>'SIM_01_Alergi_Imunologi_Rheumat'!N22</x:f>
        <x:v>286.466</x:v>
      </x:c>
      <x:c r="K5" s="11" t="n">
        <x:f>'SIM_01_Alergi_Imunologi_Rheumat'!O22</x:f>
        <x:v>410.466</x:v>
      </x:c>
      <x:c r="L5" s="32" t="n">
        <x:f>'SIM_01_Alergi_Imunologi_Rheumat'!P22</x:f>
        <x:v>2.310209677419355</x:v>
      </x:c>
      <x:c r="M5" s="12" t="n">
        <x:f>'SIM_01_Alergi_Imunologi_Rheumat'!$B$7</x:f>
        <x:v>997348100</x:v>
      </x:c>
      <x:c r="N5" s="12" t="n">
        <x:f>'SIM_01_Alergi_Imunologi_Rheumat'!D22+'SIM_01_Alergi_Imunologi_Rheumat'!G22</x:f>
        <x:v>3188877346.998321</x:v>
      </x:c>
      <x:c r="O5" s="12" t="n">
        <x:f>'SIM_01_Alergi_Imunologi_Rheumat'!J22+'SIM_01_Alergi_Imunologi_Rheumat'!M22</x:f>
        <x:v>548734320</x:v>
      </x:c>
      <x:c r="P5" s="12" t="n">
        <x:f>'SIM_01_Alergi_Imunologi_Rheumat'!Q22</x:f>
        <x:v>2640143026.998321</x:v>
      </x:c>
      <x:c r="Q5" s="12" t="n">
        <x:f>'SIM_01_Alergi_Imunologi_Rheumat'!R22</x:f>
        <x:v>3637491126.998321</x:v>
      </x:c>
      <x:c r="R5" s="32" t="n">
        <x:f>'SIM_01_Alergi_Imunologi_Rheumat'!S22</x:f>
        <x:v>2.647163038660545</x:v>
      </x:c>
    </x:row>
    <x:row r="6">
      <x:c r="A6" s="8">
        <x:v>1</x:v>
      </x:c>
      <x:c r="B6" s="7" t="str">
        <x:v>ALERGI IMUNOLOGI DAN RHEUMATOLOGI</x:v>
      </x:c>
      <x:c r="C6" s="7" t="str">
        <x:v>Alergi, Imunologi &amp; Rheumatologi</x:v>
      </x:c>
      <x:c r="D6" s="7" t="str">
        <x:v>SIM_01_Alergi_Imunologi_Rheumat</x:v>
      </x:c>
      <x:c r="E6" s="7" t="str">
        <x:v>Paripurna</x:v>
      </x:c>
      <x:c r="F6" s="8">
        <x:v>5</x:v>
      </x:c>
      <x:c r="G6" s="11" t="n">
        <x:f>'SIM_01_Alergi_Imunologi_Rheumat'!$B$6</x:f>
        <x:v>124</x:v>
      </x:c>
      <x:c r="H6" s="11" t="n">
        <x:f>'SIM_01_Alergi_Imunologi_Rheumat'!C23+'SIM_01_Alergi_Imunologi_Rheumat'!F23</x:f>
        <x:v>446.466</x:v>
      </x:c>
      <x:c r="I6" s="11" t="n">
        <x:f>'SIM_01_Alergi_Imunologi_Rheumat'!I23+'SIM_01_Alergi_Imunologi_Rheumat'!L23</x:f>
        <x:v>74.7</x:v>
      </x:c>
      <x:c r="J6" s="11" t="n">
        <x:f>'SIM_01_Alergi_Imunologi_Rheumat'!N23</x:f>
        <x:v>371.766</x:v>
      </x:c>
      <x:c r="K6" s="11" t="n">
        <x:f>'SIM_01_Alergi_Imunologi_Rheumat'!O23</x:f>
        <x:v>495.766</x:v>
      </x:c>
      <x:c r="L6" s="32" t="n">
        <x:f>'SIM_01_Alergi_Imunologi_Rheumat'!P23</x:f>
        <x:v>2.9981129032258065</x:v>
      </x:c>
      <x:c r="M6" s="12" t="n">
        <x:f>'SIM_01_Alergi_Imunologi_Rheumat'!$B$7</x:f>
        <x:v>997348100</x:v>
      </x:c>
      <x:c r="N6" s="12" t="n">
        <x:f>'SIM_01_Alergi_Imunologi_Rheumat'!D23+'SIM_01_Alergi_Imunologi_Rheumat'!G23</x:f>
        <x:v>4038655811.3023214</x:v>
      </x:c>
      <x:c r="O6" s="12" t="n">
        <x:f>'SIM_01_Alergi_Imunologi_Rheumat'!J23+'SIM_01_Alergi_Imunologi_Rheumat'!M23</x:f>
        <x:v>617326110</x:v>
      </x:c>
      <x:c r="P6" s="12" t="n">
        <x:f>'SIM_01_Alergi_Imunologi_Rheumat'!Q23</x:f>
        <x:v>3421329701.3023214</x:v>
      </x:c>
      <x:c r="Q6" s="12" t="n">
        <x:f>'SIM_01_Alergi_Imunologi_Rheumat'!R23</x:f>
        <x:v>4418677801.302321</x:v>
      </x:c>
      <x:c r="R6" s="32" t="n">
        <x:f>'SIM_01_Alergi_Imunologi_Rheumat'!S23</x:f>
        <x:v>3.430426850266543</x:v>
      </x:c>
    </x:row>
    <x:row r="7">
      <x:c r="A7" s="8">
        <x:v>1</x:v>
      </x:c>
      <x:c r="B7" s="7" t="str">
        <x:v>ALERGI IMUNOLOGI DAN RHEUMATOLOGI</x:v>
      </x:c>
      <x:c r="C7" s="7" t="str">
        <x:v>Alergi, Imunologi &amp; Rheumatologi</x:v>
      </x:c>
      <x:c r="D7" s="7" t="str">
        <x:v>SIM_01_Alergi_Imunologi_Rheumat</x:v>
      </x:c>
      <x:c r="E7" s="7" t="str">
        <x:v>Paripurna</x:v>
      </x:c>
      <x:c r="F7" s="8">
        <x:v>6</x:v>
      </x:c>
      <x:c r="G7" s="11" t="n">
        <x:f>'SIM_01_Alergi_Imunologi_Rheumat'!$B$6</x:f>
        <x:v>124</x:v>
      </x:c>
      <x:c r="H7" s="11" t="n">
        <x:f>'SIM_01_Alergi_Imunologi_Rheumat'!C24+'SIM_01_Alergi_Imunologi_Rheumat'!F24</x:f>
        <x:v>540.066</x:v>
      </x:c>
      <x:c r="I7" s="11" t="n">
        <x:f>'SIM_01_Alergi_Imunologi_Rheumat'!I24+'SIM_01_Alergi_Imunologi_Rheumat'!L24</x:f>
        <x:v>83</x:v>
      </x:c>
      <x:c r="J7" s="11" t="n">
        <x:f>'SIM_01_Alergi_Imunologi_Rheumat'!N24</x:f>
        <x:v>457.06600000000003</x:v>
      </x:c>
      <x:c r="K7" s="11" t="n">
        <x:f>'SIM_01_Alergi_Imunologi_Rheumat'!O24</x:f>
        <x:v>581.066</x:v>
      </x:c>
      <x:c r="L7" s="32" t="n">
        <x:f>'SIM_01_Alergi_Imunologi_Rheumat'!P24</x:f>
        <x:v>3.686016129032258</x:v>
      </x:c>
      <x:c r="M7" s="12" t="n">
        <x:f>'SIM_01_Alergi_Imunologi_Rheumat'!$B$7</x:f>
        <x:v>997348100</x:v>
      </x:c>
      <x:c r="N7" s="12" t="n">
        <x:f>'SIM_01_Alergi_Imunologi_Rheumat'!D24+'SIM_01_Alergi_Imunologi_Rheumat'!G24</x:f>
        <x:v>4888434275.606321</x:v>
      </x:c>
      <x:c r="O7" s="12" t="n">
        <x:f>'SIM_01_Alergi_Imunologi_Rheumat'!J24+'SIM_01_Alergi_Imunologi_Rheumat'!M24</x:f>
        <x:v>685917900</x:v>
      </x:c>
      <x:c r="P7" s="12" t="n">
        <x:f>'SIM_01_Alergi_Imunologi_Rheumat'!Q24</x:f>
        <x:v>4202516375.6063213</x:v>
      </x:c>
      <x:c r="Q7" s="12" t="n">
        <x:f>'SIM_01_Alergi_Imunologi_Rheumat'!R24</x:f>
        <x:v>5199864475.606321</x:v>
      </x:c>
      <x:c r="R7" s="32" t="n">
        <x:f>'SIM_01_Alergi_Imunologi_Rheumat'!S24</x:f>
        <x:v>4.213690661872541</x:v>
      </x:c>
    </x:row>
    <x:row r="8">
      <x:c r="A8" s="8">
        <x:v>2</x:v>
      </x:c>
      <x:c r="B8" s="7" t="str">
        <x:v>ENDOKRIN, NUTRISI DAN METABOLIK</x:v>
      </x:c>
      <x:c r="C8" s="7" t="str">
        <x:v>Endokrin, Nutrisi &amp; Metabolik</x:v>
      </x:c>
      <x:c r="D8" s="7" t="str">
        <x:v>SIM_02_Endokrin_Nutrisi_Metabol</x:v>
      </x:c>
      <x:c r="E8" s="7" t="str">
        <x:v>Paripurna</x:v>
      </x:c>
      <x:c r="F8" s="8">
        <x:v>1</x:v>
      </x:c>
      <x:c r="G8" s="11" t="n">
        <x:f>'SIM_02_Endokrin_Nutrisi_Metabol'!$B$6</x:f>
        <x:v>11414</x:v>
      </x:c>
      <x:c r="H8" s="11" t="n">
        <x:f>'SIM_02_Endokrin_Nutrisi_Metabol'!C19+'SIM_02_Endokrin_Nutrisi_Metabol'!F19</x:f>
        <x:v>37131.106</x:v>
      </x:c>
      <x:c r="I8" s="11" t="n">
        <x:f>'SIM_02_Endokrin_Nutrisi_Metabol'!I19+'SIM_02_Endokrin_Nutrisi_Metabol'!L19</x:f>
        <x:v>3946</x:v>
      </x:c>
      <x:c r="J8" s="11" t="n">
        <x:f>'SIM_02_Endokrin_Nutrisi_Metabol'!N19</x:f>
        <x:v>33185.106</x:v>
      </x:c>
      <x:c r="K8" s="11" t="n">
        <x:f>'SIM_02_Endokrin_Nutrisi_Metabol'!O19</x:f>
        <x:v>44599.106</x:v>
      </x:c>
      <x:c r="L8" s="32" t="n">
        <x:f>'SIM_02_Endokrin_Nutrisi_Metabol'!P19</x:f>
        <x:v>2.907403714736289</x:v>
      </x:c>
      <x:c r="M8" s="12" t="n">
        <x:f>'SIM_02_Endokrin_Nutrisi_Metabol'!$B$7</x:f>
        <x:v>11087283100</x:v>
      </x:c>
      <x:c r="N8" s="12" t="n">
        <x:f>'SIM_02_Endokrin_Nutrisi_Metabol'!D19+'SIM_02_Endokrin_Nutrisi_Metabol'!G19</x:f>
        <x:v>28508824557.23503</x:v>
      </x:c>
      <x:c r="O8" s="12" t="n">
        <x:f>'SIM_02_Endokrin_Nutrisi_Metabol'!J19+'SIM_02_Endokrin_Nutrisi_Metabol'!M19</x:f>
        <x:v>3409446350</x:v>
      </x:c>
      <x:c r="P8" s="12" t="n">
        <x:f>'SIM_02_Endokrin_Nutrisi_Metabol'!Q19</x:f>
        <x:v>25099378207.23503</x:v>
      </x:c>
      <x:c r="Q8" s="12" t="n">
        <x:f>'SIM_02_Endokrin_Nutrisi_Metabol'!R19</x:f>
        <x:v>36186661307.23503</x:v>
      </x:c>
      <x:c r="R8" s="32" t="n">
        <x:f>'SIM_02_Endokrin_Nutrisi_Metabol'!S19</x:f>
        <x:v>2.2637988027233678</x:v>
      </x:c>
    </x:row>
    <x:row r="9">
      <x:c r="A9" s="8">
        <x:v>2</x:v>
      </x:c>
      <x:c r="B9" s="7" t="str">
        <x:v>ENDOKRIN, NUTRISI DAN METABOLIK</x:v>
      </x:c>
      <x:c r="C9" s="7" t="str">
        <x:v>Endokrin, Nutrisi &amp; Metabolik</x:v>
      </x:c>
      <x:c r="D9" s="7" t="str">
        <x:v>SIM_02_Endokrin_Nutrisi_Metabol</x:v>
      </x:c>
      <x:c r="E9" s="7" t="str">
        <x:v>Paripurna</x:v>
      </x:c>
      <x:c r="F9" s="8">
        <x:v>2</x:v>
      </x:c>
      <x:c r="G9" s="11" t="n">
        <x:f>'SIM_02_Endokrin_Nutrisi_Metabol'!$B$6</x:f>
        <x:v>11414</x:v>
      </x:c>
      <x:c r="H9" s="11" t="n">
        <x:f>'SIM_02_Endokrin_Nutrisi_Metabol'!C20+'SIM_02_Endokrin_Nutrisi_Metabol'!F20</x:f>
        <x:v>82864.506</x:v>
      </x:c>
      <x:c r="I9" s="11" t="n">
        <x:f>'SIM_02_Endokrin_Nutrisi_Metabol'!I20+'SIM_02_Endokrin_Nutrisi_Metabol'!L20</x:f>
        <x:v>4735.2</x:v>
      </x:c>
      <x:c r="J9" s="11" t="n">
        <x:f>'SIM_02_Endokrin_Nutrisi_Metabol'!N20</x:f>
        <x:v>78129.306</x:v>
      </x:c>
      <x:c r="K9" s="11" t="n">
        <x:f>'SIM_02_Endokrin_Nutrisi_Metabol'!O20</x:f>
        <x:v>89543.306</x:v>
      </x:c>
      <x:c r="L9" s="32" t="n">
        <x:f>'SIM_02_Endokrin_Nutrisi_Metabol'!P20</x:f>
        <x:v>6.845041703171543</x:v>
      </x:c>
      <x:c r="M9" s="12" t="n">
        <x:f>'SIM_02_Endokrin_Nutrisi_Metabol'!$B$7</x:f>
        <x:v>11087283100</x:v>
      </x:c>
      <x:c r="N9" s="12" t="n">
        <x:f>'SIM_02_Endokrin_Nutrisi_Metabol'!D20+'SIM_02_Endokrin_Nutrisi_Metabol'!G20</x:f>
        <x:v>60971393042.053055</x:v>
      </x:c>
      <x:c r="O9" s="12" t="n">
        <x:f>'SIM_02_Endokrin_Nutrisi_Metabol'!J20+'SIM_02_Endokrin_Nutrisi_Metabol'!M20</x:f>
        <x:v>4091335620</x:v>
      </x:c>
      <x:c r="P9" s="12" t="n">
        <x:f>'SIM_02_Endokrin_Nutrisi_Metabol'!Q20</x:f>
        <x:v>56880057422.053055</x:v>
      </x:c>
      <x:c r="Q9" s="12" t="n">
        <x:f>'SIM_02_Endokrin_Nutrisi_Metabol'!R20</x:f>
        <x:v>67967340522.053055</x:v>
      </x:c>
      <x:c r="R9" s="32" t="n">
        <x:f>'SIM_02_Endokrin_Nutrisi_Metabol'!S20</x:f>
        <x:v>5.130207004640574</x:v>
      </x:c>
    </x:row>
    <x:row r="10">
      <x:c r="A10" s="8">
        <x:v>2</x:v>
      </x:c>
      <x:c r="B10" s="7" t="str">
        <x:v>ENDOKRIN, NUTRISI DAN METABOLIK</x:v>
      </x:c>
      <x:c r="C10" s="7" t="str">
        <x:v>Endokrin, Nutrisi &amp; Metabolik</x:v>
      </x:c>
      <x:c r="D10" s="7" t="str">
        <x:v>SIM_02_Endokrin_Nutrisi_Metabol</x:v>
      </x:c>
      <x:c r="E10" s="7" t="str">
        <x:v>Paripurna</x:v>
      </x:c>
      <x:c r="F10" s="8">
        <x:v>3</x:v>
      </x:c>
      <x:c r="G10" s="11" t="n">
        <x:f>'SIM_02_Endokrin_Nutrisi_Metabol'!$B$6</x:f>
        <x:v>11414</x:v>
      </x:c>
      <x:c r="H10" s="11" t="n">
        <x:f>'SIM_02_Endokrin_Nutrisi_Metabol'!C21+'SIM_02_Endokrin_Nutrisi_Metabol'!F21</x:f>
        <x:v>128597.906</x:v>
      </x:c>
      <x:c r="I10" s="11" t="n">
        <x:f>'SIM_02_Endokrin_Nutrisi_Metabol'!I21+'SIM_02_Endokrin_Nutrisi_Metabol'!L21</x:f>
        <x:v>5524.4</x:v>
      </x:c>
      <x:c r="J10" s="11" t="n">
        <x:f>'SIM_02_Endokrin_Nutrisi_Metabol'!N21</x:f>
        <x:v>123073.50600000001</x:v>
      </x:c>
      <x:c r="K10" s="11" t="n">
        <x:f>'SIM_02_Endokrin_Nutrisi_Metabol'!O21</x:f>
        <x:v>134487.506</x:v>
      </x:c>
      <x:c r="L10" s="32" t="n">
        <x:f>'SIM_02_Endokrin_Nutrisi_Metabol'!P21</x:f>
        <x:v>10.7826796916068</x:v>
      </x:c>
      <x:c r="M10" s="12" t="n">
        <x:f>'SIM_02_Endokrin_Nutrisi_Metabol'!$B$7</x:f>
        <x:v>11087283100</x:v>
      </x:c>
      <x:c r="N10" s="12" t="n">
        <x:f>'SIM_02_Endokrin_Nutrisi_Metabol'!D21+'SIM_02_Endokrin_Nutrisi_Metabol'!G21</x:f>
        <x:v>93433961526.87106</x:v>
      </x:c>
      <x:c r="O10" s="12" t="n">
        <x:f>'SIM_02_Endokrin_Nutrisi_Metabol'!J21+'SIM_02_Endokrin_Nutrisi_Metabol'!M21</x:f>
        <x:v>4773224890</x:v>
      </x:c>
      <x:c r="P10" s="12" t="n">
        <x:f>'SIM_02_Endokrin_Nutrisi_Metabol'!Q21</x:f>
        <x:v>88660736636.87106</x:v>
      </x:c>
      <x:c r="Q10" s="12" t="n">
        <x:f>'SIM_02_Endokrin_Nutrisi_Metabol'!R21</x:f>
        <x:v>99748019736.87106</x:v>
      </x:c>
      <x:c r="R10" s="32" t="n">
        <x:f>'SIM_02_Endokrin_Nutrisi_Metabol'!S21</x:f>
        <x:v>7.996615206557778</x:v>
      </x:c>
    </x:row>
    <x:row r="11">
      <x:c r="A11" s="8">
        <x:v>2</x:v>
      </x:c>
      <x:c r="B11" s="7" t="str">
        <x:v>ENDOKRIN, NUTRISI DAN METABOLIK</x:v>
      </x:c>
      <x:c r="C11" s="7" t="str">
        <x:v>Endokrin, Nutrisi &amp; Metabolik</x:v>
      </x:c>
      <x:c r="D11" s="7" t="str">
        <x:v>SIM_02_Endokrin_Nutrisi_Metabol</x:v>
      </x:c>
      <x:c r="E11" s="7" t="str">
        <x:v>Paripurna</x:v>
      </x:c>
      <x:c r="F11" s="8">
        <x:v>4</x:v>
      </x:c>
      <x:c r="G11" s="11" t="n">
        <x:f>'SIM_02_Endokrin_Nutrisi_Metabol'!$B$6</x:f>
        <x:v>11414</x:v>
      </x:c>
      <x:c r="H11" s="11" t="n">
        <x:f>'SIM_02_Endokrin_Nutrisi_Metabol'!C22+'SIM_02_Endokrin_Nutrisi_Metabol'!F22</x:f>
        <x:v>174331.30599999998</x:v>
      </x:c>
      <x:c r="I11" s="11" t="n">
        <x:f>'SIM_02_Endokrin_Nutrisi_Metabol'!I22+'SIM_02_Endokrin_Nutrisi_Metabol'!L22</x:f>
        <x:v>6313.6</x:v>
      </x:c>
      <x:c r="J11" s="11" t="n">
        <x:f>'SIM_02_Endokrin_Nutrisi_Metabol'!N22</x:f>
        <x:v>168017.70599999998</x:v>
      </x:c>
      <x:c r="K11" s="11" t="n">
        <x:f>'SIM_02_Endokrin_Nutrisi_Metabol'!O22</x:f>
        <x:v>179431.70599999998</x:v>
      </x:c>
      <x:c r="L11" s="32" t="n">
        <x:f>'SIM_02_Endokrin_Nutrisi_Metabol'!P22</x:f>
        <x:v>14.72031768004205</x:v>
      </x:c>
      <x:c r="M11" s="12" t="n">
        <x:f>'SIM_02_Endokrin_Nutrisi_Metabol'!$B$7</x:f>
        <x:v>11087283100</x:v>
      </x:c>
      <x:c r="N11" s="12" t="n">
        <x:f>'SIM_02_Endokrin_Nutrisi_Metabol'!D22+'SIM_02_Endokrin_Nutrisi_Metabol'!G22</x:f>
        <x:v>125896530011.68907</x:v>
      </x:c>
      <x:c r="O11" s="12" t="n">
        <x:f>'SIM_02_Endokrin_Nutrisi_Metabol'!J22+'SIM_02_Endokrin_Nutrisi_Metabol'!M22</x:f>
        <x:v>5455114160</x:v>
      </x:c>
      <x:c r="P11" s="12" t="n">
        <x:f>'SIM_02_Endokrin_Nutrisi_Metabol'!Q22</x:f>
        <x:v>120441415851.68907</x:v>
      </x:c>
      <x:c r="Q11" s="12" t="n">
        <x:f>'SIM_02_Endokrin_Nutrisi_Metabol'!R22</x:f>
        <x:v>131528698951.68907</x:v>
      </x:c>
      <x:c r="R11" s="32" t="n">
        <x:f>'SIM_02_Endokrin_Nutrisi_Metabol'!S22</x:f>
        <x:v>10.863023408474982</x:v>
      </x:c>
    </x:row>
    <x:row r="12">
      <x:c r="A12" s="8">
        <x:v>2</x:v>
      </x:c>
      <x:c r="B12" s="7" t="str">
        <x:v>ENDOKRIN, NUTRISI DAN METABOLIK</x:v>
      </x:c>
      <x:c r="C12" s="7" t="str">
        <x:v>Endokrin, Nutrisi &amp; Metabolik</x:v>
      </x:c>
      <x:c r="D12" s="7" t="str">
        <x:v>SIM_02_Endokrin_Nutrisi_Metabol</x:v>
      </x:c>
      <x:c r="E12" s="7" t="str">
        <x:v>Paripurna</x:v>
      </x:c>
      <x:c r="F12" s="8">
        <x:v>5</x:v>
      </x:c>
      <x:c r="G12" s="11" t="n">
        <x:f>'SIM_02_Endokrin_Nutrisi_Metabol'!$B$6</x:f>
        <x:v>11414</x:v>
      </x:c>
      <x:c r="H12" s="11" t="n">
        <x:f>'SIM_02_Endokrin_Nutrisi_Metabol'!C23+'SIM_02_Endokrin_Nutrisi_Metabol'!F23</x:f>
        <x:v>220064.70599999998</x:v>
      </x:c>
      <x:c r="I12" s="11" t="n">
        <x:f>'SIM_02_Endokrin_Nutrisi_Metabol'!I23+'SIM_02_Endokrin_Nutrisi_Metabol'!L23</x:f>
        <x:v>7102.8</x:v>
      </x:c>
      <x:c r="J12" s="11" t="n">
        <x:f>'SIM_02_Endokrin_Nutrisi_Metabol'!N23</x:f>
        <x:v>212961.906</x:v>
      </x:c>
      <x:c r="K12" s="11" t="n">
        <x:f>'SIM_02_Endokrin_Nutrisi_Metabol'!O23</x:f>
        <x:v>224375.906</x:v>
      </x:c>
      <x:c r="L12" s="32" t="n">
        <x:f>'SIM_02_Endokrin_Nutrisi_Metabol'!P23</x:f>
        <x:v>18.657955668477307</x:v>
      </x:c>
      <x:c r="M12" s="12" t="n">
        <x:f>'SIM_02_Endokrin_Nutrisi_Metabol'!$B$7</x:f>
        <x:v>11087283100</x:v>
      </x:c>
      <x:c r="N12" s="12" t="n">
        <x:f>'SIM_02_Endokrin_Nutrisi_Metabol'!D23+'SIM_02_Endokrin_Nutrisi_Metabol'!G23</x:f>
        <x:v>158359098496.50708</x:v>
      </x:c>
      <x:c r="O12" s="12" t="n">
        <x:f>'SIM_02_Endokrin_Nutrisi_Metabol'!J23+'SIM_02_Endokrin_Nutrisi_Metabol'!M23</x:f>
        <x:v>6137003430</x:v>
      </x:c>
      <x:c r="P12" s="12" t="n">
        <x:f>'SIM_02_Endokrin_Nutrisi_Metabol'!Q23</x:f>
        <x:v>152222095066.50708</x:v>
      </x:c>
      <x:c r="Q12" s="12" t="n">
        <x:f>'SIM_02_Endokrin_Nutrisi_Metabol'!R23</x:f>
        <x:v>163309378166.50708</x:v>
      </x:c>
      <x:c r="R12" s="32" t="n">
        <x:f>'SIM_02_Endokrin_Nutrisi_Metabol'!S23</x:f>
        <x:v>13.729431610392187</x:v>
      </x:c>
    </x:row>
    <x:row r="13">
      <x:c r="A13" s="8">
        <x:v>2</x:v>
      </x:c>
      <x:c r="B13" s="7" t="str">
        <x:v>ENDOKRIN, NUTRISI DAN METABOLIK</x:v>
      </x:c>
      <x:c r="C13" s="7" t="str">
        <x:v>Endokrin, Nutrisi &amp; Metabolik</x:v>
      </x:c>
      <x:c r="D13" s="7" t="str">
        <x:v>SIM_02_Endokrin_Nutrisi_Metabol</x:v>
      </x:c>
      <x:c r="E13" s="7" t="str">
        <x:v>Paripurna</x:v>
      </x:c>
      <x:c r="F13" s="8">
        <x:v>6</x:v>
      </x:c>
      <x:c r="G13" s="11" t="n">
        <x:f>'SIM_02_Endokrin_Nutrisi_Metabol'!$B$6</x:f>
        <x:v>11414</x:v>
      </x:c>
      <x:c r="H13" s="11" t="n">
        <x:f>'SIM_02_Endokrin_Nutrisi_Metabol'!C24+'SIM_02_Endokrin_Nutrisi_Metabol'!F24</x:f>
        <x:v>265798.10599999997</x:v>
      </x:c>
      <x:c r="I13" s="11" t="n">
        <x:f>'SIM_02_Endokrin_Nutrisi_Metabol'!I24+'SIM_02_Endokrin_Nutrisi_Metabol'!L24</x:f>
        <x:v>7892</x:v>
      </x:c>
      <x:c r="J13" s="11" t="n">
        <x:f>'SIM_02_Endokrin_Nutrisi_Metabol'!N24</x:f>
        <x:v>257906.10599999997</x:v>
      </x:c>
      <x:c r="K13" s="11" t="n">
        <x:f>'SIM_02_Endokrin_Nutrisi_Metabol'!O24</x:f>
        <x:v>269320.10599999997</x:v>
      </x:c>
      <x:c r="L13" s="32" t="n">
        <x:f>'SIM_02_Endokrin_Nutrisi_Metabol'!P24</x:f>
        <x:v>22.595593656912563</x:v>
      </x:c>
      <x:c r="M13" s="12" t="n">
        <x:f>'SIM_02_Endokrin_Nutrisi_Metabol'!$B$7</x:f>
        <x:v>11087283100</x:v>
      </x:c>
      <x:c r="N13" s="12" t="n">
        <x:f>'SIM_02_Endokrin_Nutrisi_Metabol'!D24+'SIM_02_Endokrin_Nutrisi_Metabol'!G24</x:f>
        <x:v>190821666981.3251</x:v>
      </x:c>
      <x:c r="O13" s="12" t="n">
        <x:f>'SIM_02_Endokrin_Nutrisi_Metabol'!J24+'SIM_02_Endokrin_Nutrisi_Metabol'!M24</x:f>
        <x:v>6818892700</x:v>
      </x:c>
      <x:c r="P13" s="12" t="n">
        <x:f>'SIM_02_Endokrin_Nutrisi_Metabol'!Q24</x:f>
        <x:v>184002774281.3251</x:v>
      </x:c>
      <x:c r="Q13" s="12" t="n">
        <x:f>'SIM_02_Endokrin_Nutrisi_Metabol'!R24</x:f>
        <x:v>195090057381.3251</x:v>
      </x:c>
      <x:c r="R13" s="32" t="n">
        <x:f>'SIM_02_Endokrin_Nutrisi_Metabol'!S24</x:f>
        <x:v>16.595839812309393</x:v>
      </x:c>
    </x:row>
    <x:row r="14">
      <x:c r="A14" s="8">
        <x:v>3</x:v>
      </x:c>
      <x:c r="B14" s="7" t="str">
        <x:v>GIGI DAN MULUT</x:v>
      </x:c>
      <x:c r="C14" s="7" t="str">
        <x:v>Gigi &amp; Mulut</x:v>
      </x:c>
      <x:c r="D14" s="7" t="str">
        <x:v>SIM_03_Gigi_Mulut</x:v>
      </x:c>
      <x:c r="E14" s="7" t="str">
        <x:v>Utama</x:v>
      </x:c>
      <x:c r="F14" s="8">
        <x:v>1</x:v>
      </x:c>
      <x:c r="G14" s="11" t="n">
        <x:f>'SIM_03_Gigi_Mulut'!$B$6</x:f>
        <x:v>569</x:v>
      </x:c>
      <x:c r="H14" s="11" t="n">
        <x:f>'SIM_03_Gigi_Mulut'!C19+'SIM_03_Gigi_Mulut'!F19</x:f>
        <x:v>5441.303</x:v>
      </x:c>
      <x:c r="I14" s="11" t="n">
        <x:f>'SIM_03_Gigi_Mulut'!I19+'SIM_03_Gigi_Mulut'!L19</x:f>
        <x:v>204</x:v>
      </x:c>
      <x:c r="J14" s="11" t="n">
        <x:f>'SIM_03_Gigi_Mulut'!N19</x:f>
        <x:v>5237.303</x:v>
      </x:c>
      <x:c r="K14" s="11" t="n">
        <x:f>'SIM_03_Gigi_Mulut'!O19</x:f>
        <x:v>5806.303</x:v>
      </x:c>
      <x:c r="L14" s="32" t="n">
        <x:f>'SIM_03_Gigi_Mulut'!P19</x:f>
        <x:v>9.204398945518454</x:v>
      </x:c>
      <x:c r="M14" s="12" t="n">
        <x:f>'SIM_03_Gigi_Mulut'!$B$7</x:f>
        <x:v>1825529800</x:v>
      </x:c>
      <x:c r="N14" s="12" t="n">
        <x:f>'SIM_03_Gigi_Mulut'!D19+'SIM_03_Gigi_Mulut'!G19</x:f>
        <x:v>2837794329.3259287</x:v>
      </x:c>
      <x:c r="O14" s="12" t="n">
        <x:f>'SIM_03_Gigi_Mulut'!J19+'SIM_03_Gigi_Mulut'!M19</x:f>
        <x:v>510378850</x:v>
      </x:c>
      <x:c r="P14" s="12" t="n">
        <x:f>'SIM_03_Gigi_Mulut'!Q19</x:f>
        <x:v>2327415479.3259287</x:v>
      </x:c>
      <x:c r="Q14" s="12" t="n">
        <x:f>'SIM_03_Gigi_Mulut'!R19</x:f>
        <x:v>4152945279.3259287</x:v>
      </x:c>
      <x:c r="R14" s="32" t="n">
        <x:f>'SIM_03_Gigi_Mulut'!S19</x:f>
        <x:v>1.2749260402793363</x:v>
      </x:c>
    </x:row>
    <x:row r="15">
      <x:c r="A15" s="8">
        <x:v>3</x:v>
      </x:c>
      <x:c r="B15" s="7" t="str">
        <x:v>GIGI DAN MULUT</x:v>
      </x:c>
      <x:c r="C15" s="7" t="str">
        <x:v>Gigi &amp; Mulut</x:v>
      </x:c>
      <x:c r="D15" s="7" t="str">
        <x:v>SIM_03_Gigi_Mulut</x:v>
      </x:c>
      <x:c r="E15" s="7" t="str">
        <x:v>Utama</x:v>
      </x:c>
      <x:c r="F15" s="8">
        <x:v>2</x:v>
      </x:c>
      <x:c r="G15" s="11" t="n">
        <x:f>'SIM_03_Gigi_Mulut'!$B$6</x:f>
        <x:v>569</x:v>
      </x:c>
      <x:c r="H15" s="11" t="n">
        <x:f>'SIM_03_Gigi_Mulut'!C20+'SIM_03_Gigi_Mulut'!F20</x:f>
        <x:v>77202.603</x:v>
      </x:c>
      <x:c r="I15" s="11" t="n">
        <x:f>'SIM_03_Gigi_Mulut'!I20+'SIM_03_Gigi_Mulut'!L20</x:f>
        <x:v>244.79999999999998</x:v>
      </x:c>
      <x:c r="J15" s="11" t="n">
        <x:f>'SIM_03_Gigi_Mulut'!N20</x:f>
        <x:v>76957.803</x:v>
      </x:c>
      <x:c r="K15" s="11" t="n">
        <x:f>'SIM_03_Gigi_Mulut'!O20</x:f>
        <x:v>77526.803</x:v>
      </x:c>
      <x:c r="L15" s="32" t="n">
        <x:f>'SIM_03_Gigi_Mulut'!P20</x:f>
        <x:v>135.2509718804921</x:v>
      </x:c>
      <x:c r="M15" s="12" t="n">
        <x:f>'SIM_03_Gigi_Mulut'!$B$7</x:f>
        <x:v>1825529800</x:v>
      </x:c>
      <x:c r="N15" s="12" t="n">
        <x:f>'SIM_03_Gigi_Mulut'!D20+'SIM_03_Gigi_Mulut'!G20</x:f>
        <x:v>41183540371.12891</x:v>
      </x:c>
      <x:c r="O15" s="12" t="n">
        <x:f>'SIM_03_Gigi_Mulut'!J20+'SIM_03_Gigi_Mulut'!M20</x:f>
        <x:v>612454620</x:v>
      </x:c>
      <x:c r="P15" s="12" t="n">
        <x:f>'SIM_03_Gigi_Mulut'!Q20</x:f>
        <x:v>40571085751.12891</x:v>
      </x:c>
      <x:c r="Q15" s="12" t="n">
        <x:f>'SIM_03_Gigi_Mulut'!R20</x:f>
        <x:v>42396615551.12891</x:v>
      </x:c>
      <x:c r="R15" s="32" t="n">
        <x:f>'SIM_03_Gigi_Mulut'!S20</x:f>
        <x:v>22.224280179446485</x:v>
      </x:c>
    </x:row>
    <x:row r="16">
      <x:c r="A16" s="8">
        <x:v>3</x:v>
      </x:c>
      <x:c r="B16" s="7" t="str">
        <x:v>GIGI DAN MULUT</x:v>
      </x:c>
      <x:c r="C16" s="7" t="str">
        <x:v>Gigi &amp; Mulut</x:v>
      </x:c>
      <x:c r="D16" s="7" t="str">
        <x:v>SIM_03_Gigi_Mulut</x:v>
      </x:c>
      <x:c r="E16" s="7" t="str">
        <x:v>Utama</x:v>
      </x:c>
      <x:c r="F16" s="8">
        <x:v>3</x:v>
      </x:c>
      <x:c r="G16" s="11" t="n">
        <x:f>'SIM_03_Gigi_Mulut'!$B$6</x:f>
        <x:v>569</x:v>
      </x:c>
      <x:c r="H16" s="11" t="n">
        <x:f>'SIM_03_Gigi_Mulut'!C21+'SIM_03_Gigi_Mulut'!F21</x:f>
        <x:v>148963.903</x:v>
      </x:c>
      <x:c r="I16" s="11" t="n">
        <x:f>'SIM_03_Gigi_Mulut'!I21+'SIM_03_Gigi_Mulut'!L21</x:f>
        <x:v>285.59999999999997</x:v>
      </x:c>
      <x:c r="J16" s="11" t="n">
        <x:f>'SIM_03_Gigi_Mulut'!N21</x:f>
        <x:v>148678.30299999999</x:v>
      </x:c>
      <x:c r="K16" s="11" t="n">
        <x:f>'SIM_03_Gigi_Mulut'!O21</x:f>
        <x:v>149247.30299999999</x:v>
      </x:c>
      <x:c r="L16" s="32" t="n">
        <x:f>'SIM_03_Gigi_Mulut'!P21</x:f>
        <x:v>261.2975448154657</x:v>
      </x:c>
      <x:c r="M16" s="12" t="n">
        <x:f>'SIM_03_Gigi_Mulut'!$B$7</x:f>
        <x:v>1825529800</x:v>
      </x:c>
      <x:c r="N16" s="12" t="n">
        <x:f>'SIM_03_Gigi_Mulut'!D21+'SIM_03_Gigi_Mulut'!G21</x:f>
        <x:v>79529286412.93188</x:v>
      </x:c>
      <x:c r="O16" s="12" t="n">
        <x:f>'SIM_03_Gigi_Mulut'!J21+'SIM_03_Gigi_Mulut'!M21</x:f>
        <x:v>714530390</x:v>
      </x:c>
      <x:c r="P16" s="12" t="n">
        <x:f>'SIM_03_Gigi_Mulut'!Q21</x:f>
        <x:v>78814756022.93188</x:v>
      </x:c>
      <x:c r="Q16" s="12" t="n">
        <x:f>'SIM_03_Gigi_Mulut'!R21</x:f>
        <x:v>80640285822.93188</x:v>
      </x:c>
      <x:c r="R16" s="32" t="n">
        <x:f>'SIM_03_Gigi_Mulut'!S21</x:f>
        <x:v>43.17363431861364</x:v>
      </x:c>
    </x:row>
    <x:row r="17">
      <x:c r="A17" s="8">
        <x:v>3</x:v>
      </x:c>
      <x:c r="B17" s="7" t="str">
        <x:v>GIGI DAN MULUT</x:v>
      </x:c>
      <x:c r="C17" s="7" t="str">
        <x:v>Gigi &amp; Mulut</x:v>
      </x:c>
      <x:c r="D17" s="7" t="str">
        <x:v>SIM_03_Gigi_Mulut</x:v>
      </x:c>
      <x:c r="E17" s="7" t="str">
        <x:v>Utama</x:v>
      </x:c>
      <x:c r="F17" s="8">
        <x:v>4</x:v>
      </x:c>
      <x:c r="G17" s="11" t="n">
        <x:f>'SIM_03_Gigi_Mulut'!$B$6</x:f>
        <x:v>569</x:v>
      </x:c>
      <x:c r="H17" s="11" t="n">
        <x:f>'SIM_03_Gigi_Mulut'!C22+'SIM_03_Gigi_Mulut'!F22</x:f>
        <x:v>220725.203</x:v>
      </x:c>
      <x:c r="I17" s="11" t="n">
        <x:f>'SIM_03_Gigi_Mulut'!I22+'SIM_03_Gigi_Mulut'!L22</x:f>
        <x:v>326.40000000000003</x:v>
      </x:c>
      <x:c r="J17" s="11" t="n">
        <x:f>'SIM_03_Gigi_Mulut'!N22</x:f>
        <x:v>220398.803</x:v>
      </x:c>
      <x:c r="K17" s="11" t="n">
        <x:f>'SIM_03_Gigi_Mulut'!O22</x:f>
        <x:v>220967.803</x:v>
      </x:c>
      <x:c r="L17" s="32" t="n">
        <x:f>'SIM_03_Gigi_Mulut'!P22</x:f>
        <x:v>387.3441177504394</x:v>
      </x:c>
      <x:c r="M17" s="12" t="n">
        <x:f>'SIM_03_Gigi_Mulut'!$B$7</x:f>
        <x:v>1825529800</x:v>
      </x:c>
      <x:c r="N17" s="12" t="n">
        <x:f>'SIM_03_Gigi_Mulut'!D22+'SIM_03_Gigi_Mulut'!G22</x:f>
        <x:v>117875032454.73485</x:v>
      </x:c>
      <x:c r="O17" s="12" t="n">
        <x:f>'SIM_03_Gigi_Mulut'!J22+'SIM_03_Gigi_Mulut'!M22</x:f>
        <x:v>816606160</x:v>
      </x:c>
      <x:c r="P17" s="12" t="n">
        <x:f>'SIM_03_Gigi_Mulut'!Q22</x:f>
        <x:v>117058426294.73485</x:v>
      </x:c>
      <x:c r="Q17" s="12" t="n">
        <x:f>'SIM_03_Gigi_Mulut'!R22</x:f>
        <x:v>118883956094.73485</x:v>
      </x:c>
      <x:c r="R17" s="32" t="n">
        <x:f>'SIM_03_Gigi_Mulut'!S22</x:f>
        <x:v>64.12298845778078</x:v>
      </x:c>
    </x:row>
    <x:row r="18">
      <x:c r="A18" s="8">
        <x:v>3</x:v>
      </x:c>
      <x:c r="B18" s="7" t="str">
        <x:v>GIGI DAN MULUT</x:v>
      </x:c>
      <x:c r="C18" s="7" t="str">
        <x:v>Gigi &amp; Mulut</x:v>
      </x:c>
      <x:c r="D18" s="7" t="str">
        <x:v>SIM_03_Gigi_Mulut</x:v>
      </x:c>
      <x:c r="E18" s="7" t="str">
        <x:v>Utama</x:v>
      </x:c>
      <x:c r="F18" s="8">
        <x:v>5</x:v>
      </x:c>
      <x:c r="G18" s="11" t="n">
        <x:f>'SIM_03_Gigi_Mulut'!$B$6</x:f>
        <x:v>569</x:v>
      </x:c>
      <x:c r="H18" s="11" t="n">
        <x:f>'SIM_03_Gigi_Mulut'!C23+'SIM_03_Gigi_Mulut'!F23</x:f>
        <x:v>292486.503</x:v>
      </x:c>
      <x:c r="I18" s="11" t="n">
        <x:f>'SIM_03_Gigi_Mulut'!I23+'SIM_03_Gigi_Mulut'!L23</x:f>
        <x:v>367.2</x:v>
      </x:c>
      <x:c r="J18" s="11" t="n">
        <x:f>'SIM_03_Gigi_Mulut'!N23</x:f>
        <x:v>292119.303</x:v>
      </x:c>
      <x:c r="K18" s="11" t="n">
        <x:f>'SIM_03_Gigi_Mulut'!O23</x:f>
        <x:v>292688.303</x:v>
      </x:c>
      <x:c r="L18" s="32" t="n">
        <x:f>'SIM_03_Gigi_Mulut'!P23</x:f>
        <x:v>513.390690685413</x:v>
      </x:c>
      <x:c r="M18" s="12" t="n">
        <x:f>'SIM_03_Gigi_Mulut'!$B$7</x:f>
        <x:v>1825529800</x:v>
      </x:c>
      <x:c r="N18" s="12" t="n">
        <x:f>'SIM_03_Gigi_Mulut'!D23+'SIM_03_Gigi_Mulut'!G23</x:f>
        <x:v>156220778496.53784</x:v>
      </x:c>
      <x:c r="O18" s="12" t="n">
        <x:f>'SIM_03_Gigi_Mulut'!J23+'SIM_03_Gigi_Mulut'!M23</x:f>
        <x:v>918681930</x:v>
      </x:c>
      <x:c r="P18" s="12" t="n">
        <x:f>'SIM_03_Gigi_Mulut'!Q23</x:f>
        <x:v>155302096566.53784</x:v>
      </x:c>
      <x:c r="Q18" s="12" t="n">
        <x:f>'SIM_03_Gigi_Mulut'!R23</x:f>
        <x:v>157127626366.53784</x:v>
      </x:c>
      <x:c r="R18" s="32" t="n">
        <x:f>'SIM_03_Gigi_Mulut'!S23</x:f>
        <x:v>85.07234259694793</x:v>
      </x:c>
    </x:row>
    <x:row r="19">
      <x:c r="A19" s="8">
        <x:v>3</x:v>
      </x:c>
      <x:c r="B19" s="7" t="str">
        <x:v>GIGI DAN MULUT</x:v>
      </x:c>
      <x:c r="C19" s="7" t="str">
        <x:v>Gigi &amp; Mulut</x:v>
      </x:c>
      <x:c r="D19" s="7" t="str">
        <x:v>SIM_03_Gigi_Mulut</x:v>
      </x:c>
      <x:c r="E19" s="7" t="str">
        <x:v>Utama</x:v>
      </x:c>
      <x:c r="F19" s="8">
        <x:v>6</x:v>
      </x:c>
      <x:c r="G19" s="11" t="n">
        <x:f>'SIM_03_Gigi_Mulut'!$B$6</x:f>
        <x:v>569</x:v>
      </x:c>
      <x:c r="H19" s="11" t="n">
        <x:f>'SIM_03_Gigi_Mulut'!C24+'SIM_03_Gigi_Mulut'!F24</x:f>
        <x:v>364247.803</x:v>
      </x:c>
      <x:c r="I19" s="11" t="n">
        <x:f>'SIM_03_Gigi_Mulut'!I24+'SIM_03_Gigi_Mulut'!L24</x:f>
        <x:v>408</x:v>
      </x:c>
      <x:c r="J19" s="11" t="n">
        <x:f>'SIM_03_Gigi_Mulut'!N24</x:f>
        <x:v>363839.803</x:v>
      </x:c>
      <x:c r="K19" s="11" t="n">
        <x:f>'SIM_03_Gigi_Mulut'!O24</x:f>
        <x:v>364408.803</x:v>
      </x:c>
      <x:c r="L19" s="32" t="n">
        <x:f>'SIM_03_Gigi_Mulut'!P24</x:f>
        <x:v>639.4372636203867</x:v>
      </x:c>
      <x:c r="M19" s="12" t="n">
        <x:f>'SIM_03_Gigi_Mulut'!$B$7</x:f>
        <x:v>1825529800</x:v>
      </x:c>
      <x:c r="N19" s="12" t="n">
        <x:f>'SIM_03_Gigi_Mulut'!D24+'SIM_03_Gigi_Mulut'!G24</x:f>
        <x:v>194566524538.34082</x:v>
      </x:c>
      <x:c r="O19" s="12" t="n">
        <x:f>'SIM_03_Gigi_Mulut'!J24+'SIM_03_Gigi_Mulut'!M24</x:f>
        <x:v>1020757700</x:v>
      </x:c>
      <x:c r="P19" s="12" t="n">
        <x:f>'SIM_03_Gigi_Mulut'!Q24</x:f>
        <x:v>193545766838.34082</x:v>
      </x:c>
      <x:c r="Q19" s="12" t="n">
        <x:f>'SIM_03_Gigi_Mulut'!R24</x:f>
        <x:v>195371296638.34082</x:v>
      </x:c>
      <x:c r="R19" s="32" t="n">
        <x:f>'SIM_03_Gigi_Mulut'!S24</x:f>
        <x:v>106.02169673611509</x:v>
      </x:c>
    </x:row>
    <x:row r="20">
      <x:c r="A20" s="8">
        <x:v>4</x:v>
      </x:c>
      <x:c r="B20" s="7" t="str">
        <x:v>HEMATOLOGI</x:v>
      </x:c>
      <x:c r="C20" s="7" t="str">
        <x:v>Hematologi</x:v>
      </x:c>
      <x:c r="D20" s="7" t="str">
        <x:v>SIM_04_Hematologi</x:v>
      </x:c>
      <x:c r="E20" s="7" t="str">
        <x:v>Utama</x:v>
      </x:c>
      <x:c r="F20" s="8">
        <x:v>1</x:v>
      </x:c>
      <x:c r="G20" s="11" t="n">
        <x:f>'SIM_04_Hematologi'!$B$6</x:f>
        <x:v>8080</x:v>
      </x:c>
      <x:c r="H20" s="11" t="n">
        <x:f>'SIM_04_Hematologi'!C19+'SIM_04_Hematologi'!F19</x:f>
        <x:v>6639.995</x:v>
      </x:c>
      <x:c r="I20" s="11" t="n">
        <x:f>'SIM_04_Hematologi'!I19+'SIM_04_Hematologi'!L19</x:f>
        <x:v>1673.5</x:v>
      </x:c>
      <x:c r="J20" s="11" t="n">
        <x:f>'SIM_04_Hematologi'!N19</x:f>
        <x:v>4966.495</x:v>
      </x:c>
      <x:c r="K20" s="11" t="n">
        <x:f>'SIM_04_Hematologi'!O19</x:f>
        <x:v>13046.494999999999</x:v>
      </x:c>
      <x:c r="L20" s="32" t="n">
        <x:f>'SIM_04_Hematologi'!P19</x:f>
        <x:v>0.6146652227722772</x:v>
      </x:c>
      <x:c r="M20" s="12" t="n">
        <x:f>'SIM_04_Hematologi'!$B$7</x:f>
        <x:v>19189811600</x:v>
      </x:c>
      <x:c r="N20" s="12" t="n">
        <x:f>'SIM_04_Hematologi'!D19+'SIM_04_Hematologi'!G19</x:f>
        <x:v>12260213413.651045</x:v>
      </x:c>
      <x:c r="O20" s="12" t="n">
        <x:f>'SIM_04_Hematologi'!J19+'SIM_04_Hematologi'!M19</x:f>
        <x:v>8081706200</x:v>
      </x:c>
      <x:c r="P20" s="12" t="n">
        <x:f>'SIM_04_Hematologi'!Q19</x:f>
        <x:v>4178507213.651045</x:v>
      </x:c>
      <x:c r="Q20" s="12" t="n">
        <x:f>'SIM_04_Hematologi'!R19</x:f>
        <x:v>23368318813.651047</x:v>
      </x:c>
      <x:c r="R20" s="32" t="n">
        <x:f>'SIM_04_Hematologi'!S19</x:f>
        <x:v>0.21774613012099842</x:v>
      </x:c>
    </x:row>
    <x:row r="21">
      <x:c r="A21" s="8">
        <x:v>4</x:v>
      </x:c>
      <x:c r="B21" s="7" t="str">
        <x:v>HEMATOLOGI</x:v>
      </x:c>
      <x:c r="C21" s="7" t="str">
        <x:v>Hematologi</x:v>
      </x:c>
      <x:c r="D21" s="7" t="str">
        <x:v>SIM_04_Hematologi</x:v>
      </x:c>
      <x:c r="E21" s="7" t="str">
        <x:v>Utama</x:v>
      </x:c>
      <x:c r="F21" s="8">
        <x:v>2</x:v>
      </x:c>
      <x:c r="G21" s="11" t="n">
        <x:f>'SIM_04_Hematologi'!$B$6</x:f>
        <x:v>8080</x:v>
      </x:c>
      <x:c r="H21" s="11" t="n">
        <x:f>'SIM_04_Hematologi'!C20+'SIM_04_Hematologi'!F20</x:f>
        <x:v>49169.495</x:v>
      </x:c>
      <x:c r="I21" s="11" t="n">
        <x:f>'SIM_04_Hematologi'!I20+'SIM_04_Hematologi'!L20</x:f>
        <x:v>1842.6</x:v>
      </x:c>
      <x:c r="J21" s="11" t="n">
        <x:f>'SIM_04_Hematologi'!N20</x:f>
        <x:v>47326.895000000004</x:v>
      </x:c>
      <x:c r="K21" s="11" t="n">
        <x:f>'SIM_04_Hematologi'!O20</x:f>
        <x:v>55406.895000000004</x:v>
      </x:c>
      <x:c r="L21" s="32" t="n">
        <x:f>'SIM_04_Hematologi'!P20</x:f>
        <x:v>5.857288985148515</x:v>
      </x:c>
      <x:c r="M21" s="12" t="n">
        <x:f>'SIM_04_Hematologi'!$B$7</x:f>
        <x:v>19189811600</x:v>
      </x:c>
      <x:c r="N21" s="12" t="n">
        <x:f>'SIM_04_Hematologi'!D20+'SIM_04_Hematologi'!G20</x:f>
        <x:v>107769262425.9792</x:v>
      </x:c>
      <x:c r="O21" s="12" t="n">
        <x:f>'SIM_04_Hematologi'!J20+'SIM_04_Hematologi'!M20</x:f>
        <x:v>8461898380</x:v>
      </x:c>
      <x:c r="P21" s="12" t="n">
        <x:f>'SIM_04_Hematologi'!Q20</x:f>
        <x:v>99307364045.9792</x:v>
      </x:c>
      <x:c r="Q21" s="12" t="n">
        <x:f>'SIM_04_Hematologi'!R20</x:f>
        <x:v>118497175645.9792</x:v>
      </x:c>
      <x:c r="R21" s="32" t="n">
        <x:f>'SIM_04_Hematologi'!S20</x:f>
        <x:v>5.175004638710429</x:v>
      </x:c>
    </x:row>
    <x:row r="22">
      <x:c r="A22" s="8">
        <x:v>4</x:v>
      </x:c>
      <x:c r="B22" s="7" t="str">
        <x:v>HEMATOLOGI</x:v>
      </x:c>
      <x:c r="C22" s="7" t="str">
        <x:v>Hematologi</x:v>
      </x:c>
      <x:c r="D22" s="7" t="str">
        <x:v>SIM_04_Hematologi</x:v>
      </x:c>
      <x:c r="E22" s="7" t="str">
        <x:v>Utama</x:v>
      </x:c>
      <x:c r="F22" s="8">
        <x:v>3</x:v>
      </x:c>
      <x:c r="G22" s="11" t="n">
        <x:f>'SIM_04_Hematologi'!$B$6</x:f>
        <x:v>8080</x:v>
      </x:c>
      <x:c r="H22" s="11" t="n">
        <x:f>'SIM_04_Hematologi'!C21+'SIM_04_Hematologi'!F21</x:f>
        <x:v>91698.995</x:v>
      </x:c>
      <x:c r="I22" s="11" t="n">
        <x:f>'SIM_04_Hematologi'!I21+'SIM_04_Hematologi'!L21</x:f>
        <x:v>2011.6999999999998</x:v>
      </x:c>
      <x:c r="J22" s="11" t="n">
        <x:f>'SIM_04_Hematologi'!N21</x:f>
        <x:v>89687.295</x:v>
      </x:c>
      <x:c r="K22" s="11" t="n">
        <x:f>'SIM_04_Hematologi'!O21</x:f>
        <x:v>97767.295</x:v>
      </x:c>
      <x:c r="L22" s="32" t="n">
        <x:f>'SIM_04_Hematologi'!P21</x:f>
        <x:v>11.099912747524753</x:v>
      </x:c>
      <x:c r="M22" s="12" t="n">
        <x:f>'SIM_04_Hematologi'!$B$7</x:f>
        <x:v>19189811600</x:v>
      </x:c>
      <x:c r="N22" s="12" t="n">
        <x:f>'SIM_04_Hematologi'!D21+'SIM_04_Hematologi'!G21</x:f>
        <x:v>203278311438.30734</x:v>
      </x:c>
      <x:c r="O22" s="12" t="n">
        <x:f>'SIM_04_Hematologi'!J21+'SIM_04_Hematologi'!M21</x:f>
        <x:v>8842090560</x:v>
      </x:c>
      <x:c r="P22" s="12" t="n">
        <x:f>'SIM_04_Hematologi'!Q21</x:f>
        <x:v>194436220878.30734</x:v>
      </x:c>
      <x:c r="Q22" s="12" t="n">
        <x:f>'SIM_04_Hematologi'!R21</x:f>
        <x:v>213626032478.30734</x:v>
      </x:c>
      <x:c r="R22" s="32" t="n">
        <x:f>'SIM_04_Hematologi'!S21</x:f>
        <x:v>10.13226314729986</x:v>
      </x:c>
    </x:row>
    <x:row r="23">
      <x:c r="A23" s="8">
        <x:v>4</x:v>
      </x:c>
      <x:c r="B23" s="7" t="str">
        <x:v>HEMATOLOGI</x:v>
      </x:c>
      <x:c r="C23" s="7" t="str">
        <x:v>Hematologi</x:v>
      </x:c>
      <x:c r="D23" s="7" t="str">
        <x:v>SIM_04_Hematologi</x:v>
      </x:c>
      <x:c r="E23" s="7" t="str">
        <x:v>Utama</x:v>
      </x:c>
      <x:c r="F23" s="8">
        <x:v>4</x:v>
      </x:c>
      <x:c r="G23" s="11" t="n">
        <x:f>'SIM_04_Hematologi'!$B$6</x:f>
        <x:v>8080</x:v>
      </x:c>
      <x:c r="H23" s="11" t="n">
        <x:f>'SIM_04_Hematologi'!C22+'SIM_04_Hematologi'!F22</x:f>
        <x:v>134228.495</x:v>
      </x:c>
      <x:c r="I23" s="11" t="n">
        <x:f>'SIM_04_Hematologi'!I22+'SIM_04_Hematologi'!L22</x:f>
        <x:v>2180.8</x:v>
      </x:c>
      <x:c r="J23" s="11" t="n">
        <x:f>'SIM_04_Hematologi'!N22</x:f>
        <x:v>132047.695</x:v>
      </x:c>
      <x:c r="K23" s="11" t="n">
        <x:f>'SIM_04_Hematologi'!O22</x:f>
        <x:v>140127.695</x:v>
      </x:c>
      <x:c r="L23" s="32" t="n">
        <x:f>'SIM_04_Hematologi'!P22</x:f>
        <x:v>16.34253650990099</x:v>
      </x:c>
      <x:c r="M23" s="12" t="n">
        <x:f>'SIM_04_Hematologi'!$B$7</x:f>
        <x:v>19189811600</x:v>
      </x:c>
      <x:c r="N23" s="12" t="n">
        <x:f>'SIM_04_Hematologi'!D22+'SIM_04_Hematologi'!G22</x:f>
        <x:v>298787360450.6355</x:v>
      </x:c>
      <x:c r="O23" s="12" t="n">
        <x:f>'SIM_04_Hematologi'!J22+'SIM_04_Hematologi'!M22</x:f>
        <x:v>9222282740</x:v>
      </x:c>
      <x:c r="P23" s="12" t="n">
        <x:f>'SIM_04_Hematologi'!Q22</x:f>
        <x:v>289565077710.6355</x:v>
      </x:c>
      <x:c r="Q23" s="12" t="n">
        <x:f>'SIM_04_Hematologi'!R22</x:f>
        <x:v>308754889310.6355</x:v>
      </x:c>
      <x:c r="R23" s="32" t="n">
        <x:f>'SIM_04_Hematologi'!S22</x:f>
        <x:v>15.089521655889289</x:v>
      </x:c>
    </x:row>
    <x:row r="24">
      <x:c r="A24" s="8">
        <x:v>4</x:v>
      </x:c>
      <x:c r="B24" s="7" t="str">
        <x:v>HEMATOLOGI</x:v>
      </x:c>
      <x:c r="C24" s="7" t="str">
        <x:v>Hematologi</x:v>
      </x:c>
      <x:c r="D24" s="7" t="str">
        <x:v>SIM_04_Hematologi</x:v>
      </x:c>
      <x:c r="E24" s="7" t="str">
        <x:v>Utama</x:v>
      </x:c>
      <x:c r="F24" s="8">
        <x:v>5</x:v>
      </x:c>
      <x:c r="G24" s="11" t="n">
        <x:f>'SIM_04_Hematologi'!$B$6</x:f>
        <x:v>8080</x:v>
      </x:c>
      <x:c r="H24" s="11" t="n">
        <x:f>'SIM_04_Hematologi'!C23+'SIM_04_Hematologi'!F23</x:f>
        <x:v>176757.995</x:v>
      </x:c>
      <x:c r="I24" s="11" t="n">
        <x:f>'SIM_04_Hematologi'!I23+'SIM_04_Hematologi'!L23</x:f>
        <x:v>2349.9</x:v>
      </x:c>
      <x:c r="J24" s="11" t="n">
        <x:f>'SIM_04_Hematologi'!N23</x:f>
        <x:v>174408.095</x:v>
      </x:c>
      <x:c r="K24" s="11" t="n">
        <x:f>'SIM_04_Hematologi'!O23</x:f>
        <x:v>182488.095</x:v>
      </x:c>
      <x:c r="L24" s="32" t="n">
        <x:f>'SIM_04_Hematologi'!P23</x:f>
        <x:v>21.58516027227723</x:v>
      </x:c>
      <x:c r="M24" s="12" t="n">
        <x:f>'SIM_04_Hematologi'!$B$7</x:f>
        <x:v>19189811600</x:v>
      </x:c>
      <x:c r="N24" s="12" t="n">
        <x:f>'SIM_04_Hematologi'!D23+'SIM_04_Hematologi'!G23</x:f>
        <x:v>394296409462.9636</x:v>
      </x:c>
      <x:c r="O24" s="12" t="n">
        <x:f>'SIM_04_Hematologi'!J23+'SIM_04_Hematologi'!M23</x:f>
        <x:v>9602474920</x:v>
      </x:c>
      <x:c r="P24" s="12" t="n">
        <x:f>'SIM_04_Hematologi'!Q23</x:f>
        <x:v>384693934542.9636</x:v>
      </x:c>
      <x:c r="Q24" s="12" t="n">
        <x:f>'SIM_04_Hematologi'!R23</x:f>
        <x:v>403883746142.9636</x:v>
      </x:c>
      <x:c r="R24" s="32" t="n">
        <x:f>'SIM_04_Hematologi'!S23</x:f>
        <x:v>20.04678016447872</x:v>
      </x:c>
    </x:row>
    <x:row r="25">
      <x:c r="A25" s="8">
        <x:v>4</x:v>
      </x:c>
      <x:c r="B25" s="7" t="str">
        <x:v>HEMATOLOGI</x:v>
      </x:c>
      <x:c r="C25" s="7" t="str">
        <x:v>Hematologi</x:v>
      </x:c>
      <x:c r="D25" s="7" t="str">
        <x:v>SIM_04_Hematologi</x:v>
      </x:c>
      <x:c r="E25" s="7" t="str">
        <x:v>Utama</x:v>
      </x:c>
      <x:c r="F25" s="8">
        <x:v>6</x:v>
      </x:c>
      <x:c r="G25" s="11" t="n">
        <x:f>'SIM_04_Hematologi'!$B$6</x:f>
        <x:v>8080</x:v>
      </x:c>
      <x:c r="H25" s="11" t="n">
        <x:f>'SIM_04_Hematologi'!C24+'SIM_04_Hematologi'!F24</x:f>
        <x:v>219287.495</x:v>
      </x:c>
      <x:c r="I25" s="11" t="n">
        <x:f>'SIM_04_Hematologi'!I24+'SIM_04_Hematologi'!L24</x:f>
        <x:v>2519</x:v>
      </x:c>
      <x:c r="J25" s="11" t="n">
        <x:f>'SIM_04_Hematologi'!N24</x:f>
        <x:v>216768.495</x:v>
      </x:c>
      <x:c r="K25" s="11" t="n">
        <x:f>'SIM_04_Hematologi'!O24</x:f>
        <x:v>224848.495</x:v>
      </x:c>
      <x:c r="L25" s="32" t="n">
        <x:f>'SIM_04_Hematologi'!P24</x:f>
        <x:v>26.827784034653465</x:v>
      </x:c>
      <x:c r="M25" s="12" t="n">
        <x:f>'SIM_04_Hematologi'!$B$7</x:f>
        <x:v>19189811600</x:v>
      </x:c>
      <x:c r="N25" s="12" t="n">
        <x:f>'SIM_04_Hematologi'!D24+'SIM_04_Hematologi'!G24</x:f>
        <x:v>489805458475.29175</x:v>
      </x:c>
      <x:c r="O25" s="12" t="n">
        <x:f>'SIM_04_Hematologi'!J24+'SIM_04_Hematologi'!M24</x:f>
        <x:v>9982667100</x:v>
      </x:c>
      <x:c r="P25" s="12" t="n">
        <x:f>'SIM_04_Hematologi'!Q24</x:f>
        <x:v>479822791375.29175</x:v>
      </x:c>
      <x:c r="Q25" s="12" t="n">
        <x:f>'SIM_04_Hematologi'!R24</x:f>
        <x:v>499012602975.29175</x:v>
      </x:c>
      <x:c r="R25" s="32" t="n">
        <x:f>'SIM_04_Hematologi'!S24</x:f>
        <x:v>25.00403867306815</x:v>
      </x:c>
    </x:row>
    <x:row r="26">
      <x:c r="A26" s="8">
        <x:v>5</x:v>
      </x:c>
      <x:c r="B26" s="7" t="str">
        <x:v>IBU DAN GINEKOLOGI</x:v>
      </x:c>
      <x:c r="C26" s="7" t="str">
        <x:v>Ibu &amp; Ginekologi</x:v>
      </x:c>
      <x:c r="D26" s="7" t="str">
        <x:v>SIM_05_Ibu_Ginekologi</x:v>
      </x:c>
      <x:c r="E26" s="7" t="str">
        <x:v>Paripurna</x:v>
      </x:c>
      <x:c r="F26" s="8">
        <x:v>1</x:v>
      </x:c>
      <x:c r="G26" s="11" t="n">
        <x:f>'SIM_05_Ibu_Ginekologi'!$B$6</x:f>
        <x:v>27998</x:v>
      </x:c>
      <x:c r="H26" s="11" t="n">
        <x:f>'SIM_05_Ibu_Ginekologi'!C19+'SIM_05_Ibu_Ginekologi'!F19</x:f>
        <x:v>14318.079</x:v>
      </x:c>
      <x:c r="I26" s="11" t="n">
        <x:f>'SIM_05_Ibu_Ginekologi'!I19+'SIM_05_Ibu_Ginekologi'!L19</x:f>
        <x:v>12003.5</x:v>
      </x:c>
      <x:c r="J26" s="11" t="n">
        <x:f>'SIM_05_Ibu_Ginekologi'!N19</x:f>
        <x:v>2314.5789999999997</x:v>
      </x:c>
      <x:c r="K26" s="11" t="n">
        <x:f>'SIM_05_Ibu_Ginekologi'!O19</x:f>
        <x:v>30312.578999999998</x:v>
      </x:c>
      <x:c r="L26" s="32" t="n">
        <x:f>'SIM_05_Ibu_Ginekologi'!P19</x:f>
        <x:v>0.08266944067433388</x:v>
      </x:c>
      <x:c r="M26" s="12" t="n">
        <x:f>'SIM_05_Ibu_Ginekologi'!$B$7</x:f>
        <x:v>37027035400</x:v>
      </x:c>
      <x:c r="N26" s="12" t="n">
        <x:f>'SIM_05_Ibu_Ginekologi'!D19+'SIM_05_Ibu_Ginekologi'!G19</x:f>
        <x:v>54802146245.61903</x:v>
      </x:c>
      <x:c r="O26" s="12" t="n">
        <x:f>'SIM_05_Ibu_Ginekologi'!J19+'SIM_05_Ibu_Ginekologi'!M19</x:f>
        <x:v>10415398000</x:v>
      </x:c>
      <x:c r="P26" s="12" t="n">
        <x:f>'SIM_05_Ibu_Ginekologi'!Q19</x:f>
        <x:v>44386748245.61903</x:v>
      </x:c>
      <x:c r="Q26" s="12" t="n">
        <x:f>'SIM_05_Ibu_Ginekologi'!R19</x:f>
        <x:v>81413783645.61903</x:v>
      </x:c>
      <x:c r="R26" s="32" t="n">
        <x:f>'SIM_05_Ibu_Ginekologi'!S19</x:f>
        <x:v>1.1987659224162202</x:v>
      </x:c>
    </x:row>
    <x:row r="27">
      <x:c r="A27" s="8">
        <x:v>5</x:v>
      </x:c>
      <x:c r="B27" s="7" t="str">
        <x:v>IBU DAN GINEKOLOGI</x:v>
      </x:c>
      <x:c r="C27" s="7" t="str">
        <x:v>Ibu &amp; Ginekologi</x:v>
      </x:c>
      <x:c r="D27" s="7" t="str">
        <x:v>SIM_05_Ibu_Ginekologi</x:v>
      </x:c>
      <x:c r="E27" s="7" t="str">
        <x:v>Paripurna</x:v>
      </x:c>
      <x:c r="F27" s="8">
        <x:v>2</x:v>
      </x:c>
      <x:c r="G27" s="11" t="n">
        <x:f>'SIM_05_Ibu_Ginekologi'!$B$6</x:f>
        <x:v>27998</x:v>
      </x:c>
      <x:c r="H27" s="11" t="n">
        <x:f>'SIM_05_Ibu_Ginekologi'!C20+'SIM_05_Ibu_Ginekologi'!F20</x:f>
        <x:v>43535.779</x:v>
      </x:c>
      <x:c r="I27" s="11" t="n">
        <x:f>'SIM_05_Ibu_Ginekologi'!I20+'SIM_05_Ibu_Ginekologi'!L20</x:f>
        <x:v>14404.2</x:v>
      </x:c>
      <x:c r="J27" s="11" t="n">
        <x:f>'SIM_05_Ibu_Ginekologi'!N20</x:f>
        <x:v>29131.579</x:v>
      </x:c>
      <x:c r="K27" s="11" t="n">
        <x:f>'SIM_05_Ibu_Ginekologi'!O20</x:f>
        <x:v>57129.579</x:v>
      </x:c>
      <x:c r="L27" s="32" t="n">
        <x:f>'SIM_05_Ibu_Ginekologi'!P20</x:f>
        <x:v>1.0404878562754483</x:v>
      </x:c>
      <x:c r="M27" s="12" t="n">
        <x:f>'SIM_05_Ibu_Ginekologi'!$B$7</x:f>
        <x:v>37027035400</x:v>
      </x:c>
      <x:c r="N27" s="12" t="n">
        <x:f>'SIM_05_Ibu_Ginekologi'!D20+'SIM_05_Ibu_Ginekologi'!G20</x:f>
        <x:v>165405309272.97</x:v>
      </x:c>
      <x:c r="O27" s="12" t="n">
        <x:f>'SIM_05_Ibu_Ginekologi'!J20+'SIM_05_Ibu_Ginekologi'!M20</x:f>
        <x:v>12498477600</x:v>
      </x:c>
      <x:c r="P27" s="12" t="n">
        <x:f>'SIM_05_Ibu_Ginekologi'!Q20</x:f>
        <x:v>152906831672.97</x:v>
      </x:c>
      <x:c r="Q27" s="12" t="n">
        <x:f>'SIM_05_Ibu_Ginekologi'!R20</x:f>
        <x:v>189933867072.97</x:v>
      </x:c>
      <x:c r="R27" s="32" t="n">
        <x:f>'SIM_05_Ibu_Ginekologi'!S20</x:f>
        <x:v>4.129599629598485</x:v>
      </x:c>
    </x:row>
    <x:row r="28">
      <x:c r="A28" s="8">
        <x:v>5</x:v>
      </x:c>
      <x:c r="B28" s="7" t="str">
        <x:v>IBU DAN GINEKOLOGI</x:v>
      </x:c>
      <x:c r="C28" s="7" t="str">
        <x:v>Ibu &amp; Ginekologi</x:v>
      </x:c>
      <x:c r="D28" s="7" t="str">
        <x:v>SIM_05_Ibu_Ginekologi</x:v>
      </x:c>
      <x:c r="E28" s="7" t="str">
        <x:v>Paripurna</x:v>
      </x:c>
      <x:c r="F28" s="8">
        <x:v>3</x:v>
      </x:c>
      <x:c r="G28" s="11" t="n">
        <x:f>'SIM_05_Ibu_Ginekologi'!$B$6</x:f>
        <x:v>27998</x:v>
      </x:c>
      <x:c r="H28" s="11" t="n">
        <x:f>'SIM_05_Ibu_Ginekologi'!C21+'SIM_05_Ibu_Ginekologi'!F21</x:f>
        <x:v>72753.47899999999</x:v>
      </x:c>
      <x:c r="I28" s="11" t="n">
        <x:f>'SIM_05_Ibu_Ginekologi'!I21+'SIM_05_Ibu_Ginekologi'!L21</x:f>
        <x:v>16804.899999999998</x:v>
      </x:c>
      <x:c r="J28" s="11" t="n">
        <x:f>'SIM_05_Ibu_Ginekologi'!N21</x:f>
        <x:v>55948.579</x:v>
      </x:c>
      <x:c r="K28" s="11" t="n">
        <x:f>'SIM_05_Ibu_Ginekologi'!O21</x:f>
        <x:v>83946.579</x:v>
      </x:c>
      <x:c r="L28" s="32" t="n">
        <x:f>'SIM_05_Ibu_Ginekologi'!P21</x:f>
        <x:v>1.9983062718765625</x:v>
      </x:c>
      <x:c r="M28" s="12" t="n">
        <x:f>'SIM_05_Ibu_Ginekologi'!$B$7</x:f>
        <x:v>37027035400</x:v>
      </x:c>
      <x:c r="N28" s="12" t="n">
        <x:f>'SIM_05_Ibu_Ginekologi'!D21+'SIM_05_Ibu_Ginekologi'!G21</x:f>
        <x:v>276008472300.321</x:v>
      </x:c>
      <x:c r="O28" s="12" t="n">
        <x:f>'SIM_05_Ibu_Ginekologi'!J21+'SIM_05_Ibu_Ginekologi'!M21</x:f>
        <x:v>14581557200</x:v>
      </x:c>
      <x:c r="P28" s="12" t="n">
        <x:f>'SIM_05_Ibu_Ginekologi'!Q21</x:f>
        <x:v>261426915100.32098</x:v>
      </x:c>
      <x:c r="Q28" s="12" t="n">
        <x:f>'SIM_05_Ibu_Ginekologi'!R21</x:f>
        <x:v>298453950500.321</x:v>
      </x:c>
      <x:c r="R28" s="32" t="n">
        <x:f>'SIM_05_Ibu_Ginekologi'!S21</x:f>
        <x:v>7.060433336780751</x:v>
      </x:c>
    </x:row>
    <x:row r="29">
      <x:c r="A29" s="8">
        <x:v>5</x:v>
      </x:c>
      <x:c r="B29" s="7" t="str">
        <x:v>IBU DAN GINEKOLOGI</x:v>
      </x:c>
      <x:c r="C29" s="7" t="str">
        <x:v>Ibu &amp; Ginekologi</x:v>
      </x:c>
      <x:c r="D29" s="7" t="str">
        <x:v>SIM_05_Ibu_Ginekologi</x:v>
      </x:c>
      <x:c r="E29" s="7" t="str">
        <x:v>Paripurna</x:v>
      </x:c>
      <x:c r="F29" s="8">
        <x:v>4</x:v>
      </x:c>
      <x:c r="G29" s="11" t="n">
        <x:f>'SIM_05_Ibu_Ginekologi'!$B$6</x:f>
        <x:v>27998</x:v>
      </x:c>
      <x:c r="H29" s="11" t="n">
        <x:f>'SIM_05_Ibu_Ginekologi'!C22+'SIM_05_Ibu_Ginekologi'!F22</x:f>
        <x:v>101971.17899999999</x:v>
      </x:c>
      <x:c r="I29" s="11" t="n">
        <x:f>'SIM_05_Ibu_Ginekologi'!I22+'SIM_05_Ibu_Ginekologi'!L22</x:f>
        <x:v>19205.600000000002</x:v>
      </x:c>
      <x:c r="J29" s="11" t="n">
        <x:f>'SIM_05_Ibu_Ginekologi'!N22</x:f>
        <x:v>82765.57899999998</x:v>
      </x:c>
      <x:c r="K29" s="11" t="n">
        <x:f>'SIM_05_Ibu_Ginekologi'!O22</x:f>
        <x:v>110763.57899999998</x:v>
      </x:c>
      <x:c r="L29" s="32" t="n">
        <x:f>'SIM_05_Ibu_Ginekologi'!P22</x:f>
        <x:v>2.9561246874776765</x:v>
      </x:c>
      <x:c r="M29" s="12" t="n">
        <x:f>'SIM_05_Ibu_Ginekologi'!$B$7</x:f>
        <x:v>37027035400</x:v>
      </x:c>
      <x:c r="N29" s="12" t="n">
        <x:f>'SIM_05_Ibu_Ginekologi'!D22+'SIM_05_Ibu_Ginekologi'!G22</x:f>
        <x:v>386611635327.67194</x:v>
      </x:c>
      <x:c r="O29" s="12" t="n">
        <x:f>'SIM_05_Ibu_Ginekologi'!J22+'SIM_05_Ibu_Ginekologi'!M22</x:f>
        <x:v>16664636800</x:v>
      </x:c>
      <x:c r="P29" s="12" t="n">
        <x:f>'SIM_05_Ibu_Ginekologi'!Q22</x:f>
        <x:v>369946998527.67194</x:v>
      </x:c>
      <x:c r="Q29" s="12" t="n">
        <x:f>'SIM_05_Ibu_Ginekologi'!R22</x:f>
        <x:v>406974033927.67194</x:v>
      </x:c>
      <x:c r="R29" s="32" t="n">
        <x:f>'SIM_05_Ibu_Ginekologi'!S22</x:f>
        <x:v>9.991267043963015</x:v>
      </x:c>
    </x:row>
    <x:row r="30">
      <x:c r="A30" s="8">
        <x:v>5</x:v>
      </x:c>
      <x:c r="B30" s="7" t="str">
        <x:v>IBU DAN GINEKOLOGI</x:v>
      </x:c>
      <x:c r="C30" s="7" t="str">
        <x:v>Ibu &amp; Ginekologi</x:v>
      </x:c>
      <x:c r="D30" s="7" t="str">
        <x:v>SIM_05_Ibu_Ginekologi</x:v>
      </x:c>
      <x:c r="E30" s="7" t="str">
        <x:v>Paripurna</x:v>
      </x:c>
      <x:c r="F30" s="8">
        <x:v>5</x:v>
      </x:c>
      <x:c r="G30" s="11" t="n">
        <x:f>'SIM_05_Ibu_Ginekologi'!$B$6</x:f>
        <x:v>27998</x:v>
      </x:c>
      <x:c r="H30" s="11" t="n">
        <x:f>'SIM_05_Ibu_Ginekologi'!C23+'SIM_05_Ibu_Ginekologi'!F23</x:f>
        <x:v>131188.879</x:v>
      </x:c>
      <x:c r="I30" s="11" t="n">
        <x:f>'SIM_05_Ibu_Ginekologi'!I23+'SIM_05_Ibu_Ginekologi'!L23</x:f>
        <x:v>21606.300000000003</x:v>
      </x:c>
      <x:c r="J30" s="11" t="n">
        <x:f>'SIM_05_Ibu_Ginekologi'!N23</x:f>
        <x:v>109582.57899999998</x:v>
      </x:c>
      <x:c r="K30" s="11" t="n">
        <x:f>'SIM_05_Ibu_Ginekologi'!O23</x:f>
        <x:v>137580.57899999997</x:v>
      </x:c>
      <x:c r="L30" s="32" t="n">
        <x:f>'SIM_05_Ibu_Ginekologi'!P23</x:f>
        <x:v>3.9139431030787906</x:v>
      </x:c>
      <x:c r="M30" s="12" t="n">
        <x:f>'SIM_05_Ibu_Ginekologi'!$B$7</x:f>
        <x:v>37027035400</x:v>
      </x:c>
      <x:c r="N30" s="12" t="n">
        <x:f>'SIM_05_Ibu_Ginekologi'!D23+'SIM_05_Ibu_Ginekologi'!G23</x:f>
        <x:v>497214798355.0229</x:v>
      </x:c>
      <x:c r="O30" s="12" t="n">
        <x:f>'SIM_05_Ibu_Ginekologi'!J23+'SIM_05_Ibu_Ginekologi'!M23</x:f>
        <x:v>18747716400</x:v>
      </x:c>
      <x:c r="P30" s="12" t="n">
        <x:f>'SIM_05_Ibu_Ginekologi'!Q23</x:f>
        <x:v>478467081955.0229</x:v>
      </x:c>
      <x:c r="Q30" s="12" t="n">
        <x:f>'SIM_05_Ibu_Ginekologi'!R23</x:f>
        <x:v>515494117355.0229</x:v>
      </x:c>
      <x:c r="R30" s="32" t="n">
        <x:f>'SIM_05_Ibu_Ginekologi'!S23</x:f>
        <x:v>12.92210075114528</x:v>
      </x:c>
    </x:row>
    <x:row r="31">
      <x:c r="A31" s="8">
        <x:v>5</x:v>
      </x:c>
      <x:c r="B31" s="7" t="str">
        <x:v>IBU DAN GINEKOLOGI</x:v>
      </x:c>
      <x:c r="C31" s="7" t="str">
        <x:v>Ibu &amp; Ginekologi</x:v>
      </x:c>
      <x:c r="D31" s="7" t="str">
        <x:v>SIM_05_Ibu_Ginekologi</x:v>
      </x:c>
      <x:c r="E31" s="7" t="str">
        <x:v>Paripurna</x:v>
      </x:c>
      <x:c r="F31" s="8">
        <x:v>6</x:v>
      </x:c>
      <x:c r="G31" s="11" t="n">
        <x:f>'SIM_05_Ibu_Ginekologi'!$B$6</x:f>
        <x:v>27998</x:v>
      </x:c>
      <x:c r="H31" s="11" t="n">
        <x:f>'SIM_05_Ibu_Ginekologi'!C24+'SIM_05_Ibu_Ginekologi'!F24</x:f>
        <x:v>160406.57899999997</x:v>
      </x:c>
      <x:c r="I31" s="11" t="n">
        <x:f>'SIM_05_Ibu_Ginekologi'!I24+'SIM_05_Ibu_Ginekologi'!L24</x:f>
        <x:v>24007</x:v>
      </x:c>
      <x:c r="J31" s="11" t="n">
        <x:f>'SIM_05_Ibu_Ginekologi'!N24</x:f>
        <x:v>136399.57899999997</x:v>
      </x:c>
      <x:c r="K31" s="11" t="n">
        <x:f>'SIM_05_Ibu_Ginekologi'!O24</x:f>
        <x:v>164397.57899999997</x:v>
      </x:c>
      <x:c r="L31" s="32" t="n">
        <x:f>'SIM_05_Ibu_Ginekologi'!P24</x:f>
        <x:v>4.871761518679905</x:v>
      </x:c>
      <x:c r="M31" s="12" t="n">
        <x:f>'SIM_05_Ibu_Ginekologi'!$B$7</x:f>
        <x:v>37027035400</x:v>
      </x:c>
      <x:c r="N31" s="12" t="n">
        <x:f>'SIM_05_Ibu_Ginekologi'!D24+'SIM_05_Ibu_Ginekologi'!G24</x:f>
        <x:v>607817961382.3738</x:v>
      </x:c>
      <x:c r="O31" s="12" t="n">
        <x:f>'SIM_05_Ibu_Ginekologi'!J24+'SIM_05_Ibu_Ginekologi'!M24</x:f>
        <x:v>20830796000</x:v>
      </x:c>
      <x:c r="P31" s="12" t="n">
        <x:f>'SIM_05_Ibu_Ginekologi'!Q24</x:f>
        <x:v>586987165382.3738</x:v>
      </x:c>
      <x:c r="Q31" s="12" t="n">
        <x:f>'SIM_05_Ibu_Ginekologi'!R24</x:f>
        <x:v>624014200782.3738</x:v>
      </x:c>
      <x:c r="R31" s="32" t="n">
        <x:f>'SIM_05_Ibu_Ginekologi'!S24</x:f>
        <x:v>15.852934458327544</x:v>
      </x:c>
    </x:row>
    <x:row r="32">
      <x:c r="A32" s="8">
        <x:v>6</x:v>
      </x:c>
      <x:c r="B32" s="7" t="str">
        <x:v>INFEKSI DAN PARASIT</x:v>
      </x:c>
      <x:c r="C32" s="7" t="str">
        <x:v>Infeksi &amp; Parasit</x:v>
      </x:c>
      <x:c r="D32" s="7" t="str">
        <x:v>SIM_06_Infeksi_Parasit</x:v>
      </x:c>
      <x:c r="E32" s="7" t="str">
        <x:v>Paripurna</x:v>
      </x:c>
      <x:c r="F32" s="8">
        <x:v>1</x:v>
      </x:c>
      <x:c r="G32" s="11" t="n">
        <x:f>'SIM_06_Infeksi_Parasit'!$B$6</x:f>
        <x:v>2347</x:v>
      </x:c>
      <x:c r="H32" s="11" t="n">
        <x:f>'SIM_06_Infeksi_Parasit'!C19+'SIM_06_Infeksi_Parasit'!F19</x:f>
        <x:v>20176.026</x:v>
      </x:c>
      <x:c r="I32" s="11" t="n">
        <x:f>'SIM_06_Infeksi_Parasit'!I19+'SIM_06_Infeksi_Parasit'!L19</x:f>
        <x:v>947</x:v>
      </x:c>
      <x:c r="J32" s="11" t="n">
        <x:f>'SIM_06_Infeksi_Parasit'!N19</x:f>
        <x:v>19229.026</x:v>
      </x:c>
      <x:c r="K32" s="11" t="n">
        <x:f>'SIM_06_Infeksi_Parasit'!O19</x:f>
        <x:v>21576.026</x:v>
      </x:c>
      <x:c r="L32" s="32" t="n">
        <x:f>'SIM_06_Infeksi_Parasit'!P19</x:f>
        <x:v>8.193023434171284</x:v>
      </x:c>
      <x:c r="M32" s="12" t="n">
        <x:f>'SIM_06_Infeksi_Parasit'!$B$7</x:f>
        <x:v>7019106600</x:v>
      </x:c>
      <x:c r="N32" s="12" t="n">
        <x:f>'SIM_06_Infeksi_Parasit'!D19+'SIM_06_Infeksi_Parasit'!G19</x:f>
        <x:v>37810505189.233894</x:v>
      </x:c>
      <x:c r="O32" s="12" t="n">
        <x:f>'SIM_06_Infeksi_Parasit'!J19+'SIM_06_Infeksi_Parasit'!M19</x:f>
        <x:v>1841518700</x:v>
      </x:c>
      <x:c r="P32" s="12" t="n">
        <x:f>'SIM_06_Infeksi_Parasit'!Q19</x:f>
        <x:v>35968986489.233894</x:v>
      </x:c>
      <x:c r="Q32" s="12" t="n">
        <x:f>'SIM_06_Infeksi_Parasit'!R19</x:f>
        <x:v>42988093089.233894</x:v>
      </x:c>
      <x:c r="R32" s="32" t="n">
        <x:f>'SIM_06_Infeksi_Parasit'!S19</x:f>
        <x:v>5.124439410741232</x:v>
      </x:c>
    </x:row>
    <x:row r="33">
      <x:c r="A33" s="8">
        <x:v>6</x:v>
      </x:c>
      <x:c r="B33" s="7" t="str">
        <x:v>INFEKSI DAN PARASIT</x:v>
      </x:c>
      <x:c r="C33" s="7" t="str">
        <x:v>Infeksi &amp; Parasit</x:v>
      </x:c>
      <x:c r="D33" s="7" t="str">
        <x:v>SIM_06_Infeksi_Parasit</x:v>
      </x:c>
      <x:c r="E33" s="7" t="str">
        <x:v>Paripurna</x:v>
      </x:c>
      <x:c r="F33" s="8">
        <x:v>2</x:v>
      </x:c>
      <x:c r="G33" s="11" t="n">
        <x:f>'SIM_06_Infeksi_Parasit'!$B$6</x:f>
        <x:v>2347</x:v>
      </x:c>
      <x:c r="H33" s="11" t="n">
        <x:f>'SIM_06_Infeksi_Parasit'!C20+'SIM_06_Infeksi_Parasit'!F20</x:f>
        <x:v>39727.026</x:v>
      </x:c>
      <x:c r="I33" s="11" t="n">
        <x:f>'SIM_06_Infeksi_Parasit'!I20+'SIM_06_Infeksi_Parasit'!L20</x:f>
        <x:v>1136.4</x:v>
      </x:c>
      <x:c r="J33" s="11" t="n">
        <x:f>'SIM_06_Infeksi_Parasit'!N20</x:f>
        <x:v>38590.626</x:v>
      </x:c>
      <x:c r="K33" s="11" t="n">
        <x:f>'SIM_06_Infeksi_Parasit'!O20</x:f>
        <x:v>40937.626</x:v>
      </x:c>
      <x:c r="L33" s="32" t="n">
        <x:f>'SIM_06_Infeksi_Parasit'!P20</x:f>
        <x:v>16.442533446953558</x:v>
      </x:c>
      <x:c r="M33" s="12" t="n">
        <x:f>'SIM_06_Infeksi_Parasit'!$B$7</x:f>
        <x:v>7019106600</x:v>
      </x:c>
      <x:c r="N33" s="12" t="n">
        <x:f>'SIM_06_Infeksi_Parasit'!D20+'SIM_06_Infeksi_Parasit'!G20</x:f>
        <x:v>73802220895.16588</x:v>
      </x:c>
      <x:c r="O33" s="12" t="n">
        <x:f>'SIM_06_Infeksi_Parasit'!J20+'SIM_06_Infeksi_Parasit'!M20</x:f>
        <x:v>2209822440</x:v>
      </x:c>
      <x:c r="P33" s="12" t="n">
        <x:f>'SIM_06_Infeksi_Parasit'!Q20</x:f>
        <x:v>71592398455.16588</x:v>
      </x:c>
      <x:c r="Q33" s="12" t="n">
        <x:f>'SIM_06_Infeksi_Parasit'!R20</x:f>
        <x:v>78611505055.16588</x:v>
      </x:c>
      <x:c r="R33" s="32" t="n">
        <x:f>'SIM_06_Infeksi_Parasit'!S20</x:f>
        <x:v>10.199645415723687</x:v>
      </x:c>
    </x:row>
    <x:row r="34">
      <x:c r="A34" s="8">
        <x:v>6</x:v>
      </x:c>
      <x:c r="B34" s="7" t="str">
        <x:v>INFEKSI DAN PARASIT</x:v>
      </x:c>
      <x:c r="C34" s="7" t="str">
        <x:v>Infeksi &amp; Parasit</x:v>
      </x:c>
      <x:c r="D34" s="7" t="str">
        <x:v>SIM_06_Infeksi_Parasit</x:v>
      </x:c>
      <x:c r="E34" s="7" t="str">
        <x:v>Paripurna</x:v>
      </x:c>
      <x:c r="F34" s="8">
        <x:v>3</x:v>
      </x:c>
      <x:c r="G34" s="11" t="n">
        <x:f>'SIM_06_Infeksi_Parasit'!$B$6</x:f>
        <x:v>2347</x:v>
      </x:c>
      <x:c r="H34" s="11" t="n">
        <x:f>'SIM_06_Infeksi_Parasit'!C21+'SIM_06_Infeksi_Parasit'!F21</x:f>
        <x:v>59278.026</x:v>
      </x:c>
      <x:c r="I34" s="11" t="n">
        <x:f>'SIM_06_Infeksi_Parasit'!I21+'SIM_06_Infeksi_Parasit'!L21</x:f>
        <x:v>1325.8</x:v>
      </x:c>
      <x:c r="J34" s="11" t="n">
        <x:f>'SIM_06_Infeksi_Parasit'!N21</x:f>
        <x:v>57952.225999999995</x:v>
      </x:c>
      <x:c r="K34" s="11" t="n">
        <x:f>'SIM_06_Infeksi_Parasit'!O21</x:f>
        <x:v>60299.225999999995</x:v>
      </x:c>
      <x:c r="L34" s="32" t="n">
        <x:f>'SIM_06_Infeksi_Parasit'!P21</x:f>
        <x:v>24.69204345973583</x:v>
      </x:c>
      <x:c r="M34" s="12" t="n">
        <x:f>'SIM_06_Infeksi_Parasit'!$B$7</x:f>
        <x:v>7019106600</x:v>
      </x:c>
      <x:c r="N34" s="12" t="n">
        <x:f>'SIM_06_Infeksi_Parasit'!D21+'SIM_06_Infeksi_Parasit'!G21</x:f>
        <x:v>109793936601.09787</x:v>
      </x:c>
      <x:c r="O34" s="12" t="n">
        <x:f>'SIM_06_Infeksi_Parasit'!J21+'SIM_06_Infeksi_Parasit'!M21</x:f>
        <x:v>2578126180</x:v>
      </x:c>
      <x:c r="P34" s="12" t="n">
        <x:f>'SIM_06_Infeksi_Parasit'!Q21</x:f>
        <x:v>107215810421.09787</x:v>
      </x:c>
      <x:c r="Q34" s="12" t="n">
        <x:f>'SIM_06_Infeksi_Parasit'!R21</x:f>
        <x:v>114234917021.09787</x:v>
      </x:c>
      <x:c r="R34" s="32" t="n">
        <x:f>'SIM_06_Infeksi_Parasit'!S21</x:f>
        <x:v>15.274851420706144</x:v>
      </x:c>
    </x:row>
    <x:row r="35">
      <x:c r="A35" s="8">
        <x:v>6</x:v>
      </x:c>
      <x:c r="B35" s="7" t="str">
        <x:v>INFEKSI DAN PARASIT</x:v>
      </x:c>
      <x:c r="C35" s="7" t="str">
        <x:v>Infeksi &amp; Parasit</x:v>
      </x:c>
      <x:c r="D35" s="7" t="str">
        <x:v>SIM_06_Infeksi_Parasit</x:v>
      </x:c>
      <x:c r="E35" s="7" t="str">
        <x:v>Paripurna</x:v>
      </x:c>
      <x:c r="F35" s="8">
        <x:v>4</x:v>
      </x:c>
      <x:c r="G35" s="11" t="n">
        <x:f>'SIM_06_Infeksi_Parasit'!$B$6</x:f>
        <x:v>2347</x:v>
      </x:c>
      <x:c r="H35" s="11" t="n">
        <x:f>'SIM_06_Infeksi_Parasit'!C22+'SIM_06_Infeksi_Parasit'!F22</x:f>
        <x:v>78829.026</x:v>
      </x:c>
      <x:c r="I35" s="11" t="n">
        <x:f>'SIM_06_Infeksi_Parasit'!I22+'SIM_06_Infeksi_Parasit'!L22</x:f>
        <x:v>1515.2</x:v>
      </x:c>
      <x:c r="J35" s="11" t="n">
        <x:f>'SIM_06_Infeksi_Parasit'!N22</x:f>
        <x:v>77313.826</x:v>
      </x:c>
      <x:c r="K35" s="11" t="n">
        <x:f>'SIM_06_Infeksi_Parasit'!O22</x:f>
        <x:v>79660.826</x:v>
      </x:c>
      <x:c r="L35" s="32" t="n">
        <x:f>'SIM_06_Infeksi_Parasit'!P22</x:f>
        <x:v>32.94155347251811</x:v>
      </x:c>
      <x:c r="M35" s="12" t="n">
        <x:f>'SIM_06_Infeksi_Parasit'!$B$7</x:f>
        <x:v>7019106600</x:v>
      </x:c>
      <x:c r="N35" s="12" t="n">
        <x:f>'SIM_06_Infeksi_Parasit'!D22+'SIM_06_Infeksi_Parasit'!G22</x:f>
        <x:v>145785652307.02985</x:v>
      </x:c>
      <x:c r="O35" s="12" t="n">
        <x:f>'SIM_06_Infeksi_Parasit'!J22+'SIM_06_Infeksi_Parasit'!M22</x:f>
        <x:v>2946429920</x:v>
      </x:c>
      <x:c r="P35" s="12" t="n">
        <x:f>'SIM_06_Infeksi_Parasit'!Q22</x:f>
        <x:v>142839222387.02985</x:v>
      </x:c>
      <x:c r="Q35" s="12" t="n">
        <x:f>'SIM_06_Infeksi_Parasit'!R22</x:f>
        <x:v>149858328987.02985</x:v>
      </x:c>
      <x:c r="R35" s="32" t="n">
        <x:f>'SIM_06_Infeksi_Parasit'!S22</x:f>
        <x:v>20.350057425688597</x:v>
      </x:c>
    </x:row>
    <x:row r="36">
      <x:c r="A36" s="8">
        <x:v>6</x:v>
      </x:c>
      <x:c r="B36" s="7" t="str">
        <x:v>INFEKSI DAN PARASIT</x:v>
      </x:c>
      <x:c r="C36" s="7" t="str">
        <x:v>Infeksi &amp; Parasit</x:v>
      </x:c>
      <x:c r="D36" s="7" t="str">
        <x:v>SIM_06_Infeksi_Parasit</x:v>
      </x:c>
      <x:c r="E36" s="7" t="str">
        <x:v>Paripurna</x:v>
      </x:c>
      <x:c r="F36" s="8">
        <x:v>5</x:v>
      </x:c>
      <x:c r="G36" s="11" t="n">
        <x:f>'SIM_06_Infeksi_Parasit'!$B$6</x:f>
        <x:v>2347</x:v>
      </x:c>
      <x:c r="H36" s="11" t="n">
        <x:f>'SIM_06_Infeksi_Parasit'!C23+'SIM_06_Infeksi_Parasit'!F23</x:f>
        <x:v>98380.026</x:v>
      </x:c>
      <x:c r="I36" s="11" t="n">
        <x:f>'SIM_06_Infeksi_Parasit'!I23+'SIM_06_Infeksi_Parasit'!L23</x:f>
        <x:v>1704.6</x:v>
      </x:c>
      <x:c r="J36" s="11" t="n">
        <x:f>'SIM_06_Infeksi_Parasit'!N23</x:f>
        <x:v>96675.42599999999</x:v>
      </x:c>
      <x:c r="K36" s="11" t="n">
        <x:f>'SIM_06_Infeksi_Parasit'!O23</x:f>
        <x:v>99022.42599999999</x:v>
      </x:c>
      <x:c r="L36" s="32" t="n">
        <x:f>'SIM_06_Infeksi_Parasit'!P23</x:f>
        <x:v>41.19106348530038</x:v>
      </x:c>
      <x:c r="M36" s="12" t="n">
        <x:f>'SIM_06_Infeksi_Parasit'!$B$7</x:f>
        <x:v>7019106600</x:v>
      </x:c>
      <x:c r="N36" s="12" t="n">
        <x:f>'SIM_06_Infeksi_Parasit'!D23+'SIM_06_Infeksi_Parasit'!G23</x:f>
        <x:v>181777368012.96182</x:v>
      </x:c>
      <x:c r="O36" s="12" t="n">
        <x:f>'SIM_06_Infeksi_Parasit'!J23+'SIM_06_Infeksi_Parasit'!M23</x:f>
        <x:v>3314733660</x:v>
      </x:c>
      <x:c r="P36" s="12" t="n">
        <x:f>'SIM_06_Infeksi_Parasit'!Q23</x:f>
        <x:v>178462634352.96182</x:v>
      </x:c>
      <x:c r="Q36" s="12" t="n">
        <x:f>'SIM_06_Infeksi_Parasit'!R23</x:f>
        <x:v>185481740952.96182</x:v>
      </x:c>
      <x:c r="R36" s="32" t="n">
        <x:f>'SIM_06_Infeksi_Parasit'!S23</x:f>
        <x:v>25.425263430671052</x:v>
      </x:c>
    </x:row>
    <x:row r="37">
      <x:c r="A37" s="8">
        <x:v>6</x:v>
      </x:c>
      <x:c r="B37" s="7" t="str">
        <x:v>INFEKSI DAN PARASIT</x:v>
      </x:c>
      <x:c r="C37" s="7" t="str">
        <x:v>Infeksi &amp; Parasit</x:v>
      </x:c>
      <x:c r="D37" s="7" t="str">
        <x:v>SIM_06_Infeksi_Parasit</x:v>
      </x:c>
      <x:c r="E37" s="7" t="str">
        <x:v>Paripurna</x:v>
      </x:c>
      <x:c r="F37" s="8">
        <x:v>6</x:v>
      </x:c>
      <x:c r="G37" s="11" t="n">
        <x:f>'SIM_06_Infeksi_Parasit'!$B$6</x:f>
        <x:v>2347</x:v>
      </x:c>
      <x:c r="H37" s="11" t="n">
        <x:f>'SIM_06_Infeksi_Parasit'!C24+'SIM_06_Infeksi_Parasit'!F24</x:f>
        <x:v>117931.026</x:v>
      </x:c>
      <x:c r="I37" s="11" t="n">
        <x:f>'SIM_06_Infeksi_Parasit'!I24+'SIM_06_Infeksi_Parasit'!L24</x:f>
        <x:v>1894</x:v>
      </x:c>
      <x:c r="J37" s="11" t="n">
        <x:f>'SIM_06_Infeksi_Parasit'!N24</x:f>
        <x:v>116037.026</x:v>
      </x:c>
      <x:c r="K37" s="11" t="n">
        <x:f>'SIM_06_Infeksi_Parasit'!O24</x:f>
        <x:v>118384.026</x:v>
      </x:c>
      <x:c r="L37" s="32" t="n">
        <x:f>'SIM_06_Infeksi_Parasit'!P24</x:f>
        <x:v>49.44057349808266</x:v>
      </x:c>
      <x:c r="M37" s="12" t="n">
        <x:f>'SIM_06_Infeksi_Parasit'!$B$7</x:f>
        <x:v>7019106600</x:v>
      </x:c>
      <x:c r="N37" s="12" t="n">
        <x:f>'SIM_06_Infeksi_Parasit'!D24+'SIM_06_Infeksi_Parasit'!G24</x:f>
        <x:v>217769083718.8938</x:v>
      </x:c>
      <x:c r="O37" s="12" t="n">
        <x:f>'SIM_06_Infeksi_Parasit'!J24+'SIM_06_Infeksi_Parasit'!M24</x:f>
        <x:v>3683037400</x:v>
      </x:c>
      <x:c r="P37" s="12" t="n">
        <x:f>'SIM_06_Infeksi_Parasit'!Q24</x:f>
        <x:v>214086046318.8938</x:v>
      </x:c>
      <x:c r="Q37" s="12" t="n">
        <x:f>'SIM_06_Infeksi_Parasit'!R24</x:f>
        <x:v>221105152918.8938</x:v>
      </x:c>
      <x:c r="R37" s="32" t="n">
        <x:f>'SIM_06_Infeksi_Parasit'!S24</x:f>
        <x:v>30.500469435653507</x:v>
      </x:c>
    </x:row>
    <x:row r="38">
      <x:c r="A38" s="8">
        <x:v>7</x:v>
      </x:c>
      <x:c r="B38" s="7" t="str">
        <x:v>JANTUNG DAN PEMBULUH DARAH</x:v>
      </x:c>
      <x:c r="C38" s="7" t="str">
        <x:v>Jantung &amp; Pembuluh Darah</x:v>
      </x:c>
      <x:c r="D38" s="7" t="str">
        <x:v>SIM_07_Jantung_Pembuluh_Darah</x:v>
      </x:c>
      <x:c r="E38" s="7" t="str">
        <x:v>Utama</x:v>
      </x:c>
      <x:c r="F38" s="8">
        <x:v>1</x:v>
      </x:c>
      <x:c r="G38" s="11" t="n">
        <x:f>'SIM_07_Jantung_Pembuluh_Darah'!$B$6</x:f>
        <x:v>27911</x:v>
      </x:c>
      <x:c r="H38" s="11" t="n">
        <x:f>'SIM_07_Jantung_Pembuluh_Darah'!C19+'SIM_07_Jantung_Pembuluh_Darah'!F19</x:f>
        <x:v>73659.35800000001</x:v>
      </x:c>
      <x:c r="I38" s="11" t="n">
        <x:f>'SIM_07_Jantung_Pembuluh_Darah'!I19+'SIM_07_Jantung_Pembuluh_Darah'!L19</x:f>
        <x:v>10452</x:v>
      </x:c>
      <x:c r="J38" s="11" t="n">
        <x:f>'SIM_07_Jantung_Pembuluh_Darah'!N19</x:f>
        <x:v>63207.35800000001</x:v>
      </x:c>
      <x:c r="K38" s="11" t="n">
        <x:f>'SIM_07_Jantung_Pembuluh_Darah'!O19</x:f>
        <x:v>91118.35800000001</x:v>
      </x:c>
      <x:c r="L38" s="32" t="n">
        <x:f>'SIM_07_Jantung_Pembuluh_Darah'!P19</x:f>
        <x:v>2.264603847945255</x:v>
      </x:c>
      <x:c r="M38" s="12" t="n">
        <x:f>'SIM_07_Jantung_Pembuluh_Darah'!$B$7</x:f>
        <x:v>104958260000</x:v>
      </x:c>
      <x:c r="N38" s="12" t="n">
        <x:f>'SIM_07_Jantung_Pembuluh_Darah'!D19+'SIM_07_Jantung_Pembuluh_Darah'!G19</x:f>
        <x:v>183357099030.09396</x:v>
      </x:c>
      <x:c r="O38" s="12" t="n">
        <x:f>'SIM_07_Jantung_Pembuluh_Darah'!J19+'SIM_07_Jantung_Pembuluh_Darah'!M19</x:f>
        <x:v>19522341200</x:v>
      </x:c>
      <x:c r="P38" s="12" t="n">
        <x:f>'SIM_07_Jantung_Pembuluh_Darah'!Q19</x:f>
        <x:v>163834757830.09396</x:v>
      </x:c>
      <x:c r="Q38" s="12" t="n">
        <x:f>'SIM_07_Jantung_Pembuluh_Darah'!R19</x:f>
        <x:v>268793017830.09396</x:v>
      </x:c>
      <x:c r="R38" s="32" t="n">
        <x:f>'SIM_07_Jantung_Pembuluh_Darah'!S19</x:f>
        <x:v>1.5609515423568756</x:v>
      </x:c>
    </x:row>
    <x:row r="39">
      <x:c r="A39" s="8">
        <x:v>7</x:v>
      </x:c>
      <x:c r="B39" s="7" t="str">
        <x:v>JANTUNG DAN PEMBULUH DARAH</x:v>
      </x:c>
      <x:c r="C39" s="7" t="str">
        <x:v>Jantung &amp; Pembuluh Darah</x:v>
      </x:c>
      <x:c r="D39" s="7" t="str">
        <x:v>SIM_07_Jantung_Pembuluh_Darah</x:v>
      </x:c>
      <x:c r="E39" s="7" t="str">
        <x:v>Utama</x:v>
      </x:c>
      <x:c r="F39" s="8">
        <x:v>2</x:v>
      </x:c>
      <x:c r="G39" s="11" t="n">
        <x:f>'SIM_07_Jantung_Pembuluh_Darah'!$B$6</x:f>
        <x:v>27911</x:v>
      </x:c>
      <x:c r="H39" s="11" t="n">
        <x:f>'SIM_07_Jantung_Pembuluh_Darah'!C20+'SIM_07_Jantung_Pembuluh_Darah'!F20</x:f>
        <x:v>333252.358</x:v>
      </x:c>
      <x:c r="I39" s="11" t="n">
        <x:f>'SIM_07_Jantung_Pembuluh_Darah'!I20+'SIM_07_Jantung_Pembuluh_Darah'!L20</x:f>
        <x:v>11743.599999999999</x:v>
      </x:c>
      <x:c r="J39" s="11" t="n">
        <x:f>'SIM_07_Jantung_Pembuluh_Darah'!N20</x:f>
        <x:v>321508.75800000003</x:v>
      </x:c>
      <x:c r="K39" s="11" t="n">
        <x:f>'SIM_07_Jantung_Pembuluh_Darah'!O20</x:f>
        <x:v>349419.75800000003</x:v>
      </x:c>
      <x:c r="L39" s="32" t="n">
        <x:f>'SIM_07_Jantung_Pembuluh_Darah'!P20</x:f>
        <x:v>11.519069829099639</x:v>
      </x:c>
      <x:c r="M39" s="12" t="n">
        <x:f>'SIM_07_Jantung_Pembuluh_Darah'!$B$7</x:f>
        <x:v>104958260000</x:v>
      </x:c>
      <x:c r="N39" s="12" t="n">
        <x:f>'SIM_07_Jantung_Pembuluh_Darah'!D20+'SIM_07_Jantung_Pembuluh_Darah'!G20</x:f>
        <x:v>698286035610.7761</x:v>
      </x:c>
      <x:c r="O39" s="12" t="n">
        <x:f>'SIM_07_Jantung_Pembuluh_Darah'!J20+'SIM_07_Jantung_Pembuluh_Darah'!M20</x:f>
        <x:v>20224514740</x:v>
      </x:c>
      <x:c r="P39" s="12" t="n">
        <x:f>'SIM_07_Jantung_Pembuluh_Darah'!Q20</x:f>
        <x:v>678061520870.7761</x:v>
      </x:c>
      <x:c r="Q39" s="12" t="n">
        <x:f>'SIM_07_Jantung_Pembuluh_Darah'!R20</x:f>
        <x:v>783019780870.7761</x:v>
      </x:c>
      <x:c r="R39" s="32" t="n">
        <x:f>'SIM_07_Jantung_Pembuluh_Darah'!S20</x:f>
        <x:v>6.460296892029042</x:v>
      </x:c>
    </x:row>
    <x:row r="40">
      <x:c r="A40" s="8">
        <x:v>7</x:v>
      </x:c>
      <x:c r="B40" s="7" t="str">
        <x:v>JANTUNG DAN PEMBULUH DARAH</x:v>
      </x:c>
      <x:c r="C40" s="7" t="str">
        <x:v>Jantung &amp; Pembuluh Darah</x:v>
      </x:c>
      <x:c r="D40" s="7" t="str">
        <x:v>SIM_07_Jantung_Pembuluh_Darah</x:v>
      </x:c>
      <x:c r="E40" s="7" t="str">
        <x:v>Utama</x:v>
      </x:c>
      <x:c r="F40" s="8">
        <x:v>3</x:v>
      </x:c>
      <x:c r="G40" s="11" t="n">
        <x:f>'SIM_07_Jantung_Pembuluh_Darah'!$B$6</x:f>
        <x:v>27911</x:v>
      </x:c>
      <x:c r="H40" s="11" t="n">
        <x:f>'SIM_07_Jantung_Pembuluh_Darah'!C21+'SIM_07_Jantung_Pembuluh_Darah'!F21</x:f>
        <x:v>592845.358</x:v>
      </x:c>
      <x:c r="I40" s="11" t="n">
        <x:f>'SIM_07_Jantung_Pembuluh_Darah'!I21+'SIM_07_Jantung_Pembuluh_Darah'!L21</x:f>
        <x:v>13035.199999999999</x:v>
      </x:c>
      <x:c r="J40" s="11" t="n">
        <x:f>'SIM_07_Jantung_Pembuluh_Darah'!N21</x:f>
        <x:v>579810.158</x:v>
      </x:c>
      <x:c r="K40" s="11" t="n">
        <x:f>'SIM_07_Jantung_Pembuluh_Darah'!O21</x:f>
        <x:v>607721.158</x:v>
      </x:c>
      <x:c r="L40" s="32" t="n">
        <x:f>'SIM_07_Jantung_Pembuluh_Darah'!P21</x:f>
        <x:v>20.773535810254025</x:v>
      </x:c>
      <x:c r="M40" s="12" t="n">
        <x:f>'SIM_07_Jantung_Pembuluh_Darah'!$B$7</x:f>
        <x:v>104958260000</x:v>
      </x:c>
      <x:c r="N40" s="12" t="n">
        <x:f>'SIM_07_Jantung_Pembuluh_Darah'!D21+'SIM_07_Jantung_Pembuluh_Darah'!G21</x:f>
        <x:v>1213214972191.4585</x:v>
      </x:c>
      <x:c r="O40" s="12" t="n">
        <x:f>'SIM_07_Jantung_Pembuluh_Darah'!J21+'SIM_07_Jantung_Pembuluh_Darah'!M21</x:f>
        <x:v>20926688280</x:v>
      </x:c>
      <x:c r="P40" s="12" t="n">
        <x:f>'SIM_07_Jantung_Pembuluh_Darah'!Q21</x:f>
        <x:v>1192288283911.4585</x:v>
      </x:c>
      <x:c r="Q40" s="12" t="n">
        <x:f>'SIM_07_Jantung_Pembuluh_Darah'!R21</x:f>
        <x:v>1297246543911.4585</x:v>
      </x:c>
      <x:c r="R40" s="32" t="n">
        <x:f>'SIM_07_Jantung_Pembuluh_Darah'!S21</x:f>
        <x:v>11.359642241701211</x:v>
      </x:c>
    </x:row>
    <x:row r="41">
      <x:c r="A41" s="8">
        <x:v>7</x:v>
      </x:c>
      <x:c r="B41" s="7" t="str">
        <x:v>JANTUNG DAN PEMBULUH DARAH</x:v>
      </x:c>
      <x:c r="C41" s="7" t="str">
        <x:v>Jantung &amp; Pembuluh Darah</x:v>
      </x:c>
      <x:c r="D41" s="7" t="str">
        <x:v>SIM_07_Jantung_Pembuluh_Darah</x:v>
      </x:c>
      <x:c r="E41" s="7" t="str">
        <x:v>Utama</x:v>
      </x:c>
      <x:c r="F41" s="8">
        <x:v>4</x:v>
      </x:c>
      <x:c r="G41" s="11" t="n">
        <x:f>'SIM_07_Jantung_Pembuluh_Darah'!$B$6</x:f>
        <x:v>27911</x:v>
      </x:c>
      <x:c r="H41" s="11" t="n">
        <x:f>'SIM_07_Jantung_Pembuluh_Darah'!C22+'SIM_07_Jantung_Pembuluh_Darah'!F22</x:f>
        <x:v>852438.358</x:v>
      </x:c>
      <x:c r="I41" s="11" t="n">
        <x:f>'SIM_07_Jantung_Pembuluh_Darah'!I22+'SIM_07_Jantung_Pembuluh_Darah'!L22</x:f>
        <x:v>14326.800000000001</x:v>
      </x:c>
      <x:c r="J41" s="11" t="n">
        <x:f>'SIM_07_Jantung_Pembuluh_Darah'!N22</x:f>
        <x:v>838111.558</x:v>
      </x:c>
      <x:c r="K41" s="11" t="n">
        <x:f>'SIM_07_Jantung_Pembuluh_Darah'!O22</x:f>
        <x:v>866022.558</x:v>
      </x:c>
      <x:c r="L41" s="32" t="n">
        <x:f>'SIM_07_Jantung_Pembuluh_Darah'!P22</x:f>
        <x:v>30.028001791408403</x:v>
      </x:c>
      <x:c r="M41" s="12" t="n">
        <x:f>'SIM_07_Jantung_Pembuluh_Darah'!$B$7</x:f>
        <x:v>104958260000</x:v>
      </x:c>
      <x:c r="N41" s="12" t="n">
        <x:f>'SIM_07_Jantung_Pembuluh_Darah'!D22+'SIM_07_Jantung_Pembuluh_Darah'!G22</x:f>
        <x:v>1728143908772.1406</x:v>
      </x:c>
      <x:c r="O41" s="12" t="n">
        <x:f>'SIM_07_Jantung_Pembuluh_Darah'!J22+'SIM_07_Jantung_Pembuluh_Darah'!M22</x:f>
        <x:v>21628861820</x:v>
      </x:c>
      <x:c r="P41" s="12" t="n">
        <x:f>'SIM_07_Jantung_Pembuluh_Darah'!Q22</x:f>
        <x:v>1706515046952.1406</x:v>
      </x:c>
      <x:c r="Q41" s="12" t="n">
        <x:f>'SIM_07_Jantung_Pembuluh_Darah'!R22</x:f>
        <x:v>1811473306952.1406</x:v>
      </x:c>
      <x:c r="R41" s="32" t="n">
        <x:f>'SIM_07_Jantung_Pembuluh_Darah'!S22</x:f>
        <x:v>16.258987591373376</x:v>
      </x:c>
    </x:row>
    <x:row r="42">
      <x:c r="A42" s="8">
        <x:v>7</x:v>
      </x:c>
      <x:c r="B42" s="7" t="str">
        <x:v>JANTUNG DAN PEMBULUH DARAH</x:v>
      </x:c>
      <x:c r="C42" s="7" t="str">
        <x:v>Jantung &amp; Pembuluh Darah</x:v>
      </x:c>
      <x:c r="D42" s="7" t="str">
        <x:v>SIM_07_Jantung_Pembuluh_Darah</x:v>
      </x:c>
      <x:c r="E42" s="7" t="str">
        <x:v>Utama</x:v>
      </x:c>
      <x:c r="F42" s="8">
        <x:v>5</x:v>
      </x:c>
      <x:c r="G42" s="11" t="n">
        <x:f>'SIM_07_Jantung_Pembuluh_Darah'!$B$6</x:f>
        <x:v>27911</x:v>
      </x:c>
      <x:c r="H42" s="11" t="n">
        <x:f>'SIM_07_Jantung_Pembuluh_Darah'!C23+'SIM_07_Jantung_Pembuluh_Darah'!F23</x:f>
        <x:v>1112031.358</x:v>
      </x:c>
      <x:c r="I42" s="11" t="n">
        <x:f>'SIM_07_Jantung_Pembuluh_Darah'!I23+'SIM_07_Jantung_Pembuluh_Darah'!L23</x:f>
        <x:v>15618.4</x:v>
      </x:c>
      <x:c r="J42" s="11" t="n">
        <x:f>'SIM_07_Jantung_Pembuluh_Darah'!N23</x:f>
        <x:v>1096412.958</x:v>
      </x:c>
      <x:c r="K42" s="11" t="n">
        <x:f>'SIM_07_Jantung_Pembuluh_Darah'!O23</x:f>
        <x:v>1124323.958</x:v>
      </x:c>
      <x:c r="L42" s="32" t="n">
        <x:f>'SIM_07_Jantung_Pembuluh_Darah'!P23</x:f>
        <x:v>39.28246777256279</x:v>
      </x:c>
      <x:c r="M42" s="12" t="n">
        <x:f>'SIM_07_Jantung_Pembuluh_Darah'!$B$7</x:f>
        <x:v>104958260000</x:v>
      </x:c>
      <x:c r="N42" s="12" t="n">
        <x:f>'SIM_07_Jantung_Pembuluh_Darah'!D23+'SIM_07_Jantung_Pembuluh_Darah'!G23</x:f>
        <x:v>2243072845352.8228</x:v>
      </x:c>
      <x:c r="O42" s="12" t="n">
        <x:f>'SIM_07_Jantung_Pembuluh_Darah'!J23+'SIM_07_Jantung_Pembuluh_Darah'!M23</x:f>
        <x:v>22331035360</x:v>
      </x:c>
      <x:c r="P42" s="12" t="n">
        <x:f>'SIM_07_Jantung_Pembuluh_Darah'!Q23</x:f>
        <x:v>2220741809992.8228</x:v>
      </x:c>
      <x:c r="Q42" s="12" t="n">
        <x:f>'SIM_07_Jantung_Pembuluh_Darah'!R23</x:f>
        <x:v>2325700069992.8228</x:v>
      </x:c>
      <x:c r="R42" s="32" t="n">
        <x:f>'SIM_07_Jantung_Pembuluh_Darah'!S23</x:f>
        <x:v>21.158332941045543</x:v>
      </x:c>
    </x:row>
    <x:row r="43">
      <x:c r="A43" s="8">
        <x:v>7</x:v>
      </x:c>
      <x:c r="B43" s="7" t="str">
        <x:v>JANTUNG DAN PEMBULUH DARAH</x:v>
      </x:c>
      <x:c r="C43" s="7" t="str">
        <x:v>Jantung &amp; Pembuluh Darah</x:v>
      </x:c>
      <x:c r="D43" s="7" t="str">
        <x:v>SIM_07_Jantung_Pembuluh_Darah</x:v>
      </x:c>
      <x:c r="E43" s="7" t="str">
        <x:v>Utama</x:v>
      </x:c>
      <x:c r="F43" s="8">
        <x:v>6</x:v>
      </x:c>
      <x:c r="G43" s="11" t="n">
        <x:f>'SIM_07_Jantung_Pembuluh_Darah'!$B$6</x:f>
        <x:v>27911</x:v>
      </x:c>
      <x:c r="H43" s="11" t="n">
        <x:f>'SIM_07_Jantung_Pembuluh_Darah'!C24+'SIM_07_Jantung_Pembuluh_Darah'!F24</x:f>
        <x:v>1371624.358</x:v>
      </x:c>
      <x:c r="I43" s="11" t="n">
        <x:f>'SIM_07_Jantung_Pembuluh_Darah'!I24+'SIM_07_Jantung_Pembuluh_Darah'!L24</x:f>
        <x:v>16910</x:v>
      </x:c>
      <x:c r="J43" s="11" t="n">
        <x:f>'SIM_07_Jantung_Pembuluh_Darah'!N24</x:f>
        <x:v>1354714.358</x:v>
      </x:c>
      <x:c r="K43" s="11" t="n">
        <x:f>'SIM_07_Jantung_Pembuluh_Darah'!O24</x:f>
        <x:v>1382625.358</x:v>
      </x:c>
      <x:c r="L43" s="32" t="n">
        <x:f>'SIM_07_Jantung_Pembuluh_Darah'!P24</x:f>
        <x:v>48.53693375371717</x:v>
      </x:c>
      <x:c r="M43" s="12" t="n">
        <x:f>'SIM_07_Jantung_Pembuluh_Darah'!$B$7</x:f>
        <x:v>104958260000</x:v>
      </x:c>
      <x:c r="N43" s="12" t="n">
        <x:f>'SIM_07_Jantung_Pembuluh_Darah'!D24+'SIM_07_Jantung_Pembuluh_Darah'!G24</x:f>
        <x:v>2758001781933.505</x:v>
      </x:c>
      <x:c r="O43" s="12" t="n">
        <x:f>'SIM_07_Jantung_Pembuluh_Darah'!J24+'SIM_07_Jantung_Pembuluh_Darah'!M24</x:f>
        <x:v>23033208900</x:v>
      </x:c>
      <x:c r="P43" s="12" t="n">
        <x:f>'SIM_07_Jantung_Pembuluh_Darah'!Q24</x:f>
        <x:v>2734968573033.505</x:v>
      </x:c>
      <x:c r="Q43" s="12" t="n">
        <x:f>'SIM_07_Jantung_Pembuluh_Darah'!R24</x:f>
        <x:v>2839926833033.505</x:v>
      </x:c>
      <x:c r="R43" s="32" t="n">
        <x:f>'SIM_07_Jantung_Pembuluh_Darah'!S24</x:f>
        <x:v>26.05767829071771</x:v>
      </x:c>
    </x:row>
    <x:row r="44">
      <x:c r="A44" s="8">
        <x:v>8</x:v>
      </x:c>
      <x:c r="B44" s="7" t="str">
        <x:v>JIWA</x:v>
      </x:c>
      <x:c r="C44" s="7" t="str">
        <x:v>Jiwa</x:v>
      </x:c>
      <x:c r="D44" s="7" t="str">
        <x:v>SIM_08_Jiwa</x:v>
      </x:c>
      <x:c r="E44" s="7" t="str">
        <x:v>Paripurna</x:v>
      </x:c>
      <x:c r="F44" s="8">
        <x:v>1</x:v>
      </x:c>
      <x:c r="G44" s="11" t="n">
        <x:f>'SIM_08_Jiwa'!$B$6</x:f>
        <x:v>2890</x:v>
      </x:c>
      <x:c r="H44" s="11" t="n">
        <x:f>'SIM_08_Jiwa'!C19+'SIM_08_Jiwa'!F19</x:f>
        <x:v>88590.897</x:v>
      </x:c>
      <x:c r="I44" s="11" t="n">
        <x:f>'SIM_08_Jiwa'!I19+'SIM_08_Jiwa'!L19</x:f>
        <x:v>526.5</x:v>
      </x:c>
      <x:c r="J44" s="11" t="n">
        <x:f>'SIM_08_Jiwa'!N19</x:f>
        <x:v>88064.397</x:v>
      </x:c>
      <x:c r="K44" s="11" t="n">
        <x:f>'SIM_08_Jiwa'!O19</x:f>
        <x:v>90954.397</x:v>
      </x:c>
      <x:c r="L44" s="32" t="n">
        <x:f>'SIM_08_Jiwa'!P19</x:f>
        <x:v>30.472109688581313</x:v>
      </x:c>
      <x:c r="M44" s="12" t="n">
        <x:f>'SIM_08_Jiwa'!$B$7</x:f>
        <x:v>1771432200</x:v>
      </x:c>
      <x:c r="N44" s="12" t="n">
        <x:f>'SIM_08_Jiwa'!D19+'SIM_08_Jiwa'!G19</x:f>
        <x:v>27871494067.814964</x:v>
      </x:c>
      <x:c r="O44" s="12" t="n">
        <x:f>'SIM_08_Jiwa'!J19+'SIM_08_Jiwa'!M19</x:f>
        <x:v>275707800</x:v>
      </x:c>
      <x:c r="P44" s="12" t="n">
        <x:f>'SIM_08_Jiwa'!Q19</x:f>
        <x:v>27595786267.814964</x:v>
      </x:c>
      <x:c r="Q44" s="12" t="n">
        <x:f>'SIM_08_Jiwa'!R19</x:f>
        <x:v>29367218467.814964</x:v>
      </x:c>
      <x:c r="R44" s="32" t="n">
        <x:f>'SIM_08_Jiwa'!S19</x:f>
        <x:v>15.578234531253843</x:v>
      </x:c>
    </x:row>
    <x:row r="45">
      <x:c r="A45" s="8">
        <x:v>8</x:v>
      </x:c>
      <x:c r="B45" s="7" t="str">
        <x:v>JIWA</x:v>
      </x:c>
      <x:c r="C45" s="7" t="str">
        <x:v>Jiwa</x:v>
      </x:c>
      <x:c r="D45" s="7" t="str">
        <x:v>SIM_08_Jiwa</x:v>
      </x:c>
      <x:c r="E45" s="7" t="str">
        <x:v>Paripurna</x:v>
      </x:c>
      <x:c r="F45" s="8">
        <x:v>2</x:v>
      </x:c>
      <x:c r="G45" s="11" t="n">
        <x:f>'SIM_08_Jiwa'!$B$6</x:f>
        <x:v>2890</x:v>
      </x:c>
      <x:c r="H45" s="11" t="n">
        <x:f>'SIM_08_Jiwa'!C20+'SIM_08_Jiwa'!F20</x:f>
        <x:v>221184.397</x:v>
      </x:c>
      <x:c r="I45" s="11" t="n">
        <x:f>'SIM_08_Jiwa'!I20+'SIM_08_Jiwa'!L20</x:f>
        <x:v>631.8</x:v>
      </x:c>
      <x:c r="J45" s="11" t="n">
        <x:f>'SIM_08_Jiwa'!N20</x:f>
        <x:v>220552.597</x:v>
      </x:c>
      <x:c r="K45" s="11" t="n">
        <x:f>'SIM_08_Jiwa'!O20</x:f>
        <x:v>223442.597</x:v>
      </x:c>
      <x:c r="L45" s="32" t="n">
        <x:f>'SIM_08_Jiwa'!P20</x:f>
        <x:v>76.31577750865053</x:v>
      </x:c>
      <x:c r="M45" s="12" t="n">
        <x:f>'SIM_08_Jiwa'!$B$7</x:f>
        <x:v>1771432200</x:v>
      </x:c>
      <x:c r="N45" s="12" t="n">
        <x:f>'SIM_08_Jiwa'!D20+'SIM_08_Jiwa'!G20</x:f>
        <x:v>70831432036.90298</x:v>
      </x:c>
      <x:c r="O45" s="12" t="n">
        <x:f>'SIM_08_Jiwa'!J20+'SIM_08_Jiwa'!M20</x:f>
        <x:v>330849360</x:v>
      </x:c>
      <x:c r="P45" s="12" t="n">
        <x:f>'SIM_08_Jiwa'!Q20</x:f>
        <x:v>70500582676.90298</x:v>
      </x:c>
      <x:c r="Q45" s="12" t="n">
        <x:f>'SIM_08_Jiwa'!R20</x:f>
        <x:v>72272014876.90298</x:v>
      </x:c>
      <x:c r="R45" s="32" t="n">
        <x:f>'SIM_08_Jiwa'!S20</x:f>
        <x:v>39.79863450427455</x:v>
      </x:c>
    </x:row>
    <x:row r="46">
      <x:c r="A46" s="8">
        <x:v>8</x:v>
      </x:c>
      <x:c r="B46" s="7" t="str">
        <x:v>JIWA</x:v>
      </x:c>
      <x:c r="C46" s="7" t="str">
        <x:v>Jiwa</x:v>
      </x:c>
      <x:c r="D46" s="7" t="str">
        <x:v>SIM_08_Jiwa</x:v>
      </x:c>
      <x:c r="E46" s="7" t="str">
        <x:v>Paripurna</x:v>
      </x:c>
      <x:c r="F46" s="8">
        <x:v>3</x:v>
      </x:c>
      <x:c r="G46" s="11" t="n">
        <x:f>'SIM_08_Jiwa'!$B$6</x:f>
        <x:v>2890</x:v>
      </x:c>
      <x:c r="H46" s="11" t="n">
        <x:f>'SIM_08_Jiwa'!C21+'SIM_08_Jiwa'!F21</x:f>
        <x:v>353777.897</x:v>
      </x:c>
      <x:c r="I46" s="11" t="n">
        <x:f>'SIM_08_Jiwa'!I21+'SIM_08_Jiwa'!L21</x:f>
        <x:v>737.0999999999999</x:v>
      </x:c>
      <x:c r="J46" s="11" t="n">
        <x:f>'SIM_08_Jiwa'!N21</x:f>
        <x:v>353040.797</x:v>
      </x:c>
      <x:c r="K46" s="11" t="n">
        <x:f>'SIM_08_Jiwa'!O21</x:f>
        <x:v>355930.797</x:v>
      </x:c>
      <x:c r="L46" s="32" t="n">
        <x:f>'SIM_08_Jiwa'!P21</x:f>
        <x:v>122.15944532871973</x:v>
      </x:c>
      <x:c r="M46" s="12" t="n">
        <x:f>'SIM_08_Jiwa'!$B$7</x:f>
        <x:v>1771432200</x:v>
      </x:c>
      <x:c r="N46" s="12" t="n">
        <x:f>'SIM_08_Jiwa'!D21+'SIM_08_Jiwa'!G21</x:f>
        <x:v>113791370005.991</x:v>
      </x:c>
      <x:c r="O46" s="12" t="n">
        <x:f>'SIM_08_Jiwa'!J21+'SIM_08_Jiwa'!M21</x:f>
        <x:v>385990920</x:v>
      </x:c>
      <x:c r="P46" s="12" t="n">
        <x:f>'SIM_08_Jiwa'!Q21</x:f>
        <x:v>113405379085.991</x:v>
      </x:c>
      <x:c r="Q46" s="12" t="n">
        <x:f>'SIM_08_Jiwa'!R21</x:f>
        <x:v>115176811285.991</x:v>
      </x:c>
      <x:c r="R46" s="32" t="n">
        <x:f>'SIM_08_Jiwa'!S21</x:f>
        <x:v>64.01903447729526</x:v>
      </x:c>
    </x:row>
    <x:row r="47">
      <x:c r="A47" s="8">
        <x:v>8</x:v>
      </x:c>
      <x:c r="B47" s="7" t="str">
        <x:v>JIWA</x:v>
      </x:c>
      <x:c r="C47" s="7" t="str">
        <x:v>Jiwa</x:v>
      </x:c>
      <x:c r="D47" s="7" t="str">
        <x:v>SIM_08_Jiwa</x:v>
      </x:c>
      <x:c r="E47" s="7" t="str">
        <x:v>Paripurna</x:v>
      </x:c>
      <x:c r="F47" s="8">
        <x:v>4</x:v>
      </x:c>
      <x:c r="G47" s="11" t="n">
        <x:f>'SIM_08_Jiwa'!$B$6</x:f>
        <x:v>2890</x:v>
      </x:c>
      <x:c r="H47" s="11" t="n">
        <x:f>'SIM_08_Jiwa'!C22+'SIM_08_Jiwa'!F22</x:f>
        <x:v>486371.397</x:v>
      </x:c>
      <x:c r="I47" s="11" t="n">
        <x:f>'SIM_08_Jiwa'!I22+'SIM_08_Jiwa'!L22</x:f>
        <x:v>842.4000000000001</x:v>
      </x:c>
      <x:c r="J47" s="11" t="n">
        <x:f>'SIM_08_Jiwa'!N22</x:f>
        <x:v>485528.997</x:v>
      </x:c>
      <x:c r="K47" s="11" t="n">
        <x:f>'SIM_08_Jiwa'!O22</x:f>
        <x:v>488418.997</x:v>
      </x:c>
      <x:c r="L47" s="32" t="n">
        <x:f>'SIM_08_Jiwa'!P22</x:f>
        <x:v>168.0031131487889</x:v>
      </x:c>
      <x:c r="M47" s="12" t="n">
        <x:f>'SIM_08_Jiwa'!$B$7</x:f>
        <x:v>1771432200</x:v>
      </x:c>
      <x:c r="N47" s="12" t="n">
        <x:f>'SIM_08_Jiwa'!D22+'SIM_08_Jiwa'!G22</x:f>
        <x:v>156751307975.07904</x:v>
      </x:c>
      <x:c r="O47" s="12" t="n">
        <x:f>'SIM_08_Jiwa'!J22+'SIM_08_Jiwa'!M22</x:f>
        <x:v>441132480</x:v>
      </x:c>
      <x:c r="P47" s="12" t="n">
        <x:f>'SIM_08_Jiwa'!Q22</x:f>
        <x:v>156310175495.07904</x:v>
      </x:c>
      <x:c r="Q47" s="12" t="n">
        <x:f>'SIM_08_Jiwa'!R22</x:f>
        <x:v>158081607695.07904</x:v>
      </x:c>
      <x:c r="R47" s="32" t="n">
        <x:f>'SIM_08_Jiwa'!S22</x:f>
        <x:v>88.23943445031598</x:v>
      </x:c>
    </x:row>
    <x:row r="48">
      <x:c r="A48" s="8">
        <x:v>8</x:v>
      </x:c>
      <x:c r="B48" s="7" t="str">
        <x:v>JIWA</x:v>
      </x:c>
      <x:c r="C48" s="7" t="str">
        <x:v>Jiwa</x:v>
      </x:c>
      <x:c r="D48" s="7" t="str">
        <x:v>SIM_08_Jiwa</x:v>
      </x:c>
      <x:c r="E48" s="7" t="str">
        <x:v>Paripurna</x:v>
      </x:c>
      <x:c r="F48" s="8">
        <x:v>5</x:v>
      </x:c>
      <x:c r="G48" s="11" t="n">
        <x:f>'SIM_08_Jiwa'!$B$6</x:f>
        <x:v>2890</x:v>
      </x:c>
      <x:c r="H48" s="11" t="n">
        <x:f>'SIM_08_Jiwa'!C23+'SIM_08_Jiwa'!F23</x:f>
        <x:v>618964.8969999999</x:v>
      </x:c>
      <x:c r="I48" s="11" t="n">
        <x:f>'SIM_08_Jiwa'!I23+'SIM_08_Jiwa'!L23</x:f>
        <x:v>947.7</x:v>
      </x:c>
      <x:c r="J48" s="11" t="n">
        <x:f>'SIM_08_Jiwa'!N23</x:f>
        <x:v>618017.1969999999</x:v>
      </x:c>
      <x:c r="K48" s="11" t="n">
        <x:f>'SIM_08_Jiwa'!O23</x:f>
        <x:v>620907.1969999999</x:v>
      </x:c>
      <x:c r="L48" s="32" t="n">
        <x:f>'SIM_08_Jiwa'!P23</x:f>
        <x:v>213.8467809688581</x:v>
      </x:c>
      <x:c r="M48" s="12" t="n">
        <x:f>'SIM_08_Jiwa'!$B$7</x:f>
        <x:v>1771432200</x:v>
      </x:c>
      <x:c r="N48" s="12" t="n">
        <x:f>'SIM_08_Jiwa'!D23+'SIM_08_Jiwa'!G23</x:f>
        <x:v>199711245944.16702</x:v>
      </x:c>
      <x:c r="O48" s="12" t="n">
        <x:f>'SIM_08_Jiwa'!J23+'SIM_08_Jiwa'!M23</x:f>
        <x:v>496274040</x:v>
      </x:c>
      <x:c r="P48" s="12" t="n">
        <x:f>'SIM_08_Jiwa'!Q23</x:f>
        <x:v>199214971904.16702</x:v>
      </x:c>
      <x:c r="Q48" s="12" t="n">
        <x:f>'SIM_08_Jiwa'!R23</x:f>
        <x:v>200986404104.16702</x:v>
      </x:c>
      <x:c r="R48" s="32" t="n">
        <x:f>'SIM_08_Jiwa'!S23</x:f>
        <x:v>112.45983442333667</x:v>
      </x:c>
    </x:row>
    <x:row r="49">
      <x:c r="A49" s="8">
        <x:v>8</x:v>
      </x:c>
      <x:c r="B49" s="7" t="str">
        <x:v>JIWA</x:v>
      </x:c>
      <x:c r="C49" s="7" t="str">
        <x:v>Jiwa</x:v>
      </x:c>
      <x:c r="D49" s="7" t="str">
        <x:v>SIM_08_Jiwa</x:v>
      </x:c>
      <x:c r="E49" s="7" t="str">
        <x:v>Paripurna</x:v>
      </x:c>
      <x:c r="F49" s="8">
        <x:v>6</x:v>
      </x:c>
      <x:c r="G49" s="11" t="n">
        <x:f>'SIM_08_Jiwa'!$B$6</x:f>
        <x:v>2890</x:v>
      </x:c>
      <x:c r="H49" s="11" t="n">
        <x:f>'SIM_08_Jiwa'!C24+'SIM_08_Jiwa'!F24</x:f>
        <x:v>751558.397</x:v>
      </x:c>
      <x:c r="I49" s="11" t="n">
        <x:f>'SIM_08_Jiwa'!I24+'SIM_08_Jiwa'!L24</x:f>
        <x:v>1053</x:v>
      </x:c>
      <x:c r="J49" s="11" t="n">
        <x:f>'SIM_08_Jiwa'!N24</x:f>
        <x:v>750505.397</x:v>
      </x:c>
      <x:c r="K49" s="11" t="n">
        <x:f>'SIM_08_Jiwa'!O24</x:f>
        <x:v>753395.397</x:v>
      </x:c>
      <x:c r="L49" s="32" t="n">
        <x:f>'SIM_08_Jiwa'!P24</x:f>
        <x:v>259.6904487889273</x:v>
      </x:c>
      <x:c r="M49" s="12" t="n">
        <x:f>'SIM_08_Jiwa'!$B$7</x:f>
        <x:v>1771432200</x:v>
      </x:c>
      <x:c r="N49" s="12" t="n">
        <x:f>'SIM_08_Jiwa'!D24+'SIM_08_Jiwa'!G24</x:f>
        <x:v>242671183913.25507</x:v>
      </x:c>
      <x:c r="O49" s="12" t="n">
        <x:f>'SIM_08_Jiwa'!J24+'SIM_08_Jiwa'!M24</x:f>
        <x:v>551415600</x:v>
      </x:c>
      <x:c r="P49" s="12" t="n">
        <x:f>'SIM_08_Jiwa'!Q24</x:f>
        <x:v>242119768313.25507</x:v>
      </x:c>
      <x:c r="Q49" s="12" t="n">
        <x:f>'SIM_08_Jiwa'!R24</x:f>
        <x:v>243891200513.25507</x:v>
      </x:c>
      <x:c r="R49" s="32" t="n">
        <x:f>'SIM_08_Jiwa'!S24</x:f>
        <x:v>136.6802343963574</x:v>
      </x:c>
    </x:row>
    <x:row r="50">
      <x:c r="A50" s="8">
        <x:v>9</x:v>
      </x:c>
      <x:c r="B50" s="7" t="str">
        <x:v>KERACUNAN</x:v>
      </x:c>
      <x:c r="C50" s="7" t="str">
        <x:v>Keracunan</x:v>
      </x:c>
      <x:c r="D50" s="7" t="str">
        <x:v>SIM_09_Keracunan</x:v>
      </x:c>
      <x:c r="E50" s="7" t="str">
        <x:v>Paripurna</x:v>
      </x:c>
      <x:c r="F50" s="8">
        <x:v>1</x:v>
      </x:c>
      <x:c r="G50" s="11" t="n">
        <x:f>'SIM_09_Keracunan'!$B$6</x:f>
        <x:v>176</x:v>
      </x:c>
      <x:c r="H50" s="11" t="n">
        <x:f>'SIM_09_Keracunan'!C19+'SIM_09_Keracunan'!F19</x:f>
        <x:v>60.827</x:v>
      </x:c>
      <x:c r="I50" s="11" t="n">
        <x:f>'SIM_09_Keracunan'!I19+'SIM_09_Keracunan'!L19</x:f>
        <x:v>16.5</x:v>
      </x:c>
      <x:c r="J50" s="11" t="n">
        <x:f>'SIM_09_Keracunan'!N19</x:f>
        <x:v>44.327</x:v>
      </x:c>
      <x:c r="K50" s="11" t="n">
        <x:f>'SIM_09_Keracunan'!O19</x:f>
        <x:v>220.327</x:v>
      </x:c>
      <x:c r="L50" s="32" t="n">
        <x:f>'SIM_09_Keracunan'!P19</x:f>
        <x:v>0.2518579545454545</x:v>
      </x:c>
      <x:c r="M50" s="12" t="n">
        <x:f>'SIM_09_Keracunan'!$B$7</x:f>
        <x:v>595372500</x:v>
      </x:c>
      <x:c r="N50" s="12" t="n">
        <x:f>'SIM_09_Keracunan'!D19+'SIM_09_Keracunan'!G19</x:f>
        <x:v>210200591.7689997</x:v>
      </x:c>
      <x:c r="O50" s="12" t="n">
        <x:f>'SIM_09_Keracunan'!J19+'SIM_09_Keracunan'!M19</x:f>
        <x:v>76288050</x:v>
      </x:c>
      <x:c r="P50" s="12" t="n">
        <x:f>'SIM_09_Keracunan'!Q19</x:f>
        <x:v>133912541.7689997</x:v>
      </x:c>
      <x:c r="Q50" s="12" t="n">
        <x:f>'SIM_09_Keracunan'!R19</x:f>
        <x:v>729285041.7689997</x:v>
      </x:c>
      <x:c r="R50" s="32" t="n">
        <x:f>'SIM_09_Keracunan'!S19</x:f>
        <x:v>0.2249222827204812</x:v>
      </x:c>
    </x:row>
    <x:row r="51">
      <x:c r="A51" s="8">
        <x:v>9</x:v>
      </x:c>
      <x:c r="B51" s="7" t="str">
        <x:v>KERACUNAN</x:v>
      </x:c>
      <x:c r="C51" s="7" t="str">
        <x:v>Keracunan</x:v>
      </x:c>
      <x:c r="D51" s="7" t="str">
        <x:v>SIM_09_Keracunan</x:v>
      </x:c>
      <x:c r="E51" s="7" t="str">
        <x:v>Paripurna</x:v>
      </x:c>
      <x:c r="F51" s="8">
        <x:v>2</x:v>
      </x:c>
      <x:c r="G51" s="11" t="n">
        <x:f>'SIM_09_Keracunan'!$B$6</x:f>
        <x:v>176</x:v>
      </x:c>
      <x:c r="H51" s="11" t="n">
        <x:f>'SIM_09_Keracunan'!C20+'SIM_09_Keracunan'!F20</x:f>
        <x:v>391.62699999999995</x:v>
      </x:c>
      <x:c r="I51" s="11" t="n">
        <x:f>'SIM_09_Keracunan'!I20+'SIM_09_Keracunan'!L20</x:f>
        <x:v>19.8</x:v>
      </x:c>
      <x:c r="J51" s="11" t="n">
        <x:f>'SIM_09_Keracunan'!N20</x:f>
        <x:v>371.82699999999994</x:v>
      </x:c>
      <x:c r="K51" s="11" t="n">
        <x:f>'SIM_09_Keracunan'!O20</x:f>
        <x:v>547.827</x:v>
      </x:c>
      <x:c r="L51" s="32" t="n">
        <x:f>'SIM_09_Keracunan'!P20</x:f>
        <x:v>2.1126534090909086</x:v>
      </x:c>
      <x:c r="M51" s="12" t="n">
        <x:f>'SIM_09_Keracunan'!$B$7</x:f>
        <x:v>595372500</x:v>
      </x:c>
      <x:c r="N51" s="12" t="n">
        <x:f>'SIM_09_Keracunan'!D20+'SIM_09_Keracunan'!G20</x:f>
        <x:v>1308518681.4289973</x:v>
      </x:c>
      <x:c r="O51" s="12" t="n">
        <x:f>'SIM_09_Keracunan'!J20+'SIM_09_Keracunan'!M20</x:f>
        <x:v>91545660</x:v>
      </x:c>
      <x:c r="P51" s="12" t="n">
        <x:f>'SIM_09_Keracunan'!Q20</x:f>
        <x:v>1216973021.4289973</x:v>
      </x:c>
      <x:c r="Q51" s="12" t="n">
        <x:f>'SIM_09_Keracunan'!R20</x:f>
        <x:v>1812345521.4289973</x:v>
      </x:c>
      <x:c r="R51" s="32" t="n">
        <x:f>'SIM_09_Keracunan'!S20</x:f>
        <x:v>2.0440531288042316</x:v>
      </x:c>
    </x:row>
    <x:row r="52">
      <x:c r="A52" s="8">
        <x:v>9</x:v>
      </x:c>
      <x:c r="B52" s="7" t="str">
        <x:v>KERACUNAN</x:v>
      </x:c>
      <x:c r="C52" s="7" t="str">
        <x:v>Keracunan</x:v>
      </x:c>
      <x:c r="D52" s="7" t="str">
        <x:v>SIM_09_Keracunan</x:v>
      </x:c>
      <x:c r="E52" s="7" t="str">
        <x:v>Paripurna</x:v>
      </x:c>
      <x:c r="F52" s="8">
        <x:v>3</x:v>
      </x:c>
      <x:c r="G52" s="11" t="n">
        <x:f>'SIM_09_Keracunan'!$B$6</x:f>
        <x:v>176</x:v>
      </x:c>
      <x:c r="H52" s="11" t="n">
        <x:f>'SIM_09_Keracunan'!C21+'SIM_09_Keracunan'!F21</x:f>
        <x:v>722.4269999999999</x:v>
      </x:c>
      <x:c r="I52" s="11" t="n">
        <x:f>'SIM_09_Keracunan'!I21+'SIM_09_Keracunan'!L21</x:f>
        <x:v>23.099999999999998</x:v>
      </x:c>
      <x:c r="J52" s="11" t="n">
        <x:f>'SIM_09_Keracunan'!N21</x:f>
        <x:v>699.3269999999999</x:v>
      </x:c>
      <x:c r="K52" s="11" t="n">
        <x:f>'SIM_09_Keracunan'!O21</x:f>
        <x:v>875.3269999999999</x:v>
      </x:c>
      <x:c r="L52" s="32" t="n">
        <x:f>'SIM_09_Keracunan'!P21</x:f>
        <x:v>3.973448863636363</x:v>
      </x:c>
      <x:c r="M52" s="12" t="n">
        <x:f>'SIM_09_Keracunan'!$B$7</x:f>
        <x:v>595372500</x:v>
      </x:c>
      <x:c r="N52" s="12" t="n">
        <x:f>'SIM_09_Keracunan'!D21+'SIM_09_Keracunan'!G21</x:f>
        <x:v>2406836771.088995</x:v>
      </x:c>
      <x:c r="O52" s="12" t="n">
        <x:f>'SIM_09_Keracunan'!J21+'SIM_09_Keracunan'!M21</x:f>
        <x:v>106803270</x:v>
      </x:c>
      <x:c r="P52" s="12" t="n">
        <x:f>'SIM_09_Keracunan'!Q21</x:f>
        <x:v>2300033501.088995</x:v>
      </x:c>
      <x:c r="Q52" s="12" t="n">
        <x:f>'SIM_09_Keracunan'!R21</x:f>
        <x:v>2895406001.088995</x:v>
      </x:c>
      <x:c r="R52" s="32" t="n">
        <x:f>'SIM_09_Keracunan'!S21</x:f>
        <x:v>3.8631839748879817</x:v>
      </x:c>
    </x:row>
    <x:row r="53">
      <x:c r="A53" s="8">
        <x:v>9</x:v>
      </x:c>
      <x:c r="B53" s="7" t="str">
        <x:v>KERACUNAN</x:v>
      </x:c>
      <x:c r="C53" s="7" t="str">
        <x:v>Keracunan</x:v>
      </x:c>
      <x:c r="D53" s="7" t="str">
        <x:v>SIM_09_Keracunan</x:v>
      </x:c>
      <x:c r="E53" s="7" t="str">
        <x:v>Paripurna</x:v>
      </x:c>
      <x:c r="F53" s="8">
        <x:v>4</x:v>
      </x:c>
      <x:c r="G53" s="11" t="n">
        <x:f>'SIM_09_Keracunan'!$B$6</x:f>
        <x:v>176</x:v>
      </x:c>
      <x:c r="H53" s="11" t="n">
        <x:f>'SIM_09_Keracunan'!C22+'SIM_09_Keracunan'!F22</x:f>
        <x:v>1053.2269999999999</x:v>
      </x:c>
      <x:c r="I53" s="11" t="n">
        <x:f>'SIM_09_Keracunan'!I22+'SIM_09_Keracunan'!L22</x:f>
        <x:v>26.400000000000002</x:v>
      </x:c>
      <x:c r="J53" s="11" t="n">
        <x:f>'SIM_09_Keracunan'!N22</x:f>
        <x:v>1026.8269999999998</x:v>
      </x:c>
      <x:c r="K53" s="11" t="n">
        <x:f>'SIM_09_Keracunan'!O22</x:f>
        <x:v>1202.8269999999998</x:v>
      </x:c>
      <x:c r="L53" s="32" t="n">
        <x:f>'SIM_09_Keracunan'!P22</x:f>
        <x:v>5.834244318181817</x:v>
      </x:c>
      <x:c r="M53" s="12" t="n">
        <x:f>'SIM_09_Keracunan'!$B$7</x:f>
        <x:v>595372500</x:v>
      </x:c>
      <x:c r="N53" s="12" t="n">
        <x:f>'SIM_09_Keracunan'!D22+'SIM_09_Keracunan'!G22</x:f>
        <x:v>3505154860.748993</x:v>
      </x:c>
      <x:c r="O53" s="12" t="n">
        <x:f>'SIM_09_Keracunan'!J22+'SIM_09_Keracunan'!M22</x:f>
        <x:v>122060880</x:v>
      </x:c>
      <x:c r="P53" s="12" t="n">
        <x:f>'SIM_09_Keracunan'!Q22</x:f>
        <x:v>3383093980.748993</x:v>
      </x:c>
      <x:c r="Q53" s="12" t="n">
        <x:f>'SIM_09_Keracunan'!R22</x:f>
        <x:v>3978466480.748993</x:v>
      </x:c>
      <x:c r="R53" s="32" t="n">
        <x:f>'SIM_09_Keracunan'!S22</x:f>
        <x:v>5.682314820971733</x:v>
      </x:c>
    </x:row>
    <x:row r="54">
      <x:c r="A54" s="8">
        <x:v>9</x:v>
      </x:c>
      <x:c r="B54" s="7" t="str">
        <x:v>KERACUNAN</x:v>
      </x:c>
      <x:c r="C54" s="7" t="str">
        <x:v>Keracunan</x:v>
      </x:c>
      <x:c r="D54" s="7" t="str">
        <x:v>SIM_09_Keracunan</x:v>
      </x:c>
      <x:c r="E54" s="7" t="str">
        <x:v>Paripurna</x:v>
      </x:c>
      <x:c r="F54" s="8">
        <x:v>5</x:v>
      </x:c>
      <x:c r="G54" s="11" t="n">
        <x:f>'SIM_09_Keracunan'!$B$6</x:f>
        <x:v>176</x:v>
      </x:c>
      <x:c r="H54" s="11" t="n">
        <x:f>'SIM_09_Keracunan'!C23+'SIM_09_Keracunan'!F23</x:f>
        <x:v>1384.027</x:v>
      </x:c>
      <x:c r="I54" s="11" t="n">
        <x:f>'SIM_09_Keracunan'!I23+'SIM_09_Keracunan'!L23</x:f>
        <x:v>29.700000000000003</x:v>
      </x:c>
      <x:c r="J54" s="11" t="n">
        <x:f>'SIM_09_Keracunan'!N23</x:f>
        <x:v>1354.327</x:v>
      </x:c>
      <x:c r="K54" s="11" t="n">
        <x:f>'SIM_09_Keracunan'!O23</x:f>
        <x:v>1530.327</x:v>
      </x:c>
      <x:c r="L54" s="32" t="n">
        <x:f>'SIM_09_Keracunan'!P23</x:f>
        <x:v>7.695039772727273</x:v>
      </x:c>
      <x:c r="M54" s="12" t="n">
        <x:f>'SIM_09_Keracunan'!$B$7</x:f>
        <x:v>595372500</x:v>
      </x:c>
      <x:c r="N54" s="12" t="n">
        <x:f>'SIM_09_Keracunan'!D23+'SIM_09_Keracunan'!G23</x:f>
        <x:v>4603472950.408991</x:v>
      </x:c>
      <x:c r="O54" s="12" t="n">
        <x:f>'SIM_09_Keracunan'!J23+'SIM_09_Keracunan'!M23</x:f>
        <x:v>137318490</x:v>
      </x:c>
      <x:c r="P54" s="12" t="n">
        <x:f>'SIM_09_Keracunan'!Q23</x:f>
        <x:v>4466154460.408991</x:v>
      </x:c>
      <x:c r="Q54" s="12" t="n">
        <x:f>'SIM_09_Keracunan'!R23</x:f>
        <x:v>5061526960.408991</x:v>
      </x:c>
      <x:c r="R54" s="32" t="n">
        <x:f>'SIM_09_Keracunan'!S23</x:f>
        <x:v>7.501445667055483</x:v>
      </x:c>
    </x:row>
    <x:row r="55">
      <x:c r="A55" s="8">
        <x:v>9</x:v>
      </x:c>
      <x:c r="B55" s="7" t="str">
        <x:v>KERACUNAN</x:v>
      </x:c>
      <x:c r="C55" s="7" t="str">
        <x:v>Keracunan</x:v>
      </x:c>
      <x:c r="D55" s="7" t="str">
        <x:v>SIM_09_Keracunan</x:v>
      </x:c>
      <x:c r="E55" s="7" t="str">
        <x:v>Paripurna</x:v>
      </x:c>
      <x:c r="F55" s="8">
        <x:v>6</x:v>
      </x:c>
      <x:c r="G55" s="11" t="n">
        <x:f>'SIM_09_Keracunan'!$B$6</x:f>
        <x:v>176</x:v>
      </x:c>
      <x:c r="H55" s="11" t="n">
        <x:f>'SIM_09_Keracunan'!C24+'SIM_09_Keracunan'!F24</x:f>
        <x:v>1714.827</x:v>
      </x:c>
      <x:c r="I55" s="11" t="n">
        <x:f>'SIM_09_Keracunan'!I24+'SIM_09_Keracunan'!L24</x:f>
        <x:v>33</x:v>
      </x:c>
      <x:c r="J55" s="11" t="n">
        <x:f>'SIM_09_Keracunan'!N24</x:f>
        <x:v>1681.827</x:v>
      </x:c>
      <x:c r="K55" s="11" t="n">
        <x:f>'SIM_09_Keracunan'!O24</x:f>
        <x:v>1857.827</x:v>
      </x:c>
      <x:c r="L55" s="32" t="n">
        <x:f>'SIM_09_Keracunan'!P24</x:f>
        <x:v>9.555835227272727</x:v>
      </x:c>
      <x:c r="M55" s="12" t="n">
        <x:f>'SIM_09_Keracunan'!$B$7</x:f>
        <x:v>595372500</x:v>
      </x:c>
      <x:c r="N55" s="12" t="n">
        <x:f>'SIM_09_Keracunan'!D24+'SIM_09_Keracunan'!G24</x:f>
        <x:v>5701791040.068989</x:v>
      </x:c>
      <x:c r="O55" s="12" t="n">
        <x:f>'SIM_09_Keracunan'!J24+'SIM_09_Keracunan'!M24</x:f>
        <x:v>152576100</x:v>
      </x:c>
      <x:c r="P55" s="12" t="n">
        <x:f>'SIM_09_Keracunan'!Q24</x:f>
        <x:v>5549214940.068989</x:v>
      </x:c>
      <x:c r="Q55" s="12" t="n">
        <x:f>'SIM_09_Keracunan'!R24</x:f>
        <x:v>6144587440.068989</x:v>
      </x:c>
      <x:c r="R55" s="32" t="n">
        <x:f>'SIM_09_Keracunan'!S24</x:f>
        <x:v>9.320576513139235</x:v>
      </x:c>
    </x:row>
    <x:row r="56">
      <x:c r="A56" s="8">
        <x:v>10</x:v>
      </x:c>
      <x:c r="B56" s="7" t="str">
        <x:v>KULIT &amp; PENYAKIT KELAMIN</x:v>
      </x:c>
      <x:c r="C56" s="7" t="str">
        <x:v>Kulit &amp; Penyakit Kelamin</x:v>
      </x:c>
      <x:c r="D56" s="7" t="str">
        <x:v>SIM_10_Kulit_Penyakit_Kelamin</x:v>
      </x:c>
      <x:c r="E56" s="7" t="str">
        <x:v>Paripurna</x:v>
      </x:c>
      <x:c r="F56" s="8">
        <x:v>1</x:v>
      </x:c>
      <x:c r="G56" s="11" t="n">
        <x:f>'SIM_10_Kulit_Penyakit_Kelamin'!$B$6</x:f>
        <x:v>18023</x:v>
      </x:c>
      <x:c r="H56" s="11" t="n">
        <x:f>'SIM_10_Kulit_Penyakit_Kelamin'!C19+'SIM_10_Kulit_Penyakit_Kelamin'!F19</x:f>
        <x:v>62824.207</x:v>
      </x:c>
      <x:c r="I56" s="11" t="n">
        <x:f>'SIM_10_Kulit_Penyakit_Kelamin'!I19+'SIM_10_Kulit_Penyakit_Kelamin'!L19</x:f>
        <x:v>5431.5</x:v>
      </x:c>
      <x:c r="J56" s="11" t="n">
        <x:f>'SIM_10_Kulit_Penyakit_Kelamin'!N19</x:f>
        <x:v>57392.707</x:v>
      </x:c>
      <x:c r="K56" s="11" t="n">
        <x:f>'SIM_10_Kulit_Penyakit_Kelamin'!O19</x:f>
        <x:v>75415.707</x:v>
      </x:c>
      <x:c r="L56" s="32" t="n">
        <x:f>'SIM_10_Kulit_Penyakit_Kelamin'!P19</x:f>
        <x:v>3.184414747822227</x:v>
      </x:c>
      <x:c r="M56" s="12" t="n">
        <x:f>'SIM_10_Kulit_Penyakit_Kelamin'!$B$7</x:f>
        <x:v>8662794800</x:v>
      </x:c>
      <x:c r="N56" s="12" t="n">
        <x:f>'SIM_10_Kulit_Penyakit_Kelamin'!D19+'SIM_10_Kulit_Penyakit_Kelamin'!G19</x:f>
        <x:v>20869019024.359806</x:v>
      </x:c>
      <x:c r="O56" s="12" t="n">
        <x:f>'SIM_10_Kulit_Penyakit_Kelamin'!J19+'SIM_10_Kulit_Penyakit_Kelamin'!M19</x:f>
        <x:v>2604899350</x:v>
      </x:c>
      <x:c r="P56" s="12" t="n">
        <x:f>'SIM_10_Kulit_Penyakit_Kelamin'!Q19</x:f>
        <x:v>18264119674.359806</x:v>
      </x:c>
      <x:c r="Q56" s="12" t="n">
        <x:f>'SIM_10_Kulit_Penyakit_Kelamin'!R19</x:f>
        <x:v>26926914474.359806</x:v>
      </x:c>
      <x:c r="R56" s="32" t="n">
        <x:f>'SIM_10_Kulit_Penyakit_Kelamin'!S19</x:f>
        <x:v>2.1083403331174146</x:v>
      </x:c>
    </x:row>
    <x:row r="57">
      <x:c r="A57" s="8">
        <x:v>10</x:v>
      </x:c>
      <x:c r="B57" s="7" t="str">
        <x:v>KULIT &amp; PENYAKIT KELAMIN</x:v>
      </x:c>
      <x:c r="C57" s="7" t="str">
        <x:v>Kulit &amp; Penyakit Kelamin</x:v>
      </x:c>
      <x:c r="D57" s="7" t="str">
        <x:v>SIM_10_Kulit_Penyakit_Kelamin</x:v>
      </x:c>
      <x:c r="E57" s="7" t="str">
        <x:v>Paripurna</x:v>
      </x:c>
      <x:c r="F57" s="8">
        <x:v>2</x:v>
      </x:c>
      <x:c r="G57" s="11" t="n">
        <x:f>'SIM_10_Kulit_Penyakit_Kelamin'!$B$6</x:f>
        <x:v>18023</x:v>
      </x:c>
      <x:c r="H57" s="11" t="n">
        <x:f>'SIM_10_Kulit_Penyakit_Kelamin'!C20+'SIM_10_Kulit_Penyakit_Kelamin'!F20</x:f>
        <x:v>118744.10700000002</x:v>
      </x:c>
      <x:c r="I57" s="11" t="n">
        <x:f>'SIM_10_Kulit_Penyakit_Kelamin'!I20+'SIM_10_Kulit_Penyakit_Kelamin'!L20</x:f>
        <x:v>6517.799999999999</x:v>
      </x:c>
      <x:c r="J57" s="11" t="n">
        <x:f>'SIM_10_Kulit_Penyakit_Kelamin'!N20</x:f>
        <x:v>112226.30700000002</x:v>
      </x:c>
      <x:c r="K57" s="11" t="n">
        <x:f>'SIM_10_Kulit_Penyakit_Kelamin'!O20</x:f>
        <x:v>130249.30700000002</x:v>
      </x:c>
      <x:c r="L57" s="32" t="n">
        <x:f>'SIM_10_Kulit_Penyakit_Kelamin'!P20</x:f>
        <x:v>6.226838317705155</x:v>
      </x:c>
      <x:c r="M57" s="12" t="n">
        <x:f>'SIM_10_Kulit_Penyakit_Kelamin'!$B$7</x:f>
        <x:v>8662794800</x:v>
      </x:c>
      <x:c r="N57" s="12" t="n">
        <x:f>'SIM_10_Kulit_Penyakit_Kelamin'!D20+'SIM_10_Kulit_Penyakit_Kelamin'!G20</x:f>
        <x:v>39204788718.15881</x:v>
      </x:c>
      <x:c r="O57" s="12" t="n">
        <x:f>'SIM_10_Kulit_Penyakit_Kelamin'!J20+'SIM_10_Kulit_Penyakit_Kelamin'!M20</x:f>
        <x:v>3125879220</x:v>
      </x:c>
      <x:c r="P57" s="12" t="n">
        <x:f>'SIM_10_Kulit_Penyakit_Kelamin'!Q20</x:f>
        <x:v>36078909498.15881</x:v>
      </x:c>
      <x:c r="Q57" s="12" t="n">
        <x:f>'SIM_10_Kulit_Penyakit_Kelamin'!R20</x:f>
        <x:v>44741704298.15881</x:v>
      </x:c>
      <x:c r="R57" s="32" t="n">
        <x:f>'SIM_10_Kulit_Penyakit_Kelamin'!S20</x:f>
        <x:v>4.164811741605471</x:v>
      </x:c>
    </x:row>
    <x:row r="58">
      <x:c r="A58" s="8">
        <x:v>10</x:v>
      </x:c>
      <x:c r="B58" s="7" t="str">
        <x:v>KULIT &amp; PENYAKIT KELAMIN</x:v>
      </x:c>
      <x:c r="C58" s="7" t="str">
        <x:v>Kulit &amp; Penyakit Kelamin</x:v>
      </x:c>
      <x:c r="D58" s="7" t="str">
        <x:v>SIM_10_Kulit_Penyakit_Kelamin</x:v>
      </x:c>
      <x:c r="E58" s="7" t="str">
        <x:v>Paripurna</x:v>
      </x:c>
      <x:c r="F58" s="8">
        <x:v>3</x:v>
      </x:c>
      <x:c r="G58" s="11" t="n">
        <x:f>'SIM_10_Kulit_Penyakit_Kelamin'!$B$6</x:f>
        <x:v>18023</x:v>
      </x:c>
      <x:c r="H58" s="11" t="n">
        <x:f>'SIM_10_Kulit_Penyakit_Kelamin'!C21+'SIM_10_Kulit_Penyakit_Kelamin'!F21</x:f>
        <x:v>174664.00699999998</x:v>
      </x:c>
      <x:c r="I58" s="11" t="n">
        <x:f>'SIM_10_Kulit_Penyakit_Kelamin'!I21+'SIM_10_Kulit_Penyakit_Kelamin'!L21</x:f>
        <x:v>7604.099999999999</x:v>
      </x:c>
      <x:c r="J58" s="11" t="n">
        <x:f>'SIM_10_Kulit_Penyakit_Kelamin'!N21</x:f>
        <x:v>167059.90699999998</x:v>
      </x:c>
      <x:c r="K58" s="11" t="n">
        <x:f>'SIM_10_Kulit_Penyakit_Kelamin'!O21</x:f>
        <x:v>185082.90699999998</x:v>
      </x:c>
      <x:c r="L58" s="32" t="n">
        <x:f>'SIM_10_Kulit_Penyakit_Kelamin'!P21</x:f>
        <x:v>9.269261887588081</x:v>
      </x:c>
      <x:c r="M58" s="12" t="n">
        <x:f>'SIM_10_Kulit_Penyakit_Kelamin'!$B$7</x:f>
        <x:v>8662794800</x:v>
      </x:c>
      <x:c r="N58" s="12" t="n">
        <x:f>'SIM_10_Kulit_Penyakit_Kelamin'!D21+'SIM_10_Kulit_Penyakit_Kelamin'!G21</x:f>
        <x:v>57540558411.9578</x:v>
      </x:c>
      <x:c r="O58" s="12" t="n">
        <x:f>'SIM_10_Kulit_Penyakit_Kelamin'!J21+'SIM_10_Kulit_Penyakit_Kelamin'!M21</x:f>
        <x:v>3646859090</x:v>
      </x:c>
      <x:c r="P58" s="12" t="n">
        <x:f>'SIM_10_Kulit_Penyakit_Kelamin'!Q21</x:f>
        <x:v>53893699321.9578</x:v>
      </x:c>
      <x:c r="Q58" s="12" t="n">
        <x:f>'SIM_10_Kulit_Penyakit_Kelamin'!R21</x:f>
        <x:v>62556494121.9578</x:v>
      </x:c>
      <x:c r="R58" s="32" t="n">
        <x:f>'SIM_10_Kulit_Penyakit_Kelamin'!S21</x:f>
        <x:v>6.221283150093524</x:v>
      </x:c>
    </x:row>
    <x:row r="59">
      <x:c r="A59" s="8">
        <x:v>10</x:v>
      </x:c>
      <x:c r="B59" s="7" t="str">
        <x:v>KULIT &amp; PENYAKIT KELAMIN</x:v>
      </x:c>
      <x:c r="C59" s="7" t="str">
        <x:v>Kulit &amp; Penyakit Kelamin</x:v>
      </x:c>
      <x:c r="D59" s="7" t="str">
        <x:v>SIM_10_Kulit_Penyakit_Kelamin</x:v>
      </x:c>
      <x:c r="E59" s="7" t="str">
        <x:v>Paripurna</x:v>
      </x:c>
      <x:c r="F59" s="8">
        <x:v>4</x:v>
      </x:c>
      <x:c r="G59" s="11" t="n">
        <x:f>'SIM_10_Kulit_Penyakit_Kelamin'!$B$6</x:f>
        <x:v>18023</x:v>
      </x:c>
      <x:c r="H59" s="11" t="n">
        <x:f>'SIM_10_Kulit_Penyakit_Kelamin'!C22+'SIM_10_Kulit_Penyakit_Kelamin'!F22</x:f>
        <x:v>230583.907</x:v>
      </x:c>
      <x:c r="I59" s="11" t="n">
        <x:f>'SIM_10_Kulit_Penyakit_Kelamin'!I22+'SIM_10_Kulit_Penyakit_Kelamin'!L22</x:f>
        <x:v>8690.400000000001</x:v>
      </x:c>
      <x:c r="J59" s="11" t="n">
        <x:f>'SIM_10_Kulit_Penyakit_Kelamin'!N22</x:f>
        <x:v>221893.507</x:v>
      </x:c>
      <x:c r="K59" s="11" t="n">
        <x:f>'SIM_10_Kulit_Penyakit_Kelamin'!O22</x:f>
        <x:v>239916.507</x:v>
      </x:c>
      <x:c r="L59" s="32" t="n">
        <x:f>'SIM_10_Kulit_Penyakit_Kelamin'!P22</x:f>
        <x:v>12.31168545747101</x:v>
      </x:c>
      <x:c r="M59" s="12" t="n">
        <x:f>'SIM_10_Kulit_Penyakit_Kelamin'!$B$7</x:f>
        <x:v>8662794800</x:v>
      </x:c>
      <x:c r="N59" s="12" t="n">
        <x:f>'SIM_10_Kulit_Penyakit_Kelamin'!D22+'SIM_10_Kulit_Penyakit_Kelamin'!G22</x:f>
        <x:v>75876328105.7568</x:v>
      </x:c>
      <x:c r="O59" s="12" t="n">
        <x:f>'SIM_10_Kulit_Penyakit_Kelamin'!J22+'SIM_10_Kulit_Penyakit_Kelamin'!M22</x:f>
        <x:v>4167838960</x:v>
      </x:c>
      <x:c r="P59" s="12" t="n">
        <x:f>'SIM_10_Kulit_Penyakit_Kelamin'!Q22</x:f>
        <x:v>71708489145.7568</x:v>
      </x:c>
      <x:c r="Q59" s="12" t="n">
        <x:f>'SIM_10_Kulit_Penyakit_Kelamin'!R22</x:f>
        <x:v>80371283945.7568</x:v>
      </x:c>
      <x:c r="R59" s="32" t="n">
        <x:f>'SIM_10_Kulit_Penyakit_Kelamin'!S22</x:f>
        <x:v>8.277754558581579</x:v>
      </x:c>
    </x:row>
    <x:row r="60">
      <x:c r="A60" s="8">
        <x:v>10</x:v>
      </x:c>
      <x:c r="B60" s="7" t="str">
        <x:v>KULIT &amp; PENYAKIT KELAMIN</x:v>
      </x:c>
      <x:c r="C60" s="7" t="str">
        <x:v>Kulit &amp; Penyakit Kelamin</x:v>
      </x:c>
      <x:c r="D60" s="7" t="str">
        <x:v>SIM_10_Kulit_Penyakit_Kelamin</x:v>
      </x:c>
      <x:c r="E60" s="7" t="str">
        <x:v>Paripurna</x:v>
      </x:c>
      <x:c r="F60" s="8">
        <x:v>5</x:v>
      </x:c>
      <x:c r="G60" s="11" t="n">
        <x:f>'SIM_10_Kulit_Penyakit_Kelamin'!$B$6</x:f>
        <x:v>18023</x:v>
      </x:c>
      <x:c r="H60" s="11" t="n">
        <x:f>'SIM_10_Kulit_Penyakit_Kelamin'!C23+'SIM_10_Kulit_Penyakit_Kelamin'!F23</x:f>
        <x:v>286503.80700000003</x:v>
      </x:c>
      <x:c r="I60" s="11" t="n">
        <x:f>'SIM_10_Kulit_Penyakit_Kelamin'!I23+'SIM_10_Kulit_Penyakit_Kelamin'!L23</x:f>
        <x:v>9776.7</x:v>
      </x:c>
      <x:c r="J60" s="11" t="n">
        <x:f>'SIM_10_Kulit_Penyakit_Kelamin'!N23</x:f>
        <x:v>276727.107</x:v>
      </x:c>
      <x:c r="K60" s="11" t="n">
        <x:f>'SIM_10_Kulit_Penyakit_Kelamin'!O23</x:f>
        <x:v>294750.107</x:v>
      </x:c>
      <x:c r="L60" s="32" t="n">
        <x:f>'SIM_10_Kulit_Penyakit_Kelamin'!P23</x:f>
        <x:v>15.354109027353937</x:v>
      </x:c>
      <x:c r="M60" s="12" t="n">
        <x:f>'SIM_10_Kulit_Penyakit_Kelamin'!$B$7</x:f>
        <x:v>8662794800</x:v>
      </x:c>
      <x:c r="N60" s="12" t="n">
        <x:f>'SIM_10_Kulit_Penyakit_Kelamin'!D23+'SIM_10_Kulit_Penyakit_Kelamin'!G23</x:f>
        <x:v>94212097799.5558</x:v>
      </x:c>
      <x:c r="O60" s="12" t="n">
        <x:f>'SIM_10_Kulit_Penyakit_Kelamin'!J23+'SIM_10_Kulit_Penyakit_Kelamin'!M23</x:f>
        <x:v>4688818830</x:v>
      </x:c>
      <x:c r="P60" s="12" t="n">
        <x:f>'SIM_10_Kulit_Penyakit_Kelamin'!Q23</x:f>
        <x:v>89523278969.5558</x:v>
      </x:c>
      <x:c r="Q60" s="12" t="n">
        <x:f>'SIM_10_Kulit_Penyakit_Kelamin'!R23</x:f>
        <x:v>98186073769.5558</x:v>
      </x:c>
      <x:c r="R60" s="32" t="n">
        <x:f>'SIM_10_Kulit_Penyakit_Kelamin'!S23</x:f>
        <x:v>10.334225967069635</x:v>
      </x:c>
    </x:row>
    <x:row r="61">
      <x:c r="A61" s="8">
        <x:v>10</x:v>
      </x:c>
      <x:c r="B61" s="7" t="str">
        <x:v>KULIT &amp; PENYAKIT KELAMIN</x:v>
      </x:c>
      <x:c r="C61" s="7" t="str">
        <x:v>Kulit &amp; Penyakit Kelamin</x:v>
      </x:c>
      <x:c r="D61" s="7" t="str">
        <x:v>SIM_10_Kulit_Penyakit_Kelamin</x:v>
      </x:c>
      <x:c r="E61" s="7" t="str">
        <x:v>Paripurna</x:v>
      </x:c>
      <x:c r="F61" s="8">
        <x:v>6</x:v>
      </x:c>
      <x:c r="G61" s="11" t="n">
        <x:f>'SIM_10_Kulit_Penyakit_Kelamin'!$B$6</x:f>
        <x:v>18023</x:v>
      </x:c>
      <x:c r="H61" s="11" t="n">
        <x:f>'SIM_10_Kulit_Penyakit_Kelamin'!C24+'SIM_10_Kulit_Penyakit_Kelamin'!F24</x:f>
        <x:v>342423.707</x:v>
      </x:c>
      <x:c r="I61" s="11" t="n">
        <x:f>'SIM_10_Kulit_Penyakit_Kelamin'!I24+'SIM_10_Kulit_Penyakit_Kelamin'!L24</x:f>
        <x:v>10863</x:v>
      </x:c>
      <x:c r="J61" s="11" t="n">
        <x:f>'SIM_10_Kulit_Penyakit_Kelamin'!N24</x:f>
        <x:v>331560.707</x:v>
      </x:c>
      <x:c r="K61" s="11" t="n">
        <x:f>'SIM_10_Kulit_Penyakit_Kelamin'!O24</x:f>
        <x:v>349583.707</x:v>
      </x:c>
      <x:c r="L61" s="32" t="n">
        <x:f>'SIM_10_Kulit_Penyakit_Kelamin'!P24</x:f>
        <x:v>18.396532597236863</x:v>
      </x:c>
      <x:c r="M61" s="12" t="n">
        <x:f>'SIM_10_Kulit_Penyakit_Kelamin'!$B$7</x:f>
        <x:v>8662794800</x:v>
      </x:c>
      <x:c r="N61" s="12" t="n">
        <x:f>'SIM_10_Kulit_Penyakit_Kelamin'!D24+'SIM_10_Kulit_Penyakit_Kelamin'!G24</x:f>
        <x:v>112547867493.3548</x:v>
      </x:c>
      <x:c r="O61" s="12" t="n">
        <x:f>'SIM_10_Kulit_Penyakit_Kelamin'!J24+'SIM_10_Kulit_Penyakit_Kelamin'!M24</x:f>
        <x:v>5209798700</x:v>
      </x:c>
      <x:c r="P61" s="12" t="n">
        <x:f>'SIM_10_Kulit_Penyakit_Kelamin'!Q24</x:f>
        <x:v>107338068793.3548</x:v>
      </x:c>
      <x:c r="Q61" s="12" t="n">
        <x:f>'SIM_10_Kulit_Penyakit_Kelamin'!R24</x:f>
        <x:v>116000863593.3548</x:v>
      </x:c>
      <x:c r="R61" s="32" t="n">
        <x:f>'SIM_10_Kulit_Penyakit_Kelamin'!S24</x:f>
        <x:v>12.39069737555769</x:v>
      </x:c>
    </x:row>
    <x:row r="62">
      <x:c r="A62" s="8">
        <x:v>11</x:v>
      </x:c>
      <x:c r="B62" s="7" t="str">
        <x:v>LUKA BAKAR</x:v>
      </x:c>
      <x:c r="C62" s="7" t="str">
        <x:v>Luka Bakar</x:v>
      </x:c>
      <x:c r="D62" s="7" t="str">
        <x:v>SIM_11_Luka_Bakar</x:v>
      </x:c>
      <x:c r="E62" s="7" t="str">
        <x:v>Paripurna</x:v>
      </x:c>
      <x:c r="F62" s="8">
        <x:v>1</x:v>
      </x:c>
      <x:c r="G62" s="11" t="n">
        <x:f>'SIM_11_Luka_Bakar'!$B$6</x:f>
        <x:v>203</x:v>
      </x:c>
      <x:c r="H62" s="11" t="n">
        <x:f>'SIM_11_Luka_Bakar'!C19+'SIM_11_Luka_Bakar'!F19</x:f>
        <x:v>222.36500000000004</x:v>
      </x:c>
      <x:c r="I62" s="11" t="n">
        <x:f>'SIM_11_Luka_Bakar'!I19+'SIM_11_Luka_Bakar'!L19</x:f>
        <x:v>60.5</x:v>
      </x:c>
      <x:c r="J62" s="11" t="n">
        <x:f>'SIM_11_Luka_Bakar'!N19</x:f>
        <x:v>161.86500000000004</x:v>
      </x:c>
      <x:c r="K62" s="11" t="n">
        <x:f>'SIM_11_Luka_Bakar'!O19</x:f>
        <x:v>364.865</x:v>
      </x:c>
      <x:c r="L62" s="32" t="n">
        <x:f>'SIM_11_Luka_Bakar'!P19</x:f>
        <x:v>0.7973645320197046</x:v>
      </x:c>
      <x:c r="M62" s="12" t="n">
        <x:f>'SIM_11_Luka_Bakar'!$B$7</x:f>
        <x:v>913488100</x:v>
      </x:c>
      <x:c r="N62" s="12" t="n">
        <x:f>'SIM_11_Luka_Bakar'!D19+'SIM_11_Luka_Bakar'!G19</x:f>
        <x:v>1691335552.402727</x:v>
      </x:c>
      <x:c r="O62" s="12" t="n">
        <x:f>'SIM_11_Luka_Bakar'!J19+'SIM_11_Luka_Bakar'!M19</x:f>
        <x:v>106940400</x:v>
      </x:c>
      <x:c r="P62" s="12" t="n">
        <x:f>'SIM_11_Luka_Bakar'!Q19</x:f>
        <x:v>1584395152.402727</x:v>
      </x:c>
      <x:c r="Q62" s="12" t="n">
        <x:f>'SIM_11_Luka_Bakar'!R19</x:f>
        <x:v>2497883252.402727</x:v>
      </x:c>
      <x:c r="R62" s="32" t="n">
        <x:f>'SIM_11_Luka_Bakar'!S19</x:f>
        <x:v>1.734445311770046</x:v>
      </x:c>
    </x:row>
    <x:row r="63">
      <x:c r="A63" s="8">
        <x:v>11</x:v>
      </x:c>
      <x:c r="B63" s="7" t="str">
        <x:v>LUKA BAKAR</x:v>
      </x:c>
      <x:c r="C63" s="7" t="str">
        <x:v>Luka Bakar</x:v>
      </x:c>
      <x:c r="D63" s="7" t="str">
        <x:v>SIM_11_Luka_Bakar</x:v>
      </x:c>
      <x:c r="E63" s="7" t="str">
        <x:v>Paripurna</x:v>
      </x:c>
      <x:c r="F63" s="8">
        <x:v>2</x:v>
      </x:c>
      <x:c r="G63" s="11" t="n">
        <x:f>'SIM_11_Luka_Bakar'!$B$6</x:f>
        <x:v>203</x:v>
      </x:c>
      <x:c r="H63" s="11" t="n">
        <x:f>'SIM_11_Luka_Bakar'!C20+'SIM_11_Luka_Bakar'!F20</x:f>
        <x:v>1024.365</x:v>
      </x:c>
      <x:c r="I63" s="11" t="n">
        <x:f>'SIM_11_Luka_Bakar'!I20+'SIM_11_Luka_Bakar'!L20</x:f>
        <x:v>72.6</x:v>
      </x:c>
      <x:c r="J63" s="11" t="n">
        <x:f>'SIM_11_Luka_Bakar'!N20</x:f>
        <x:v>951.765</x:v>
      </x:c>
      <x:c r="K63" s="11" t="n">
        <x:f>'SIM_11_Luka_Bakar'!O20</x:f>
        <x:v>1154.7649999999999</x:v>
      </x:c>
      <x:c r="L63" s="32" t="n">
        <x:f>'SIM_11_Luka_Bakar'!P20</x:f>
        <x:v>4.688497536945813</x:v>
      </x:c>
      <x:c r="M63" s="12" t="n">
        <x:f>'SIM_11_Luka_Bakar'!$B$7</x:f>
        <x:v>913488100</x:v>
      </x:c>
      <x:c r="N63" s="12" t="n">
        <x:f>'SIM_11_Luka_Bakar'!D20+'SIM_11_Luka_Bakar'!G20</x:f>
        <x:v>7852216543.885715</x:v>
      </x:c>
      <x:c r="O63" s="12" t="n">
        <x:f>'SIM_11_Luka_Bakar'!J20+'SIM_11_Luka_Bakar'!M20</x:f>
        <x:v>128328480</x:v>
      </x:c>
      <x:c r="P63" s="12" t="n">
        <x:f>'SIM_11_Luka_Bakar'!Q20</x:f>
        <x:v>7723888063.885715</x:v>
      </x:c>
      <x:c r="Q63" s="12" t="n">
        <x:f>'SIM_11_Luka_Bakar'!R20</x:f>
        <x:v>8637376163.885715</x:v>
      </x:c>
      <x:c r="R63" s="32" t="n">
        <x:f>'SIM_11_Luka_Bakar'!S20</x:f>
        <x:v>8.45537896321333</x:v>
      </x:c>
    </x:row>
    <x:row r="64">
      <x:c r="A64" s="8">
        <x:v>11</x:v>
      </x:c>
      <x:c r="B64" s="7" t="str">
        <x:v>LUKA BAKAR</x:v>
      </x:c>
      <x:c r="C64" s="7" t="str">
        <x:v>Luka Bakar</x:v>
      </x:c>
      <x:c r="D64" s="7" t="str">
        <x:v>SIM_11_Luka_Bakar</x:v>
      </x:c>
      <x:c r="E64" s="7" t="str">
        <x:v>Paripurna</x:v>
      </x:c>
      <x:c r="F64" s="8">
        <x:v>3</x:v>
      </x:c>
      <x:c r="G64" s="11" t="n">
        <x:f>'SIM_11_Luka_Bakar'!$B$6</x:f>
        <x:v>203</x:v>
      </x:c>
      <x:c r="H64" s="11" t="n">
        <x:f>'SIM_11_Luka_Bakar'!C21+'SIM_11_Luka_Bakar'!F21</x:f>
        <x:v>1826.365</x:v>
      </x:c>
      <x:c r="I64" s="11" t="n">
        <x:f>'SIM_11_Luka_Bakar'!I21+'SIM_11_Luka_Bakar'!L21</x:f>
        <x:v>84.69999999999999</x:v>
      </x:c>
      <x:c r="J64" s="11" t="n">
        <x:f>'SIM_11_Luka_Bakar'!N21</x:f>
        <x:v>1741.665</x:v>
      </x:c>
      <x:c r="K64" s="11" t="n">
        <x:f>'SIM_11_Luka_Bakar'!O21</x:f>
        <x:v>1944.665</x:v>
      </x:c>
      <x:c r="L64" s="32" t="n">
        <x:f>'SIM_11_Luka_Bakar'!P21</x:f>
        <x:v>8.579630541871921</x:v>
      </x:c>
      <x:c r="M64" s="12" t="n">
        <x:f>'SIM_11_Luka_Bakar'!$B$7</x:f>
        <x:v>913488100</x:v>
      </x:c>
      <x:c r="N64" s="12" t="n">
        <x:f>'SIM_11_Luka_Bakar'!D21+'SIM_11_Luka_Bakar'!G21</x:f>
        <x:v>14013097535.368704</x:v>
      </x:c>
      <x:c r="O64" s="12" t="n">
        <x:f>'SIM_11_Luka_Bakar'!J21+'SIM_11_Luka_Bakar'!M21</x:f>
        <x:v>149716560</x:v>
      </x:c>
      <x:c r="P64" s="12" t="n">
        <x:f>'SIM_11_Luka_Bakar'!Q21</x:f>
        <x:v>13863380975.368704</x:v>
      </x:c>
      <x:c r="Q64" s="12" t="n">
        <x:f>'SIM_11_Luka_Bakar'!R21</x:f>
        <x:v>14776869075.368704</x:v>
      </x:c>
      <x:c r="R64" s="32" t="n">
        <x:f>'SIM_11_Luka_Bakar'!S21</x:f>
        <x:v>15.176312614656615</x:v>
      </x:c>
    </x:row>
    <x:row r="65">
      <x:c r="A65" s="8">
        <x:v>11</x:v>
      </x:c>
      <x:c r="B65" s="7" t="str">
        <x:v>LUKA BAKAR</x:v>
      </x:c>
      <x:c r="C65" s="7" t="str">
        <x:v>Luka Bakar</x:v>
      </x:c>
      <x:c r="D65" s="7" t="str">
        <x:v>SIM_11_Luka_Bakar</x:v>
      </x:c>
      <x:c r="E65" s="7" t="str">
        <x:v>Paripurna</x:v>
      </x:c>
      <x:c r="F65" s="8">
        <x:v>4</x:v>
      </x:c>
      <x:c r="G65" s="11" t="n">
        <x:f>'SIM_11_Luka_Bakar'!$B$6</x:f>
        <x:v>203</x:v>
      </x:c>
      <x:c r="H65" s="11" t="n">
        <x:f>'SIM_11_Luka_Bakar'!C22+'SIM_11_Luka_Bakar'!F22</x:f>
        <x:v>2628.365</x:v>
      </x:c>
      <x:c r="I65" s="11" t="n">
        <x:f>'SIM_11_Luka_Bakar'!I22+'SIM_11_Luka_Bakar'!L22</x:f>
        <x:v>96.80000000000001</x:v>
      </x:c>
      <x:c r="J65" s="11" t="n">
        <x:f>'SIM_11_Luka_Bakar'!N22</x:f>
        <x:v>2531.5649999999996</x:v>
      </x:c>
      <x:c r="K65" s="11" t="n">
        <x:f>'SIM_11_Luka_Bakar'!O22</x:f>
        <x:v>2734.5649999999996</x:v>
      </x:c>
      <x:c r="L65" s="32" t="n">
        <x:f>'SIM_11_Luka_Bakar'!P22</x:f>
        <x:v>12.470763546798027</x:v>
      </x:c>
      <x:c r="M65" s="12" t="n">
        <x:f>'SIM_11_Luka_Bakar'!$B$7</x:f>
        <x:v>913488100</x:v>
      </x:c>
      <x:c r="N65" s="12" t="n">
        <x:f>'SIM_11_Luka_Bakar'!D22+'SIM_11_Luka_Bakar'!G22</x:f>
        <x:v>20173978526.851692</x:v>
      </x:c>
      <x:c r="O65" s="12" t="n">
        <x:f>'SIM_11_Luka_Bakar'!J22+'SIM_11_Luka_Bakar'!M22</x:f>
        <x:v>171104640</x:v>
      </x:c>
      <x:c r="P65" s="12" t="n">
        <x:f>'SIM_11_Luka_Bakar'!Q22</x:f>
        <x:v>20002873886.851692</x:v>
      </x:c>
      <x:c r="Q65" s="12" t="n">
        <x:f>'SIM_11_Luka_Bakar'!R22</x:f>
        <x:v>20916361986.851692</x:v>
      </x:c>
      <x:c r="R65" s="32" t="n">
        <x:f>'SIM_11_Luka_Bakar'!S22</x:f>
        <x:v>21.8972462660999</x:v>
      </x:c>
    </x:row>
    <x:row r="66">
      <x:c r="A66" s="8">
        <x:v>11</x:v>
      </x:c>
      <x:c r="B66" s="7" t="str">
        <x:v>LUKA BAKAR</x:v>
      </x:c>
      <x:c r="C66" s="7" t="str">
        <x:v>Luka Bakar</x:v>
      </x:c>
      <x:c r="D66" s="7" t="str">
        <x:v>SIM_11_Luka_Bakar</x:v>
      </x:c>
      <x:c r="E66" s="7" t="str">
        <x:v>Paripurna</x:v>
      </x:c>
      <x:c r="F66" s="8">
        <x:v>5</x:v>
      </x:c>
      <x:c r="G66" s="11" t="n">
        <x:f>'SIM_11_Luka_Bakar'!$B$6</x:f>
        <x:v>203</x:v>
      </x:c>
      <x:c r="H66" s="11" t="n">
        <x:f>'SIM_11_Luka_Bakar'!C23+'SIM_11_Luka_Bakar'!F23</x:f>
        <x:v>3430.365</x:v>
      </x:c>
      <x:c r="I66" s="11" t="n">
        <x:f>'SIM_11_Luka_Bakar'!I23+'SIM_11_Luka_Bakar'!L23</x:f>
        <x:v>108.9</x:v>
      </x:c>
      <x:c r="J66" s="11" t="n">
        <x:f>'SIM_11_Luka_Bakar'!N23</x:f>
        <x:v>3321.4649999999997</x:v>
      </x:c>
      <x:c r="K66" s="11" t="n">
        <x:f>'SIM_11_Luka_Bakar'!O23</x:f>
        <x:v>3524.4649999999997</x:v>
      </x:c>
      <x:c r="L66" s="32" t="n">
        <x:f>'SIM_11_Luka_Bakar'!P23</x:f>
        <x:v>16.361896551724136</x:v>
      </x:c>
      <x:c r="M66" s="12" t="n">
        <x:f>'SIM_11_Luka_Bakar'!$B$7</x:f>
        <x:v>913488100</x:v>
      </x:c>
      <x:c r="N66" s="12" t="n">
        <x:f>'SIM_11_Luka_Bakar'!D23+'SIM_11_Luka_Bakar'!G23</x:f>
        <x:v>26334859518.33468</x:v>
      </x:c>
      <x:c r="O66" s="12" t="n">
        <x:f>'SIM_11_Luka_Bakar'!J23+'SIM_11_Luka_Bakar'!M23</x:f>
        <x:v>192492720</x:v>
      </x:c>
      <x:c r="P66" s="12" t="n">
        <x:f>'SIM_11_Luka_Bakar'!Q23</x:f>
        <x:v>26142366798.33468</x:v>
      </x:c>
      <x:c r="Q66" s="12" t="n">
        <x:f>'SIM_11_Luka_Bakar'!R23</x:f>
        <x:v>27055854898.33468</x:v>
      </x:c>
      <x:c r="R66" s="32" t="n">
        <x:f>'SIM_11_Luka_Bakar'!S23</x:f>
        <x:v>28.618179917543184</x:v>
      </x:c>
    </x:row>
    <x:row r="67">
      <x:c r="A67" s="8">
        <x:v>11</x:v>
      </x:c>
      <x:c r="B67" s="7" t="str">
        <x:v>LUKA BAKAR</x:v>
      </x:c>
      <x:c r="C67" s="7" t="str">
        <x:v>Luka Bakar</x:v>
      </x:c>
      <x:c r="D67" s="7" t="str">
        <x:v>SIM_11_Luka_Bakar</x:v>
      </x:c>
      <x:c r="E67" s="7" t="str">
        <x:v>Paripurna</x:v>
      </x:c>
      <x:c r="F67" s="8">
        <x:v>6</x:v>
      </x:c>
      <x:c r="G67" s="11" t="n">
        <x:f>'SIM_11_Luka_Bakar'!$B$6</x:f>
        <x:v>203</x:v>
      </x:c>
      <x:c r="H67" s="11" t="n">
        <x:f>'SIM_11_Luka_Bakar'!C24+'SIM_11_Luka_Bakar'!F24</x:f>
        <x:v>4232.365</x:v>
      </x:c>
      <x:c r="I67" s="11" t="n">
        <x:f>'SIM_11_Luka_Bakar'!I24+'SIM_11_Luka_Bakar'!L24</x:f>
        <x:v>121</x:v>
      </x:c>
      <x:c r="J67" s="11" t="n">
        <x:f>'SIM_11_Luka_Bakar'!N24</x:f>
        <x:v>4111.365</x:v>
      </x:c>
      <x:c r="K67" s="11" t="n">
        <x:f>'SIM_11_Luka_Bakar'!O24</x:f>
        <x:v>4314.365</x:v>
      </x:c>
      <x:c r="L67" s="32" t="n">
        <x:f>'SIM_11_Luka_Bakar'!P24</x:f>
        <x:v>20.253029556650244</x:v>
      </x:c>
      <x:c r="M67" s="12" t="n">
        <x:f>'SIM_11_Luka_Bakar'!$B$7</x:f>
        <x:v>913488100</x:v>
      </x:c>
      <x:c r="N67" s="12" t="n">
        <x:f>'SIM_11_Luka_Bakar'!D24+'SIM_11_Luka_Bakar'!G24</x:f>
        <x:v>32495740509.817665</x:v>
      </x:c>
      <x:c r="O67" s="12" t="n">
        <x:f>'SIM_11_Luka_Bakar'!J24+'SIM_11_Luka_Bakar'!M24</x:f>
        <x:v>213880800</x:v>
      </x:c>
      <x:c r="P67" s="12" t="n">
        <x:f>'SIM_11_Luka_Bakar'!Q24</x:f>
        <x:v>32281859709.817665</x:v>
      </x:c>
      <x:c r="Q67" s="12" t="n">
        <x:f>'SIM_11_Luka_Bakar'!R24</x:f>
        <x:v>33195347809.817665</x:v>
      </x:c>
      <x:c r="R67" s="32" t="n">
        <x:f>'SIM_11_Luka_Bakar'!S24</x:f>
        <x:v>35.33911356898646</x:v>
      </x:c>
    </x:row>
    <x:row r="68">
      <x:c r="A68" s="8">
        <x:v>12</x:v>
      </x:c>
      <x:c r="B68" s="7" t="str">
        <x:v>MATA</x:v>
      </x:c>
      <x:c r="C68" s="7" t="str">
        <x:v>Mata</x:v>
      </x:c>
      <x:c r="D68" s="7" t="str">
        <x:v>SIM_12_Mata</x:v>
      </x:c>
      <x:c r="E68" s="7" t="str">
        <x:v>Utama</x:v>
      </x:c>
      <x:c r="F68" s="8">
        <x:v>1</x:v>
      </x:c>
      <x:c r="G68" s="11" t="n">
        <x:f>'SIM_12_Mata'!$B$6</x:f>
        <x:v>9495</x:v>
      </x:c>
      <x:c r="H68" s="11" t="n">
        <x:f>'SIM_12_Mata'!C19+'SIM_12_Mata'!F19</x:f>
        <x:v>38202.14</x:v>
      </x:c>
      <x:c r="I68" s="11" t="n">
        <x:f>'SIM_12_Mata'!I19+'SIM_12_Mata'!L19</x:f>
        <x:v>2385.5</x:v>
      </x:c>
      <x:c r="J68" s="11" t="n">
        <x:f>'SIM_12_Mata'!N19</x:f>
        <x:v>35816.64</x:v>
      </x:c>
      <x:c r="K68" s="11" t="n">
        <x:f>'SIM_12_Mata'!O19</x:f>
        <x:v>45311.64</x:v>
      </x:c>
      <x:c r="L68" s="32" t="n">
        <x:f>'SIM_12_Mata'!P19</x:f>
        <x:v>3.7721579778830963</x:v>
      </x:c>
      <x:c r="M68" s="12" t="n">
        <x:f>'SIM_12_Mata'!$B$7</x:f>
        <x:v>12140273400</x:v>
      </x:c>
      <x:c r="N68" s="12" t="n">
        <x:f>'SIM_12_Mata'!D19+'SIM_12_Mata'!G19</x:f>
        <x:v>47219209420.477</x:v>
      </x:c>
      <x:c r="O68" s="12" t="n">
        <x:f>'SIM_12_Mata'!J19+'SIM_12_Mata'!M19</x:f>
        <x:v>1218669300</x:v>
      </x:c>
      <x:c r="P68" s="12" t="n">
        <x:f>'SIM_12_Mata'!Q19</x:f>
        <x:v>46000540120.477</x:v>
      </x:c>
      <x:c r="Q68" s="12" t="n">
        <x:f>'SIM_12_Mata'!R19</x:f>
        <x:v>58140813520.477</x:v>
      </x:c>
      <x:c r="R68" s="32" t="n">
        <x:f>'SIM_12_Mata'!S19</x:f>
        <x:v>3.7890860118913796</x:v>
      </x:c>
    </x:row>
    <x:row r="69">
      <x:c r="A69" s="8">
        <x:v>12</x:v>
      </x:c>
      <x:c r="B69" s="7" t="str">
        <x:v>MATA</x:v>
      </x:c>
      <x:c r="C69" s="7" t="str">
        <x:v>Mata</x:v>
      </x:c>
      <x:c r="D69" s="7" t="str">
        <x:v>SIM_12_Mata</x:v>
      </x:c>
      <x:c r="E69" s="7" t="str">
        <x:v>Utama</x:v>
      </x:c>
      <x:c r="F69" s="8">
        <x:v>2</x:v>
      </x:c>
      <x:c r="G69" s="11" t="n">
        <x:f>'SIM_12_Mata'!$B$6</x:f>
        <x:v>9495</x:v>
      </x:c>
      <x:c r="H69" s="11" t="n">
        <x:f>'SIM_12_Mata'!C20+'SIM_12_Mata'!F20</x:f>
        <x:v>196408.74</x:v>
      </x:c>
      <x:c r="I69" s="11" t="n">
        <x:f>'SIM_12_Mata'!I20+'SIM_12_Mata'!L20</x:f>
        <x:v>2725.2</x:v>
      </x:c>
      <x:c r="J69" s="11" t="n">
        <x:f>'SIM_12_Mata'!N20</x:f>
        <x:v>193683.53999999998</x:v>
      </x:c>
      <x:c r="K69" s="11" t="n">
        <x:f>'SIM_12_Mata'!O20</x:f>
        <x:v>203178.53999999998</x:v>
      </x:c>
      <x:c r="L69" s="32" t="n">
        <x:f>'SIM_12_Mata'!P20</x:f>
        <x:v>20.39847709320695</x:v>
      </x:c>
      <x:c r="M69" s="12" t="n">
        <x:f>'SIM_12_Mata'!$B$7</x:f>
        <x:v>12140273400</x:v>
      </x:c>
      <x:c r="N69" s="12" t="n">
        <x:f>'SIM_12_Mata'!D20+'SIM_12_Mata'!G20</x:f>
        <x:v>307686399782.9701</x:v>
      </x:c>
      <x:c r="O69" s="12" t="n">
        <x:f>'SIM_12_Mata'!J20+'SIM_12_Mata'!M20</x:f>
        <x:v>1362372640</x:v>
      </x:c>
      <x:c r="P69" s="12" t="n">
        <x:f>'SIM_12_Mata'!Q20</x:f>
        <x:v>306324027142.9701</x:v>
      </x:c>
      <x:c r="Q69" s="12" t="n">
        <x:f>'SIM_12_Mata'!R20</x:f>
        <x:v>318464300542.9701</x:v>
      </x:c>
      <x:c r="R69" s="32" t="n">
        <x:f>'SIM_12_Mata'!S20</x:f>
        <x:v>25.232053434889703</x:v>
      </x:c>
    </x:row>
    <x:row r="70">
      <x:c r="A70" s="8">
        <x:v>12</x:v>
      </x:c>
      <x:c r="B70" s="7" t="str">
        <x:v>MATA</x:v>
      </x:c>
      <x:c r="C70" s="7" t="str">
        <x:v>Mata</x:v>
      </x:c>
      <x:c r="D70" s="7" t="str">
        <x:v>SIM_12_Mata</x:v>
      </x:c>
      <x:c r="E70" s="7" t="str">
        <x:v>Utama</x:v>
      </x:c>
      <x:c r="F70" s="8">
        <x:v>3</x:v>
      </x:c>
      <x:c r="G70" s="11" t="n">
        <x:f>'SIM_12_Mata'!$B$6</x:f>
        <x:v>9495</x:v>
      </x:c>
      <x:c r="H70" s="11" t="n">
        <x:f>'SIM_12_Mata'!C21+'SIM_12_Mata'!F21</x:f>
        <x:v>354615.33999999997</x:v>
      </x:c>
      <x:c r="I70" s="11" t="n">
        <x:f>'SIM_12_Mata'!I21+'SIM_12_Mata'!L21</x:f>
        <x:v>3064.8999999999996</x:v>
      </x:c>
      <x:c r="J70" s="11" t="n">
        <x:f>'SIM_12_Mata'!N21</x:f>
        <x:v>351550.43999999994</x:v>
      </x:c>
      <x:c r="K70" s="11" t="n">
        <x:f>'SIM_12_Mata'!O21</x:f>
        <x:v>361045.43999999994</x:v>
      </x:c>
      <x:c r="L70" s="32" t="n">
        <x:f>'SIM_12_Mata'!P21</x:f>
        <x:v>37.0247962085308</x:v>
      </x:c>
      <x:c r="M70" s="12" t="n">
        <x:f>'SIM_12_Mata'!$B$7</x:f>
        <x:v>12140273400</x:v>
      </x:c>
      <x:c r="N70" s="12" t="n">
        <x:f>'SIM_12_Mata'!D21+'SIM_12_Mata'!G21</x:f>
        <x:v>568153590145.4631</x:v>
      </x:c>
      <x:c r="O70" s="12" t="n">
        <x:f>'SIM_12_Mata'!J21+'SIM_12_Mata'!M21</x:f>
        <x:v>1506075980</x:v>
      </x:c>
      <x:c r="P70" s="12" t="n">
        <x:f>'SIM_12_Mata'!Q21</x:f>
        <x:v>566647514165.4631</x:v>
      </x:c>
      <x:c r="Q70" s="12" t="n">
        <x:f>'SIM_12_Mata'!R21</x:f>
        <x:v>578787787565.4631</x:v>
      </x:c>
      <x:c r="R70" s="32" t="n">
        <x:f>'SIM_12_Mata'!S21</x:f>
        <x:v>46.67502085788802</x:v>
      </x:c>
    </x:row>
    <x:row r="71">
      <x:c r="A71" s="8">
        <x:v>12</x:v>
      </x:c>
      <x:c r="B71" s="7" t="str">
        <x:v>MATA</x:v>
      </x:c>
      <x:c r="C71" s="7" t="str">
        <x:v>Mata</x:v>
      </x:c>
      <x:c r="D71" s="7" t="str">
        <x:v>SIM_12_Mata</x:v>
      </x:c>
      <x:c r="E71" s="7" t="str">
        <x:v>Utama</x:v>
      </x:c>
      <x:c r="F71" s="8">
        <x:v>4</x:v>
      </x:c>
      <x:c r="G71" s="11" t="n">
        <x:f>'SIM_12_Mata'!$B$6</x:f>
        <x:v>9495</x:v>
      </x:c>
      <x:c r="H71" s="11" t="n">
        <x:f>'SIM_12_Mata'!C22+'SIM_12_Mata'!F22</x:f>
        <x:v>512821.94</x:v>
      </x:c>
      <x:c r="I71" s="11" t="n">
        <x:f>'SIM_12_Mata'!I22+'SIM_12_Mata'!L22</x:f>
        <x:v>3404.6000000000004</x:v>
      </x:c>
      <x:c r="J71" s="11" t="n">
        <x:f>'SIM_12_Mata'!N22</x:f>
        <x:v>509417.34</x:v>
      </x:c>
      <x:c r="K71" s="11" t="n">
        <x:f>'SIM_12_Mata'!O22</x:f>
        <x:v>518912.34</x:v>
      </x:c>
      <x:c r="L71" s="32" t="n">
        <x:f>'SIM_12_Mata'!P22</x:f>
        <x:v>53.65111532385466</x:v>
      </x:c>
      <x:c r="M71" s="12" t="n">
        <x:f>'SIM_12_Mata'!$B$7</x:f>
        <x:v>12140273400</x:v>
      </x:c>
      <x:c r="N71" s="12" t="n">
        <x:f>'SIM_12_Mata'!D22+'SIM_12_Mata'!G22</x:f>
        <x:v>828620780507.9562</x:v>
      </x:c>
      <x:c r="O71" s="12" t="n">
        <x:f>'SIM_12_Mata'!J22+'SIM_12_Mata'!M22</x:f>
        <x:v>1649779320</x:v>
      </x:c>
      <x:c r="P71" s="12" t="n">
        <x:f>'SIM_12_Mata'!Q22</x:f>
        <x:v>826971001187.9562</x:v>
      </x:c>
      <x:c r="Q71" s="12" t="n">
        <x:f>'SIM_12_Mata'!R22</x:f>
        <x:v>839111274587.9562</x:v>
      </x:c>
      <x:c r="R71" s="32" t="n">
        <x:f>'SIM_12_Mata'!S22</x:f>
        <x:v>68.11798828088634</x:v>
      </x:c>
    </x:row>
    <x:row r="72">
      <x:c r="A72" s="8">
        <x:v>12</x:v>
      </x:c>
      <x:c r="B72" s="7" t="str">
        <x:v>MATA</x:v>
      </x:c>
      <x:c r="C72" s="7" t="str">
        <x:v>Mata</x:v>
      </x:c>
      <x:c r="D72" s="7" t="str">
        <x:v>SIM_12_Mata</x:v>
      </x:c>
      <x:c r="E72" s="7" t="str">
        <x:v>Utama</x:v>
      </x:c>
      <x:c r="F72" s="8">
        <x:v>5</x:v>
      </x:c>
      <x:c r="G72" s="11" t="n">
        <x:f>'SIM_12_Mata'!$B$6</x:f>
        <x:v>9495</x:v>
      </x:c>
      <x:c r="H72" s="11" t="n">
        <x:f>'SIM_12_Mata'!C23+'SIM_12_Mata'!F23</x:f>
        <x:v>671028.54</x:v>
      </x:c>
      <x:c r="I72" s="11" t="n">
        <x:f>'SIM_12_Mata'!I23+'SIM_12_Mata'!L23</x:f>
        <x:v>3744.3</x:v>
      </x:c>
      <x:c r="J72" s="11" t="n">
        <x:f>'SIM_12_Mata'!N23</x:f>
        <x:v>667284.24</x:v>
      </x:c>
      <x:c r="K72" s="11" t="n">
        <x:f>'SIM_12_Mata'!O23</x:f>
        <x:v>676779.24</x:v>
      </x:c>
      <x:c r="L72" s="32" t="n">
        <x:f>'SIM_12_Mata'!P23</x:f>
        <x:v>70.27743443917852</x:v>
      </x:c>
      <x:c r="M72" s="12" t="n">
        <x:f>'SIM_12_Mata'!$B$7</x:f>
        <x:v>12140273400</x:v>
      </x:c>
      <x:c r="N72" s="12" t="n">
        <x:f>'SIM_12_Mata'!D23+'SIM_12_Mata'!G23</x:f>
        <x:v>1089087970870.4493</x:v>
      </x:c>
      <x:c r="O72" s="12" t="n">
        <x:f>'SIM_12_Mata'!J23+'SIM_12_Mata'!M23</x:f>
        <x:v>1793482660</x:v>
      </x:c>
      <x:c r="P72" s="12" t="n">
        <x:f>'SIM_12_Mata'!Q23</x:f>
        <x:v>1087294488210.4493</x:v>
      </x:c>
      <x:c r="Q72" s="12" t="n">
        <x:f>'SIM_12_Mata'!R23</x:f>
        <x:v>1099434761610.4493</x:v>
      </x:c>
      <x:c r="R72" s="32" t="n">
        <x:f>'SIM_12_Mata'!S23</x:f>
        <x:v>89.56095570388467</x:v>
      </x:c>
    </x:row>
    <x:row r="73">
      <x:c r="A73" s="8">
        <x:v>12</x:v>
      </x:c>
      <x:c r="B73" s="7" t="str">
        <x:v>MATA</x:v>
      </x:c>
      <x:c r="C73" s="7" t="str">
        <x:v>Mata</x:v>
      </x:c>
      <x:c r="D73" s="7" t="str">
        <x:v>SIM_12_Mata</x:v>
      </x:c>
      <x:c r="E73" s="7" t="str">
        <x:v>Utama</x:v>
      </x:c>
      <x:c r="F73" s="8">
        <x:v>6</x:v>
      </x:c>
      <x:c r="G73" s="11" t="n">
        <x:f>'SIM_12_Mata'!$B$6</x:f>
        <x:v>9495</x:v>
      </x:c>
      <x:c r="H73" s="11" t="n">
        <x:f>'SIM_12_Mata'!C24+'SIM_12_Mata'!F24</x:f>
        <x:v>829235.1400000001</x:v>
      </x:c>
      <x:c r="I73" s="11" t="n">
        <x:f>'SIM_12_Mata'!I24+'SIM_12_Mata'!L24</x:f>
        <x:v>4084</x:v>
      </x:c>
      <x:c r="J73" s="11" t="n">
        <x:f>'SIM_12_Mata'!N24</x:f>
        <x:v>825151.1400000001</x:v>
      </x:c>
      <x:c r="K73" s="11" t="n">
        <x:f>'SIM_12_Mata'!O24</x:f>
        <x:v>834646.1400000001</x:v>
      </x:c>
      <x:c r="L73" s="32" t="n">
        <x:f>'SIM_12_Mata'!P24</x:f>
        <x:v>86.90375355450239</x:v>
      </x:c>
      <x:c r="M73" s="12" t="n">
        <x:f>'SIM_12_Mata'!$B$7</x:f>
        <x:v>12140273400</x:v>
      </x:c>
      <x:c r="N73" s="12" t="n">
        <x:f>'SIM_12_Mata'!D24+'SIM_12_Mata'!G24</x:f>
        <x:v>1349555161232.9424</x:v>
      </x:c>
      <x:c r="O73" s="12" t="n">
        <x:f>'SIM_12_Mata'!J24+'SIM_12_Mata'!M24</x:f>
        <x:v>1937186000</x:v>
      </x:c>
      <x:c r="P73" s="12" t="n">
        <x:f>'SIM_12_Mata'!Q24</x:f>
        <x:v>1347617975232.9424</x:v>
      </x:c>
      <x:c r="Q73" s="12" t="n">
        <x:f>'SIM_12_Mata'!R24</x:f>
        <x:v>1359758248632.9424</x:v>
      </x:c>
      <x:c r="R73" s="32" t="n">
        <x:f>'SIM_12_Mata'!S24</x:f>
        <x:v>111.003923126883</x:v>
      </x:c>
    </x:row>
    <x:row r="74">
      <x:c r="A74" s="8">
        <x:v>13</x:v>
      </x:c>
      <x:c r="B74" s="7" t="str">
        <x:v>MUSCULOSKELETAL DAN JARINGAN LUNAK</x:v>
      </x:c>
      <x:c r="C74" s="7" t="str">
        <x:v>Muskuloskeletal &amp; Jaringan Lunak</x:v>
      </x:c>
      <x:c r="D74" s="7" t="str">
        <x:v>SIM_13_Muskuloskeletal_Jaringan</x:v>
      </x:c>
      <x:c r="E74" s="7" t="str">
        <x:v>Paripurna</x:v>
      </x:c>
      <x:c r="F74" s="8">
        <x:v>1</x:v>
      </x:c>
      <x:c r="G74" s="11" t="n">
        <x:f>'SIM_13_Muskuloskeletal_Jaringan'!$B$6</x:f>
        <x:v>40891</x:v>
      </x:c>
      <x:c r="H74" s="11" t="n">
        <x:f>'SIM_13_Muskuloskeletal_Jaringan'!C19+'SIM_13_Muskuloskeletal_Jaringan'!F19</x:f>
        <x:v>35629.270000000004</x:v>
      </x:c>
      <x:c r="I74" s="11" t="n">
        <x:f>'SIM_13_Muskuloskeletal_Jaringan'!I19+'SIM_13_Muskuloskeletal_Jaringan'!L19</x:f>
        <x:v>16823.5</x:v>
      </x:c>
      <x:c r="J74" s="11" t="n">
        <x:f>'SIM_13_Muskuloskeletal_Jaringan'!N19</x:f>
        <x:v>18805.770000000004</x:v>
      </x:c>
      <x:c r="K74" s="11" t="n">
        <x:f>'SIM_13_Muskuloskeletal_Jaringan'!O19</x:f>
        <x:v>59696.770000000004</x:v>
      </x:c>
      <x:c r="L74" s="32" t="n">
        <x:f>'SIM_13_Muskuloskeletal_Jaringan'!P19</x:f>
        <x:v>0.4598999779902669</x:v>
      </x:c>
      <x:c r="M74" s="12" t="n">
        <x:f>'SIM_13_Muskuloskeletal_Jaringan'!$B$7</x:f>
        <x:v>80126950100</x:v>
      </x:c>
      <x:c r="N74" s="12" t="n">
        <x:f>'SIM_13_Muskuloskeletal_Jaringan'!D19+'SIM_13_Muskuloskeletal_Jaringan'!G19</x:f>
        <x:v>119118652436.35083</x:v>
      </x:c>
      <x:c r="O74" s="12" t="n">
        <x:f>'SIM_13_Muskuloskeletal_Jaringan'!J19+'SIM_13_Muskuloskeletal_Jaringan'!M19</x:f>
        <x:v>20871572950</x:v>
      </x:c>
      <x:c r="P74" s="12" t="n">
        <x:f>'SIM_13_Muskuloskeletal_Jaringan'!Q19</x:f>
        <x:v>98247079486.35083</x:v>
      </x:c>
      <x:c r="Q74" s="12" t="n">
        <x:f>'SIM_13_Muskuloskeletal_Jaringan'!R19</x:f>
        <x:v>178374029586.35083</x:v>
      </x:c>
      <x:c r="R74" s="32" t="n">
        <x:f>'SIM_13_Muskuloskeletal_Jaringan'!S19</x:f>
        <x:v>1.2261427567595742</x:v>
      </x:c>
    </x:row>
    <x:row r="75">
      <x:c r="A75" s="8">
        <x:v>13</x:v>
      </x:c>
      <x:c r="B75" s="7" t="str">
        <x:v>MUSCULOSKELETAL DAN JARINGAN LUNAK</x:v>
      </x:c>
      <x:c r="C75" s="7" t="str">
        <x:v>Muskuloskeletal &amp; Jaringan Lunak</x:v>
      </x:c>
      <x:c r="D75" s="7" t="str">
        <x:v>SIM_13_Muskuloskeletal_Jaringan</x:v>
      </x:c>
      <x:c r="E75" s="7" t="str">
        <x:v>Paripurna</x:v>
      </x:c>
      <x:c r="F75" s="8">
        <x:v>2</x:v>
      </x:c>
      <x:c r="G75" s="11" t="n">
        <x:f>'SIM_13_Muskuloskeletal_Jaringan'!$B$6</x:f>
        <x:v>40891</x:v>
      </x:c>
      <x:c r="H75" s="11" t="n">
        <x:f>'SIM_13_Muskuloskeletal_Jaringan'!C20+'SIM_13_Muskuloskeletal_Jaringan'!F20</x:f>
        <x:v>83988.27</x:v>
      </x:c>
      <x:c r="I75" s="11" t="n">
        <x:f>'SIM_13_Muskuloskeletal_Jaringan'!I20+'SIM_13_Muskuloskeletal_Jaringan'!L20</x:f>
        <x:v>20188.199999999997</x:v>
      </x:c>
      <x:c r="J75" s="11" t="n">
        <x:f>'SIM_13_Muskuloskeletal_Jaringan'!N20</x:f>
        <x:v>63800.07000000001</x:v>
      </x:c>
      <x:c r="K75" s="11" t="n">
        <x:f>'SIM_13_Muskuloskeletal_Jaringan'!O20</x:f>
        <x:v>104691.07</x:v>
      </x:c>
      <x:c r="L75" s="32" t="n">
        <x:f>'SIM_13_Muskuloskeletal_Jaringan'!P20</x:f>
        <x:v>1.5602472426695362</x:v>
      </x:c>
      <x:c r="M75" s="12" t="n">
        <x:f>'SIM_13_Muskuloskeletal_Jaringan'!$B$7</x:f>
        <x:v>80126950100</x:v>
      </x:c>
      <x:c r="N75" s="12" t="n">
        <x:f>'SIM_13_Muskuloskeletal_Jaringan'!D20+'SIM_13_Muskuloskeletal_Jaringan'!G20</x:f>
        <x:v>278465497472.4527</x:v>
      </x:c>
      <x:c r="O75" s="12" t="n">
        <x:f>'SIM_13_Muskuloskeletal_Jaringan'!J20+'SIM_13_Muskuloskeletal_Jaringan'!M20</x:f>
        <x:v>25045887540</x:v>
      </x:c>
      <x:c r="P75" s="12" t="n">
        <x:f>'SIM_13_Muskuloskeletal_Jaringan'!Q20</x:f>
        <x:v>253419609932.4527</x:v>
      </x:c>
      <x:c r="Q75" s="12" t="n">
        <x:f>'SIM_13_Muskuloskeletal_Jaringan'!R20</x:f>
        <x:v>333546560032.4527</x:v>
      </x:c>
      <x:c r="R75" s="32" t="n">
        <x:f>'SIM_13_Muskuloskeletal_Jaringan'!S20</x:f>
        <x:v>3.1627262689542044</x:v>
      </x:c>
    </x:row>
    <x:row r="76">
      <x:c r="A76" s="8">
        <x:v>13</x:v>
      </x:c>
      <x:c r="B76" s="7" t="str">
        <x:v>MUSCULOSKELETAL DAN JARINGAN LUNAK</x:v>
      </x:c>
      <x:c r="C76" s="7" t="str">
        <x:v>Muskuloskeletal &amp; Jaringan Lunak</x:v>
      </x:c>
      <x:c r="D76" s="7" t="str">
        <x:v>SIM_13_Muskuloskeletal_Jaringan</x:v>
      </x:c>
      <x:c r="E76" s="7" t="str">
        <x:v>Paripurna</x:v>
      </x:c>
      <x:c r="F76" s="8">
        <x:v>3</x:v>
      </x:c>
      <x:c r="G76" s="11" t="n">
        <x:f>'SIM_13_Muskuloskeletal_Jaringan'!$B$6</x:f>
        <x:v>40891</x:v>
      </x:c>
      <x:c r="H76" s="11" t="n">
        <x:f>'SIM_13_Muskuloskeletal_Jaringan'!C21+'SIM_13_Muskuloskeletal_Jaringan'!F21</x:f>
        <x:v>132347.27</x:v>
      </x:c>
      <x:c r="I76" s="11" t="n">
        <x:f>'SIM_13_Muskuloskeletal_Jaringan'!I21+'SIM_13_Muskuloskeletal_Jaringan'!L21</x:f>
        <x:v>23552.899999999998</x:v>
      </x:c>
      <x:c r="J76" s="11" t="n">
        <x:f>'SIM_13_Muskuloskeletal_Jaringan'!N21</x:f>
        <x:v>108794.37</x:v>
      </x:c>
      <x:c r="K76" s="11" t="n">
        <x:f>'SIM_13_Muskuloskeletal_Jaringan'!O21</x:f>
        <x:v>149685.37</x:v>
      </x:c>
      <x:c r="L76" s="32" t="n">
        <x:f>'SIM_13_Muskuloskeletal_Jaringan'!P21</x:f>
        <x:v>2.6605945073488053</x:v>
      </x:c>
      <x:c r="M76" s="12" t="n">
        <x:f>'SIM_13_Muskuloskeletal_Jaringan'!$B$7</x:f>
        <x:v>80126950100</x:v>
      </x:c>
      <x:c r="N76" s="12" t="n">
        <x:f>'SIM_13_Muskuloskeletal_Jaringan'!D21+'SIM_13_Muskuloskeletal_Jaringan'!G21</x:f>
        <x:v>437812342508.55457</x:v>
      </x:c>
      <x:c r="O76" s="12" t="n">
        <x:f>'SIM_13_Muskuloskeletal_Jaringan'!J21+'SIM_13_Muskuloskeletal_Jaringan'!M21</x:f>
        <x:v>29220202130</x:v>
      </x:c>
      <x:c r="P76" s="12" t="n">
        <x:f>'SIM_13_Muskuloskeletal_Jaringan'!Q21</x:f>
        <x:v>408592140378.55457</x:v>
      </x:c>
      <x:c r="Q76" s="12" t="n">
        <x:f>'SIM_13_Muskuloskeletal_Jaringan'!R21</x:f>
        <x:v>488719090478.55457</x:v>
      </x:c>
      <x:c r="R76" s="32" t="n">
        <x:f>'SIM_13_Muskuloskeletal_Jaringan'!S21</x:f>
        <x:v>5.099309781148834</x:v>
      </x:c>
    </x:row>
    <x:row r="77">
      <x:c r="A77" s="8">
        <x:v>13</x:v>
      </x:c>
      <x:c r="B77" s="7" t="str">
        <x:v>MUSCULOSKELETAL DAN JARINGAN LUNAK</x:v>
      </x:c>
      <x:c r="C77" s="7" t="str">
        <x:v>Muskuloskeletal &amp; Jaringan Lunak</x:v>
      </x:c>
      <x:c r="D77" s="7" t="str">
        <x:v>SIM_13_Muskuloskeletal_Jaringan</x:v>
      </x:c>
      <x:c r="E77" s="7" t="str">
        <x:v>Paripurna</x:v>
      </x:c>
      <x:c r="F77" s="8">
        <x:v>4</x:v>
      </x:c>
      <x:c r="G77" s="11" t="n">
        <x:f>'SIM_13_Muskuloskeletal_Jaringan'!$B$6</x:f>
        <x:v>40891</x:v>
      </x:c>
      <x:c r="H77" s="11" t="n">
        <x:f>'SIM_13_Muskuloskeletal_Jaringan'!C22+'SIM_13_Muskuloskeletal_Jaringan'!F22</x:f>
        <x:v>180706.26999999996</x:v>
      </x:c>
      <x:c r="I77" s="11" t="n">
        <x:f>'SIM_13_Muskuloskeletal_Jaringan'!I22+'SIM_13_Muskuloskeletal_Jaringan'!L22</x:f>
        <x:v>26917.600000000002</x:v>
      </x:c>
      <x:c r="J77" s="11" t="n">
        <x:f>'SIM_13_Muskuloskeletal_Jaringan'!N22</x:f>
        <x:v>153788.66999999995</x:v>
      </x:c>
      <x:c r="K77" s="11" t="n">
        <x:f>'SIM_13_Muskuloskeletal_Jaringan'!O22</x:f>
        <x:v>194679.66999999995</x:v>
      </x:c>
      <x:c r="L77" s="32" t="n">
        <x:f>'SIM_13_Muskuloskeletal_Jaringan'!P22</x:f>
        <x:v>3.7609417720280733</x:v>
      </x:c>
      <x:c r="M77" s="12" t="n">
        <x:f>'SIM_13_Muskuloskeletal_Jaringan'!$B$7</x:f>
        <x:v>80126950100</x:v>
      </x:c>
      <x:c r="N77" s="12" t="n">
        <x:f>'SIM_13_Muskuloskeletal_Jaringan'!D22+'SIM_13_Muskuloskeletal_Jaringan'!G22</x:f>
        <x:v>597159187544.6564</x:v>
      </x:c>
      <x:c r="O77" s="12" t="n">
        <x:f>'SIM_13_Muskuloskeletal_Jaringan'!J22+'SIM_13_Muskuloskeletal_Jaringan'!M22</x:f>
        <x:v>33394516720</x:v>
      </x:c>
      <x:c r="P77" s="12" t="n">
        <x:f>'SIM_13_Muskuloskeletal_Jaringan'!Q22</x:f>
        <x:v>563764670824.6564</x:v>
      </x:c>
      <x:c r="Q77" s="12" t="n">
        <x:f>'SIM_13_Muskuloskeletal_Jaringan'!R22</x:f>
        <x:v>643891620924.6564</x:v>
      </x:c>
      <x:c r="R77" s="32" t="n">
        <x:f>'SIM_13_Muskuloskeletal_Jaringan'!S22</x:f>
        <x:v>7.035893293343464</x:v>
      </x:c>
    </x:row>
    <x:row r="78">
      <x:c r="A78" s="8">
        <x:v>13</x:v>
      </x:c>
      <x:c r="B78" s="7" t="str">
        <x:v>MUSCULOSKELETAL DAN JARINGAN LUNAK</x:v>
      </x:c>
      <x:c r="C78" s="7" t="str">
        <x:v>Muskuloskeletal &amp; Jaringan Lunak</x:v>
      </x:c>
      <x:c r="D78" s="7" t="str">
        <x:v>SIM_13_Muskuloskeletal_Jaringan</x:v>
      </x:c>
      <x:c r="E78" s="7" t="str">
        <x:v>Paripurna</x:v>
      </x:c>
      <x:c r="F78" s="8">
        <x:v>5</x:v>
      </x:c>
      <x:c r="G78" s="11" t="n">
        <x:f>'SIM_13_Muskuloskeletal_Jaringan'!$B$6</x:f>
        <x:v>40891</x:v>
      </x:c>
      <x:c r="H78" s="11" t="n">
        <x:f>'SIM_13_Muskuloskeletal_Jaringan'!C23+'SIM_13_Muskuloskeletal_Jaringan'!F23</x:f>
        <x:v>229065.26999999996</x:v>
      </x:c>
      <x:c r="I78" s="11" t="n">
        <x:f>'SIM_13_Muskuloskeletal_Jaringan'!I23+'SIM_13_Muskuloskeletal_Jaringan'!L23</x:f>
        <x:v>30282.3</x:v>
      </x:c>
      <x:c r="J78" s="11" t="n">
        <x:f>'SIM_13_Muskuloskeletal_Jaringan'!N23</x:f>
        <x:v>198782.96999999997</x:v>
      </x:c>
      <x:c r="K78" s="11" t="n">
        <x:f>'SIM_13_Muskuloskeletal_Jaringan'!O23</x:f>
        <x:v>239673.96999999997</x:v>
      </x:c>
      <x:c r="L78" s="32" t="n">
        <x:f>'SIM_13_Muskuloskeletal_Jaringan'!P23</x:f>
        <x:v>4.861289036707343</x:v>
      </x:c>
      <x:c r="M78" s="12" t="n">
        <x:f>'SIM_13_Muskuloskeletal_Jaringan'!$B$7</x:f>
        <x:v>80126950100</x:v>
      </x:c>
      <x:c r="N78" s="12" t="n">
        <x:f>'SIM_13_Muskuloskeletal_Jaringan'!D23+'SIM_13_Muskuloskeletal_Jaringan'!G23</x:f>
        <x:v>756506032580.7582</x:v>
      </x:c>
      <x:c r="O78" s="12" t="n">
        <x:f>'SIM_13_Muskuloskeletal_Jaringan'!J23+'SIM_13_Muskuloskeletal_Jaringan'!M23</x:f>
        <x:v>37568831310</x:v>
      </x:c>
      <x:c r="P78" s="12" t="n">
        <x:f>'SIM_13_Muskuloskeletal_Jaringan'!Q23</x:f>
        <x:v>718937201270.7582</x:v>
      </x:c>
      <x:c r="Q78" s="12" t="n">
        <x:f>'SIM_13_Muskuloskeletal_Jaringan'!R23</x:f>
        <x:v>799064151370.7582</x:v>
      </x:c>
      <x:c r="R78" s="32" t="n">
        <x:f>'SIM_13_Muskuloskeletal_Jaringan'!S23</x:f>
        <x:v>8.972476805538093</x:v>
      </x:c>
    </x:row>
    <x:row r="79">
      <x:c r="A79" s="8">
        <x:v>13</x:v>
      </x:c>
      <x:c r="B79" s="7" t="str">
        <x:v>MUSCULOSKELETAL DAN JARINGAN LUNAK</x:v>
      </x:c>
      <x:c r="C79" s="7" t="str">
        <x:v>Muskuloskeletal &amp; Jaringan Lunak</x:v>
      </x:c>
      <x:c r="D79" s="7" t="str">
        <x:v>SIM_13_Muskuloskeletal_Jaringan</x:v>
      </x:c>
      <x:c r="E79" s="7" t="str">
        <x:v>Paripurna</x:v>
      </x:c>
      <x:c r="F79" s="8">
        <x:v>6</x:v>
      </x:c>
      <x:c r="G79" s="11" t="n">
        <x:f>'SIM_13_Muskuloskeletal_Jaringan'!$B$6</x:f>
        <x:v>40891</x:v>
      </x:c>
      <x:c r="H79" s="11" t="n">
        <x:f>'SIM_13_Muskuloskeletal_Jaringan'!C24+'SIM_13_Muskuloskeletal_Jaringan'!F24</x:f>
        <x:v>277424.27</x:v>
      </x:c>
      <x:c r="I79" s="11" t="n">
        <x:f>'SIM_13_Muskuloskeletal_Jaringan'!I24+'SIM_13_Muskuloskeletal_Jaringan'!L24</x:f>
        <x:v>33647</x:v>
      </x:c>
      <x:c r="J79" s="11" t="n">
        <x:f>'SIM_13_Muskuloskeletal_Jaringan'!N24</x:f>
        <x:v>243777.27000000002</x:v>
      </x:c>
      <x:c r="K79" s="11" t="n">
        <x:f>'SIM_13_Muskuloskeletal_Jaringan'!O24</x:f>
        <x:v>284668.27</x:v>
      </x:c>
      <x:c r="L79" s="32" t="n">
        <x:f>'SIM_13_Muskuloskeletal_Jaringan'!P24</x:f>
        <x:v>5.961636301386614</x:v>
      </x:c>
      <x:c r="M79" s="12" t="n">
        <x:f>'SIM_13_Muskuloskeletal_Jaringan'!$B$7</x:f>
        <x:v>80126950100</x:v>
      </x:c>
      <x:c r="N79" s="12" t="n">
        <x:f>'SIM_13_Muskuloskeletal_Jaringan'!D24+'SIM_13_Muskuloskeletal_Jaringan'!G24</x:f>
        <x:v>915852877616.8601</x:v>
      </x:c>
      <x:c r="O79" s="12" t="n">
        <x:f>'SIM_13_Muskuloskeletal_Jaringan'!J24+'SIM_13_Muskuloskeletal_Jaringan'!M24</x:f>
        <x:v>41743145900</x:v>
      </x:c>
      <x:c r="P79" s="12" t="n">
        <x:f>'SIM_13_Muskuloskeletal_Jaringan'!Q24</x:f>
        <x:v>874109731716.8601</x:v>
      </x:c>
      <x:c r="Q79" s="12" t="n">
        <x:f>'SIM_13_Muskuloskeletal_Jaringan'!R24</x:f>
        <x:v>954236681816.8601</x:v>
      </x:c>
      <x:c r="R79" s="32" t="n">
        <x:f>'SIM_13_Muskuloskeletal_Jaringan'!S24</x:f>
        <x:v>10.909060317732724</x:v>
      </x:c>
    </x:row>
    <x:row r="80">
      <x:c r="A80" s="8">
        <x:v>14</x:v>
      </x:c>
      <x:c r="B80" s="7" t="str">
        <x:v>NEONATUS</x:v>
      </x:c>
      <x:c r="C80" s="7" t="str">
        <x:v>Neonatus</x:v>
      </x:c>
      <x:c r="D80" s="7" t="str">
        <x:v>SIM_14_Neonatus</x:v>
      </x:c>
      <x:c r="E80" s="7" t="str">
        <x:v>Utama</x:v>
      </x:c>
      <x:c r="F80" s="8">
        <x:v>1</x:v>
      </x:c>
      <x:c r="G80" s="11" t="n">
        <x:f>'SIM_14_Neonatus'!$B$6</x:f>
        <x:v>1107</x:v>
      </x:c>
      <x:c r="H80" s="11" t="n">
        <x:f>'SIM_14_Neonatus'!C19+'SIM_14_Neonatus'!F19</x:f>
        <x:v>3958.7340000000004</x:v>
      </x:c>
      <x:c r="I80" s="11" t="n">
        <x:f>'SIM_14_Neonatus'!I19+'SIM_14_Neonatus'!L19</x:f>
        <x:v>191.5</x:v>
      </x:c>
      <x:c r="J80" s="11" t="n">
        <x:f>'SIM_14_Neonatus'!N19</x:f>
        <x:v>3767.2340000000004</x:v>
      </x:c>
      <x:c r="K80" s="11" t="n">
        <x:f>'SIM_14_Neonatus'!O19</x:f>
        <x:v>4874.234</x:v>
      </x:c>
      <x:c r="L80" s="32" t="n">
        <x:f>'SIM_14_Neonatus'!P19</x:f>
        <x:v>3.403102077687444</x:v>
      </x:c>
      <x:c r="M80" s="12" t="n">
        <x:f>'SIM_14_Neonatus'!$B$7</x:f>
        <x:v>7957268000</x:v>
      </x:c>
      <x:c r="N80" s="12" t="n">
        <x:f>'SIM_14_Neonatus'!D19+'SIM_14_Neonatus'!G19</x:f>
        <x:v>10126843721.69039</x:v>
      </x:c>
      <x:c r="O80" s="12" t="n">
        <x:f>'SIM_14_Neonatus'!J19+'SIM_14_Neonatus'!M19</x:f>
        <x:v>348295400</x:v>
      </x:c>
      <x:c r="P80" s="12" t="n">
        <x:f>'SIM_14_Neonatus'!Q19</x:f>
        <x:v>9778548321.69039</x:v>
      </x:c>
      <x:c r="Q80" s="12" t="n">
        <x:f>'SIM_14_Neonatus'!R19</x:f>
        <x:v>17735816321.69039</x:v>
      </x:c>
      <x:c r="R80" s="32" t="n">
        <x:f>'SIM_14_Neonatus'!S19</x:f>
        <x:v>1.2288826167084468</x:v>
      </x:c>
    </x:row>
    <x:row r="81">
      <x:c r="A81" s="8">
        <x:v>14</x:v>
      </x:c>
      <x:c r="B81" s="7" t="str">
        <x:v>NEONATUS</x:v>
      </x:c>
      <x:c r="C81" s="7" t="str">
        <x:v>Neonatus</x:v>
      </x:c>
      <x:c r="D81" s="7" t="str">
        <x:v>SIM_14_Neonatus</x:v>
      </x:c>
      <x:c r="E81" s="7" t="str">
        <x:v>Utama</x:v>
      </x:c>
      <x:c r="F81" s="8">
        <x:v>2</x:v>
      </x:c>
      <x:c r="G81" s="11" t="n">
        <x:f>'SIM_14_Neonatus'!$B$6</x:f>
        <x:v>1107</x:v>
      </x:c>
      <x:c r="H81" s="11" t="n">
        <x:f>'SIM_14_Neonatus'!C20+'SIM_14_Neonatus'!F20</x:f>
        <x:v>26666.134</x:v>
      </x:c>
      <x:c r="I81" s="11" t="n">
        <x:f>'SIM_14_Neonatus'!I20+'SIM_14_Neonatus'!L20</x:f>
        <x:v>209.6</x:v>
      </x:c>
      <x:c r="J81" s="11" t="n">
        <x:f>'SIM_14_Neonatus'!N20</x:f>
        <x:v>26456.534</x:v>
      </x:c>
      <x:c r="K81" s="11" t="n">
        <x:f>'SIM_14_Neonatus'!O20</x:f>
        <x:v>27563.534</x:v>
      </x:c>
      <x:c r="L81" s="32" t="n">
        <x:f>'SIM_14_Neonatus'!P20</x:f>
        <x:v>23.899308039747062</x:v>
      </x:c>
      <x:c r="M81" s="12" t="n">
        <x:f>'SIM_14_Neonatus'!$B$7</x:f>
        <x:v>7957268000</x:v>
      </x:c>
      <x:c r="N81" s="12" t="n">
        <x:f>'SIM_14_Neonatus'!D20+'SIM_14_Neonatus'!G20</x:f>
        <x:v>127310327373.5083</x:v>
      </x:c>
      <x:c r="O81" s="12" t="n">
        <x:f>'SIM_14_Neonatus'!J20+'SIM_14_Neonatus'!M20</x:f>
        <x:v>389344160</x:v>
      </x:c>
      <x:c r="P81" s="12" t="n">
        <x:f>'SIM_14_Neonatus'!Q20</x:f>
        <x:v>126920983213.5083</x:v>
      </x:c>
      <x:c r="Q81" s="12" t="n">
        <x:f>'SIM_14_Neonatus'!R20</x:f>
        <x:v>134878251213.5083</x:v>
      </x:c>
      <x:c r="R81" s="32" t="n">
        <x:f>'SIM_14_Neonatus'!S20</x:f>
        <x:v>15.950321544216973</x:v>
      </x:c>
    </x:row>
    <x:row r="82">
      <x:c r="A82" s="8">
        <x:v>14</x:v>
      </x:c>
      <x:c r="B82" s="7" t="str">
        <x:v>NEONATUS</x:v>
      </x:c>
      <x:c r="C82" s="7" t="str">
        <x:v>Neonatus</x:v>
      </x:c>
      <x:c r="D82" s="7" t="str">
        <x:v>SIM_14_Neonatus</x:v>
      </x:c>
      <x:c r="E82" s="7" t="str">
        <x:v>Utama</x:v>
      </x:c>
      <x:c r="F82" s="8">
        <x:v>3</x:v>
      </x:c>
      <x:c r="G82" s="11" t="n">
        <x:f>'SIM_14_Neonatus'!$B$6</x:f>
        <x:v>1107</x:v>
      </x:c>
      <x:c r="H82" s="11" t="n">
        <x:f>'SIM_14_Neonatus'!C21+'SIM_14_Neonatus'!F21</x:f>
        <x:v>49373.53400000001</x:v>
      </x:c>
      <x:c r="I82" s="11" t="n">
        <x:f>'SIM_14_Neonatus'!I21+'SIM_14_Neonatus'!L21</x:f>
        <x:v>227.7</x:v>
      </x:c>
      <x:c r="J82" s="11" t="n">
        <x:f>'SIM_14_Neonatus'!N21</x:f>
        <x:v>49145.83400000001</x:v>
      </x:c>
      <x:c r="K82" s="11" t="n">
        <x:f>'SIM_14_Neonatus'!O21</x:f>
        <x:v>50252.83400000001</x:v>
      </x:c>
      <x:c r="L82" s="32" t="n">
        <x:f>'SIM_14_Neonatus'!P21</x:f>
        <x:v>44.395514001806696</x:v>
      </x:c>
      <x:c r="M82" s="12" t="n">
        <x:f>'SIM_14_Neonatus'!$B$7</x:f>
        <x:v>7957268000</x:v>
      </x:c>
      <x:c r="N82" s="12" t="n">
        <x:f>'SIM_14_Neonatus'!D21+'SIM_14_Neonatus'!G21</x:f>
        <x:v>244493811025.32623</x:v>
      </x:c>
      <x:c r="O82" s="12" t="n">
        <x:f>'SIM_14_Neonatus'!J21+'SIM_14_Neonatus'!M21</x:f>
        <x:v>430392920</x:v>
      </x:c>
      <x:c r="P82" s="12" t="n">
        <x:f>'SIM_14_Neonatus'!Q21</x:f>
        <x:v>244063418105.32623</x:v>
      </x:c>
      <x:c r="Q82" s="12" t="n">
        <x:f>'SIM_14_Neonatus'!R21</x:f>
        <x:v>252020686105.32623</x:v>
      </x:c>
      <x:c r="R82" s="32" t="n">
        <x:f>'SIM_14_Neonatus'!S21</x:f>
        <x:v>30.671760471725502</x:v>
      </x:c>
    </x:row>
    <x:row r="83">
      <x:c r="A83" s="8">
        <x:v>14</x:v>
      </x:c>
      <x:c r="B83" s="7" t="str">
        <x:v>NEONATUS</x:v>
      </x:c>
      <x:c r="C83" s="7" t="str">
        <x:v>Neonatus</x:v>
      </x:c>
      <x:c r="D83" s="7" t="str">
        <x:v>SIM_14_Neonatus</x:v>
      </x:c>
      <x:c r="E83" s="7" t="str">
        <x:v>Utama</x:v>
      </x:c>
      <x:c r="F83" s="8">
        <x:v>4</x:v>
      </x:c>
      <x:c r="G83" s="11" t="n">
        <x:f>'SIM_14_Neonatus'!$B$6</x:f>
        <x:v>1107</x:v>
      </x:c>
      <x:c r="H83" s="11" t="n">
        <x:f>'SIM_14_Neonatus'!C22+'SIM_14_Neonatus'!F22</x:f>
        <x:v>72080.93400000001</x:v>
      </x:c>
      <x:c r="I83" s="11" t="n">
        <x:f>'SIM_14_Neonatus'!I22+'SIM_14_Neonatus'!L22</x:f>
        <x:v>245.8</x:v>
      </x:c>
      <x:c r="J83" s="11" t="n">
        <x:f>'SIM_14_Neonatus'!N22</x:f>
        <x:v>71835.134</x:v>
      </x:c>
      <x:c r="K83" s="11" t="n">
        <x:f>'SIM_14_Neonatus'!O22</x:f>
        <x:v>72942.134</x:v>
      </x:c>
      <x:c r="L83" s="32" t="n">
        <x:f>'SIM_14_Neonatus'!P22</x:f>
        <x:v>64.89171996386631</x:v>
      </x:c>
      <x:c r="M83" s="12" t="n">
        <x:f>'SIM_14_Neonatus'!$B$7</x:f>
        <x:v>7957268000</x:v>
      </x:c>
      <x:c r="N83" s="12" t="n">
        <x:f>'SIM_14_Neonatus'!D22+'SIM_14_Neonatus'!G22</x:f>
        <x:v>361677294677.1441</x:v>
      </x:c>
      <x:c r="O83" s="12" t="n">
        <x:f>'SIM_14_Neonatus'!J22+'SIM_14_Neonatus'!M22</x:f>
        <x:v>471441680</x:v>
      </x:c>
      <x:c r="P83" s="12" t="n">
        <x:f>'SIM_14_Neonatus'!Q22</x:f>
        <x:v>361205852997.1441</x:v>
      </x:c>
      <x:c r="Q83" s="12" t="n">
        <x:f>'SIM_14_Neonatus'!R22</x:f>
        <x:v>369163120997.1441</x:v>
      </x:c>
      <x:c r="R83" s="32" t="n">
        <x:f>'SIM_14_Neonatus'!S22</x:f>
        <x:v>45.39319939923402</x:v>
      </x:c>
    </x:row>
    <x:row r="84">
      <x:c r="A84" s="8">
        <x:v>14</x:v>
      </x:c>
      <x:c r="B84" s="7" t="str">
        <x:v>NEONATUS</x:v>
      </x:c>
      <x:c r="C84" s="7" t="str">
        <x:v>Neonatus</x:v>
      </x:c>
      <x:c r="D84" s="7" t="str">
        <x:v>SIM_14_Neonatus</x:v>
      </x:c>
      <x:c r="E84" s="7" t="str">
        <x:v>Utama</x:v>
      </x:c>
      <x:c r="F84" s="8">
        <x:v>5</x:v>
      </x:c>
      <x:c r="G84" s="11" t="n">
        <x:f>'SIM_14_Neonatus'!$B$6</x:f>
        <x:v>1107</x:v>
      </x:c>
      <x:c r="H84" s="11" t="n">
        <x:f>'SIM_14_Neonatus'!C23+'SIM_14_Neonatus'!F23</x:f>
        <x:v>94788.33399999999</x:v>
      </x:c>
      <x:c r="I84" s="11" t="n">
        <x:f>'SIM_14_Neonatus'!I23+'SIM_14_Neonatus'!L23</x:f>
        <x:v>263.9</x:v>
      </x:c>
      <x:c r="J84" s="11" t="n">
        <x:f>'SIM_14_Neonatus'!N23</x:f>
        <x:v>94524.434</x:v>
      </x:c>
      <x:c r="K84" s="11" t="n">
        <x:f>'SIM_14_Neonatus'!O23</x:f>
        <x:v>95631.434</x:v>
      </x:c>
      <x:c r="L84" s="32" t="n">
        <x:f>'SIM_14_Neonatus'!P23</x:f>
        <x:v>85.38792592592593</x:v>
      </x:c>
      <x:c r="M84" s="12" t="n">
        <x:f>'SIM_14_Neonatus'!$B$7</x:f>
        <x:v>7957268000</x:v>
      </x:c>
      <x:c r="N84" s="12" t="n">
        <x:f>'SIM_14_Neonatus'!D23+'SIM_14_Neonatus'!G23</x:f>
        <x:v>478860778328.962</x:v>
      </x:c>
      <x:c r="O84" s="12" t="n">
        <x:f>'SIM_14_Neonatus'!J23+'SIM_14_Neonatus'!M23</x:f>
        <x:v>512490440</x:v>
      </x:c>
      <x:c r="P84" s="12" t="n">
        <x:f>'SIM_14_Neonatus'!Q23</x:f>
        <x:v>478348287888.962</x:v>
      </x:c>
      <x:c r="Q84" s="12" t="n">
        <x:f>'SIM_14_Neonatus'!R23</x:f>
        <x:v>486305555888.962</x:v>
      </x:c>
      <x:c r="R84" s="32" t="n">
        <x:f>'SIM_14_Neonatus'!S23</x:f>
        <x:v>60.11463832674254</x:v>
      </x:c>
    </x:row>
    <x:row r="85">
      <x:c r="A85" s="8">
        <x:v>14</x:v>
      </x:c>
      <x:c r="B85" s="7" t="str">
        <x:v>NEONATUS</x:v>
      </x:c>
      <x:c r="C85" s="7" t="str">
        <x:v>Neonatus</x:v>
      </x:c>
      <x:c r="D85" s="7" t="str">
        <x:v>SIM_14_Neonatus</x:v>
      </x:c>
      <x:c r="E85" s="7" t="str">
        <x:v>Utama</x:v>
      </x:c>
      <x:c r="F85" s="8">
        <x:v>6</x:v>
      </x:c>
      <x:c r="G85" s="11" t="n">
        <x:f>'SIM_14_Neonatus'!$B$6</x:f>
        <x:v>1107</x:v>
      </x:c>
      <x:c r="H85" s="11" t="n">
        <x:f>'SIM_14_Neonatus'!C24+'SIM_14_Neonatus'!F24</x:f>
        <x:v>117495.734</x:v>
      </x:c>
      <x:c r="I85" s="11" t="n">
        <x:f>'SIM_14_Neonatus'!I24+'SIM_14_Neonatus'!L24</x:f>
        <x:v>282</x:v>
      </x:c>
      <x:c r="J85" s="11" t="n">
        <x:f>'SIM_14_Neonatus'!N24</x:f>
        <x:v>117213.734</x:v>
      </x:c>
      <x:c r="K85" s="11" t="n">
        <x:f>'SIM_14_Neonatus'!O24</x:f>
        <x:v>118320.734</x:v>
      </x:c>
      <x:c r="L85" s="32" t="n">
        <x:f>'SIM_14_Neonatus'!P24</x:f>
        <x:v>105.88413188798555</x:v>
      </x:c>
      <x:c r="M85" s="12" t="n">
        <x:f>'SIM_14_Neonatus'!$B$7</x:f>
        <x:v>7957268000</x:v>
      </x:c>
      <x:c r="N85" s="12" t="n">
        <x:f>'SIM_14_Neonatus'!D24+'SIM_14_Neonatus'!G24</x:f>
        <x:v>596044261980.7799</x:v>
      </x:c>
      <x:c r="O85" s="12" t="n">
        <x:f>'SIM_14_Neonatus'!J24+'SIM_14_Neonatus'!M24</x:f>
        <x:v>553539200</x:v>
      </x:c>
      <x:c r="P85" s="12" t="n">
        <x:f>'SIM_14_Neonatus'!Q24</x:f>
        <x:v>595490722780.7799</x:v>
      </x:c>
      <x:c r="Q85" s="12" t="n">
        <x:f>'SIM_14_Neonatus'!R24</x:f>
        <x:v>603447990780.7799</x:v>
      </x:c>
      <x:c r="R85" s="32" t="n">
        <x:f>'SIM_14_Neonatus'!S24</x:f>
        <x:v>74.83607725425107</x:v>
      </x:c>
    </x:row>
    <x:row r="86">
      <x:c r="A86" s="8">
        <x:v>15</x:v>
      </x:c>
      <x:c r="B86" s="7" t="str">
        <x:v>NEOPLASMA</x:v>
      </x:c>
      <x:c r="C86" s="7" t="str">
        <x:v>Neoplasma</x:v>
      </x:c>
      <x:c r="D86" s="7" t="str">
        <x:v>SIM_15_Neoplasma</x:v>
      </x:c>
      <x:c r="E86" s="7" t="str">
        <x:v>Utama</x:v>
      </x:c>
      <x:c r="F86" s="8">
        <x:v>1</x:v>
      </x:c>
      <x:c r="G86" s="11" t="n">
        <x:f>'SIM_15_Neoplasma'!$B$6</x:f>
        <x:v>40820</x:v>
      </x:c>
      <x:c r="H86" s="11" t="n">
        <x:f>'SIM_15_Neoplasma'!C19+'SIM_15_Neoplasma'!F19</x:f>
        <x:v>42961.895000000004</x:v>
      </x:c>
      <x:c r="I86" s="11" t="n">
        <x:f>'SIM_15_Neoplasma'!I19+'SIM_15_Neoplasma'!L19</x:f>
        <x:v>15184.5</x:v>
      </x:c>
      <x:c r="J86" s="11" t="n">
        <x:f>'SIM_15_Neoplasma'!N19</x:f>
        <x:v>27777.395000000004</x:v>
      </x:c>
      <x:c r="K86" s="11" t="n">
        <x:f>'SIM_15_Neoplasma'!O19</x:f>
        <x:v>68597.395</x:v>
      </x:c>
      <x:c r="L86" s="32" t="n">
        <x:f>'SIM_15_Neoplasma'!P19</x:f>
        <x:v>0.6804849338559531</x:v>
      </x:c>
      <x:c r="M86" s="12" t="n">
        <x:f>'SIM_15_Neoplasma'!$B$7</x:f>
        <x:v>89543101500</x:v>
      </x:c>
      <x:c r="N86" s="12" t="n">
        <x:f>'SIM_15_Neoplasma'!D19+'SIM_15_Neoplasma'!G19</x:f>
        <x:v>94387541246.1616</x:v>
      </x:c>
      <x:c r="O86" s="12" t="n">
        <x:f>'SIM_15_Neoplasma'!J19+'SIM_15_Neoplasma'!M19</x:f>
        <x:v>26292261650</x:v>
      </x:c>
      <x:c r="P86" s="12" t="n">
        <x:f>'SIM_15_Neoplasma'!Q19</x:f>
        <x:v>68095279596.161606</x:v>
      </x:c>
      <x:c r="Q86" s="12" t="n">
        <x:f>'SIM_15_Neoplasma'!R19</x:f>
        <x:v>157638381096.16162</x:v>
      </x:c>
      <x:c r="R86" s="32" t="n">
        <x:f>'SIM_15_Neoplasma'!S19</x:f>
        <x:v>0.7604748825476143</x:v>
      </x:c>
    </x:row>
    <x:row r="87">
      <x:c r="A87" s="8">
        <x:v>15</x:v>
      </x:c>
      <x:c r="B87" s="7" t="str">
        <x:v>NEOPLASMA</x:v>
      </x:c>
      <x:c r="C87" s="7" t="str">
        <x:v>Neoplasma</x:v>
      </x:c>
      <x:c r="D87" s="7" t="str">
        <x:v>SIM_15_Neoplasma</x:v>
      </x:c>
      <x:c r="E87" s="7" t="str">
        <x:v>Utama</x:v>
      </x:c>
      <x:c r="F87" s="8">
        <x:v>2</x:v>
      </x:c>
      <x:c r="G87" s="11" t="n">
        <x:f>'SIM_15_Neoplasma'!$B$6</x:f>
        <x:v>40820</x:v>
      </x:c>
      <x:c r="H87" s="11" t="n">
        <x:f>'SIM_15_Neoplasma'!C20+'SIM_15_Neoplasma'!F20</x:f>
        <x:v>89263.195</x:v>
      </x:c>
      <x:c r="I87" s="11" t="n">
        <x:f>'SIM_15_Neoplasma'!I20+'SIM_15_Neoplasma'!L20</x:f>
        <x:v>15378.8</x:v>
      </x:c>
      <x:c r="J87" s="11" t="n">
        <x:f>'SIM_15_Neoplasma'!N20</x:f>
        <x:v>73884.395</x:v>
      </x:c>
      <x:c r="K87" s="11" t="n">
        <x:f>'SIM_15_Neoplasma'!O20</x:f>
        <x:v>114704.395</x:v>
      </x:c>
      <x:c r="L87" s="32" t="n">
        <x:f>'SIM_15_Neoplasma'!P20</x:f>
        <x:v>1.8100047770700638</x:v>
      </x:c>
      <x:c r="M87" s="12" t="n">
        <x:f>'SIM_15_Neoplasma'!$B$7</x:f>
        <x:v>89543101500</x:v>
      </x:c>
      <x:c r="N87" s="12" t="n">
        <x:f>'SIM_15_Neoplasma'!D20+'SIM_15_Neoplasma'!G20</x:f>
        <x:v>195735387488.90466</x:v>
      </x:c>
      <x:c r="O87" s="12" t="n">
        <x:f>'SIM_15_Neoplasma'!J20+'SIM_15_Neoplasma'!M20</x:f>
        <x:v>27472641940</x:v>
      </x:c>
      <x:c r="P87" s="12" t="n">
        <x:f>'SIM_15_Neoplasma'!Q20</x:f>
        <x:v>168262745548.90466</x:v>
      </x:c>
      <x:c r="Q87" s="12" t="n">
        <x:f>'SIM_15_Neoplasma'!R20</x:f>
        <x:v>257805847048.90466</x:v>
      </x:c>
      <x:c r="R87" s="32" t="n">
        <x:f>'SIM_15_Neoplasma'!S20</x:f>
        <x:v>1.8791257252676765</x:v>
      </x:c>
    </x:row>
    <x:row r="88">
      <x:c r="A88" s="8">
        <x:v>15</x:v>
      </x:c>
      <x:c r="B88" s="7" t="str">
        <x:v>NEOPLASMA</x:v>
      </x:c>
      <x:c r="C88" s="7" t="str">
        <x:v>Neoplasma</x:v>
      </x:c>
      <x:c r="D88" s="7" t="str">
        <x:v>SIM_15_Neoplasma</x:v>
      </x:c>
      <x:c r="E88" s="7" t="str">
        <x:v>Utama</x:v>
      </x:c>
      <x:c r="F88" s="8">
        <x:v>3</x:v>
      </x:c>
      <x:c r="G88" s="11" t="n">
        <x:f>'SIM_15_Neoplasma'!$B$6</x:f>
        <x:v>40820</x:v>
      </x:c>
      <x:c r="H88" s="11" t="n">
        <x:f>'SIM_15_Neoplasma'!C21+'SIM_15_Neoplasma'!F21</x:f>
        <x:v>135564.495</x:v>
      </x:c>
      <x:c r="I88" s="11" t="n">
        <x:f>'SIM_15_Neoplasma'!I21+'SIM_15_Neoplasma'!L21</x:f>
        <x:v>15573.1</x:v>
      </x:c>
      <x:c r="J88" s="11" t="n">
        <x:f>'SIM_15_Neoplasma'!N21</x:f>
        <x:v>119991.39499999999</x:v>
      </x:c>
      <x:c r="K88" s="11" t="n">
        <x:f>'SIM_15_Neoplasma'!O21</x:f>
        <x:v>160811.395</x:v>
      </x:c>
      <x:c r="L88" s="32" t="n">
        <x:f>'SIM_15_Neoplasma'!P21</x:f>
        <x:v>2.9395246202841743</x:v>
      </x:c>
      <x:c r="M88" s="12" t="n">
        <x:f>'SIM_15_Neoplasma'!$B$7</x:f>
        <x:v>89543101500</x:v>
      </x:c>
      <x:c r="N88" s="12" t="n">
        <x:f>'SIM_15_Neoplasma'!D21+'SIM_15_Neoplasma'!G21</x:f>
        <x:v>297083233731.64777</x:v>
      </x:c>
      <x:c r="O88" s="12" t="n">
        <x:f>'SIM_15_Neoplasma'!J21+'SIM_15_Neoplasma'!M21</x:f>
        <x:v>28653022230</x:v>
      </x:c>
      <x:c r="P88" s="12" t="n">
        <x:f>'SIM_15_Neoplasma'!Q21</x:f>
        <x:v>268430211501.64777</x:v>
      </x:c>
      <x:c r="Q88" s="12" t="n">
        <x:f>'SIM_15_Neoplasma'!R21</x:f>
        <x:v>357973313001.64777</x:v>
      </x:c>
      <x:c r="R88" s="32" t="n">
        <x:f>'SIM_15_Neoplasma'!S21</x:f>
        <x:v>2.997776567987739</x:v>
      </x:c>
    </x:row>
    <x:row r="89">
      <x:c r="A89" s="8">
        <x:v>15</x:v>
      </x:c>
      <x:c r="B89" s="7" t="str">
        <x:v>NEOPLASMA</x:v>
      </x:c>
      <x:c r="C89" s="7" t="str">
        <x:v>Neoplasma</x:v>
      </x:c>
      <x:c r="D89" s="7" t="str">
        <x:v>SIM_15_Neoplasma</x:v>
      </x:c>
      <x:c r="E89" s="7" t="str">
        <x:v>Utama</x:v>
      </x:c>
      <x:c r="F89" s="8">
        <x:v>4</x:v>
      </x:c>
      <x:c r="G89" s="11" t="n">
        <x:f>'SIM_15_Neoplasma'!$B$6</x:f>
        <x:v>40820</x:v>
      </x:c>
      <x:c r="H89" s="11" t="n">
        <x:f>'SIM_15_Neoplasma'!C22+'SIM_15_Neoplasma'!F22</x:f>
        <x:v>181865.79499999998</x:v>
      </x:c>
      <x:c r="I89" s="11" t="n">
        <x:f>'SIM_15_Neoplasma'!I22+'SIM_15_Neoplasma'!L22</x:f>
        <x:v>15767.4</x:v>
      </x:c>
      <x:c r="J89" s="11" t="n">
        <x:f>'SIM_15_Neoplasma'!N22</x:f>
        <x:v>166098.395</x:v>
      </x:c>
      <x:c r="K89" s="11" t="n">
        <x:f>'SIM_15_Neoplasma'!O22</x:f>
        <x:v>206918.395</x:v>
      </x:c>
      <x:c r="L89" s="32" t="n">
        <x:f>'SIM_15_Neoplasma'!P22</x:f>
        <x:v>4.069044463498285</x:v>
      </x:c>
      <x:c r="M89" s="12" t="n">
        <x:f>'SIM_15_Neoplasma'!$B$7</x:f>
        <x:v>89543101500</x:v>
      </x:c>
      <x:c r="N89" s="12" t="n">
        <x:f>'SIM_15_Neoplasma'!D22+'SIM_15_Neoplasma'!G22</x:f>
        <x:v>398431079974.39075</x:v>
      </x:c>
      <x:c r="O89" s="12" t="n">
        <x:f>'SIM_15_Neoplasma'!J22+'SIM_15_Neoplasma'!M22</x:f>
        <x:v>29833402520</x:v>
      </x:c>
      <x:c r="P89" s="12" t="n">
        <x:f>'SIM_15_Neoplasma'!Q22</x:f>
        <x:v>368597677454.39075</x:v>
      </x:c>
      <x:c r="Q89" s="12" t="n">
        <x:f>'SIM_15_Neoplasma'!R22</x:f>
        <x:v>458140778954.39075</x:v>
      </x:c>
      <x:c r="R89" s="32" t="n">
        <x:f>'SIM_15_Neoplasma'!S22</x:f>
        <x:v>4.1164274107078</x:v>
      </x:c>
    </x:row>
    <x:row r="90">
      <x:c r="A90" s="8">
        <x:v>15</x:v>
      </x:c>
      <x:c r="B90" s="7" t="str">
        <x:v>NEOPLASMA</x:v>
      </x:c>
      <x:c r="C90" s="7" t="str">
        <x:v>Neoplasma</x:v>
      </x:c>
      <x:c r="D90" s="7" t="str">
        <x:v>SIM_15_Neoplasma</x:v>
      </x:c>
      <x:c r="E90" s="7" t="str">
        <x:v>Utama</x:v>
      </x:c>
      <x:c r="F90" s="8">
        <x:v>5</x:v>
      </x:c>
      <x:c r="G90" s="11" t="n">
        <x:f>'SIM_15_Neoplasma'!$B$6</x:f>
        <x:v>40820</x:v>
      </x:c>
      <x:c r="H90" s="11" t="n">
        <x:f>'SIM_15_Neoplasma'!C23+'SIM_15_Neoplasma'!F23</x:f>
        <x:v>228167.095</x:v>
      </x:c>
      <x:c r="I90" s="11" t="n">
        <x:f>'SIM_15_Neoplasma'!I23+'SIM_15_Neoplasma'!L23</x:f>
        <x:v>15961.7</x:v>
      </x:c>
      <x:c r="J90" s="11" t="n">
        <x:f>'SIM_15_Neoplasma'!N23</x:f>
        <x:v>212205.395</x:v>
      </x:c>
      <x:c r="K90" s="11" t="n">
        <x:f>'SIM_15_Neoplasma'!O23</x:f>
        <x:v>253025.395</x:v>
      </x:c>
      <x:c r="L90" s="32" t="n">
        <x:f>'SIM_15_Neoplasma'!P23</x:f>
        <x:v>5.198564306712395</x:v>
      </x:c>
      <x:c r="M90" s="12" t="n">
        <x:f>'SIM_15_Neoplasma'!$B$7</x:f>
        <x:v>89543101500</x:v>
      </x:c>
      <x:c r="N90" s="12" t="n">
        <x:f>'SIM_15_Neoplasma'!D23+'SIM_15_Neoplasma'!G23</x:f>
        <x:v>499778926217.13385</x:v>
      </x:c>
      <x:c r="O90" s="12" t="n">
        <x:f>'SIM_15_Neoplasma'!J23+'SIM_15_Neoplasma'!M23</x:f>
        <x:v>31013782810</x:v>
      </x:c>
      <x:c r="P90" s="12" t="n">
        <x:f>'SIM_15_Neoplasma'!Q23</x:f>
        <x:v>468765143407.13385</x:v>
      </x:c>
      <x:c r="Q90" s="12" t="n">
        <x:f>'SIM_15_Neoplasma'!R23</x:f>
        <x:v>558308244907.1338</x:v>
      </x:c>
      <x:c r="R90" s="32" t="n">
        <x:f>'SIM_15_Neoplasma'!S23</x:f>
        <x:v>5.235078253427863</x:v>
      </x:c>
    </x:row>
    <x:row r="91">
      <x:c r="A91" s="8">
        <x:v>15</x:v>
      </x:c>
      <x:c r="B91" s="7" t="str">
        <x:v>NEOPLASMA</x:v>
      </x:c>
      <x:c r="C91" s="7" t="str">
        <x:v>Neoplasma</x:v>
      </x:c>
      <x:c r="D91" s="7" t="str">
        <x:v>SIM_15_Neoplasma</x:v>
      </x:c>
      <x:c r="E91" s="7" t="str">
        <x:v>Utama</x:v>
      </x:c>
      <x:c r="F91" s="8">
        <x:v>6</x:v>
      </x:c>
      <x:c r="G91" s="11" t="n">
        <x:f>'SIM_15_Neoplasma'!$B$6</x:f>
        <x:v>40820</x:v>
      </x:c>
      <x:c r="H91" s="11" t="n">
        <x:f>'SIM_15_Neoplasma'!C24+'SIM_15_Neoplasma'!F24</x:f>
        <x:v>274468.395</x:v>
      </x:c>
      <x:c r="I91" s="11" t="n">
        <x:f>'SIM_15_Neoplasma'!I24+'SIM_15_Neoplasma'!L24</x:f>
        <x:v>16156</x:v>
      </x:c>
      <x:c r="J91" s="11" t="n">
        <x:f>'SIM_15_Neoplasma'!N24</x:f>
        <x:v>258312.39500000002</x:v>
      </x:c>
      <x:c r="K91" s="11" t="n">
        <x:f>'SIM_15_Neoplasma'!O24</x:f>
        <x:v>299132.395</x:v>
      </x:c>
      <x:c r="L91" s="32" t="n">
        <x:f>'SIM_15_Neoplasma'!P24</x:f>
        <x:v>6.328084149926507</x:v>
      </x:c>
      <x:c r="M91" s="12" t="n">
        <x:f>'SIM_15_Neoplasma'!$B$7</x:f>
        <x:v>89543101500</x:v>
      </x:c>
      <x:c r="N91" s="12" t="n">
        <x:f>'SIM_15_Neoplasma'!D24+'SIM_15_Neoplasma'!G24</x:f>
        <x:v>601126772459.877</x:v>
      </x:c>
      <x:c r="O91" s="12" t="n">
        <x:f>'SIM_15_Neoplasma'!J24+'SIM_15_Neoplasma'!M24</x:f>
        <x:v>32194163100</x:v>
      </x:c>
      <x:c r="P91" s="12" t="n">
        <x:f>'SIM_15_Neoplasma'!Q24</x:f>
        <x:v>568932609359.877</x:v>
      </x:c>
      <x:c r="Q91" s="12" t="n">
        <x:f>'SIM_15_Neoplasma'!R24</x:f>
        <x:v>658475710859.877</x:v>
      </x:c>
      <x:c r="R91" s="32" t="n">
        <x:f>'SIM_15_Neoplasma'!S24</x:f>
        <x:v>6.353729096147926</x:v>
      </x:c>
    </x:row>
    <x:row r="92">
      <x:c r="A92" s="8">
        <x:v>16</x:v>
      </x:c>
      <x:c r="B92" s="7" t="str">
        <x:v>PARU DAN PERNAFASAN</x:v>
      </x:c>
      <x:c r="C92" s="7" t="str">
        <x:v>Paru &amp; Pernafasan</x:v>
      </x:c>
      <x:c r="D92" s="7" t="str">
        <x:v>SIM_16_Paru_Pernafasan</x:v>
      </x:c>
      <x:c r="E92" s="7" t="str">
        <x:v>Utama</x:v>
      </x:c>
      <x:c r="F92" s="8">
        <x:v>1</x:v>
      </x:c>
      <x:c r="G92" s="11" t="n">
        <x:f>'SIM_16_Paru_Pernafasan'!$B$6</x:f>
        <x:v>10382</x:v>
      </x:c>
      <x:c r="H92" s="11" t="n">
        <x:f>'SIM_16_Paru_Pernafasan'!C19+'SIM_16_Paru_Pernafasan'!F19</x:f>
        <x:v>32909.97</x:v>
      </x:c>
      <x:c r="I92" s="11" t="n">
        <x:f>'SIM_16_Paru_Pernafasan'!I19+'SIM_16_Paru_Pernafasan'!L19</x:f>
        <x:v>2619.5</x:v>
      </x:c>
      <x:c r="J92" s="11" t="n">
        <x:f>'SIM_16_Paru_Pernafasan'!N19</x:f>
        <x:v>30290.47</x:v>
      </x:c>
      <x:c r="K92" s="11" t="n">
        <x:f>'SIM_16_Paru_Pernafasan'!O19</x:f>
        <x:v>40672.47</x:v>
      </x:c>
      <x:c r="L92" s="32" t="n">
        <x:f>'SIM_16_Paru_Pernafasan'!P19</x:f>
        <x:v>2.9175948757464845</x:v>
      </x:c>
      <x:c r="M92" s="12" t="n">
        <x:f>'SIM_16_Paru_Pernafasan'!$B$7</x:f>
        <x:v>95447092900</x:v>
      </x:c>
      <x:c r="N92" s="12" t="n">
        <x:f>'SIM_16_Paru_Pernafasan'!D19+'SIM_16_Paru_Pernafasan'!G19</x:f>
        <x:v>121272722798.55363</x:v>
      </x:c>
      <x:c r="O92" s="12" t="n">
        <x:f>'SIM_16_Paru_Pernafasan'!J19+'SIM_16_Paru_Pernafasan'!M19</x:f>
        <x:v>23706032800</x:v>
      </x:c>
      <x:c r="P92" s="12" t="n">
        <x:f>'SIM_16_Paru_Pernafasan'!Q19</x:f>
        <x:v>97566689998.55363</x:v>
      </x:c>
      <x:c r="Q92" s="12" t="n">
        <x:f>'SIM_16_Paru_Pernafasan'!R19</x:f>
        <x:v>193013782898.55365</x:v>
      </x:c>
      <x:c r="R92" s="32" t="n">
        <x:f>'SIM_16_Paru_Pernafasan'!S19</x:f>
        <x:v>1.0222070367378746</x:v>
      </x:c>
    </x:row>
    <x:row r="93">
      <x:c r="A93" s="8">
        <x:v>16</x:v>
      </x:c>
      <x:c r="B93" s="7" t="str">
        <x:v>PARU DAN PERNAFASAN</x:v>
      </x:c>
      <x:c r="C93" s="7" t="str">
        <x:v>Paru &amp; Pernafasan</x:v>
      </x:c>
      <x:c r="D93" s="7" t="str">
        <x:v>SIM_16_Paru_Pernafasan</x:v>
      </x:c>
      <x:c r="E93" s="7" t="str">
        <x:v>Utama</x:v>
      </x:c>
      <x:c r="F93" s="8">
        <x:v>2</x:v>
      </x:c>
      <x:c r="G93" s="11" t="n">
        <x:f>'SIM_16_Paru_Pernafasan'!$B$6</x:f>
        <x:v>10382</x:v>
      </x:c>
      <x:c r="H93" s="11" t="n">
        <x:f>'SIM_16_Paru_Pernafasan'!C20+'SIM_16_Paru_Pernafasan'!F20</x:f>
        <x:v>267234.57</x:v>
      </x:c>
      <x:c r="I93" s="11" t="n">
        <x:f>'SIM_16_Paru_Pernafasan'!I20+'SIM_16_Paru_Pernafasan'!L20</x:f>
        <x:v>2851</x:v>
      </x:c>
      <x:c r="J93" s="11" t="n">
        <x:f>'SIM_16_Paru_Pernafasan'!N20</x:f>
        <x:v>264383.57</x:v>
      </x:c>
      <x:c r="K93" s="11" t="n">
        <x:f>'SIM_16_Paru_Pernafasan'!O20</x:f>
        <x:v>274765.57</x:v>
      </x:c>
      <x:c r="L93" s="32" t="n">
        <x:f>'SIM_16_Paru_Pernafasan'!P20</x:f>
        <x:v>25.46557214409555</x:v>
      </x:c>
      <x:c r="M93" s="12" t="n">
        <x:f>'SIM_16_Paru_Pernafasan'!$B$7</x:f>
        <x:v>95447092900</x:v>
      </x:c>
      <x:c r="N93" s="12" t="n">
        <x:f>'SIM_16_Paru_Pernafasan'!D20+'SIM_16_Paru_Pernafasan'!G20</x:f>
        <x:v>853258485313.471</x:v>
      </x:c>
      <x:c r="O93" s="12" t="n">
        <x:f>'SIM_16_Paru_Pernafasan'!J20+'SIM_16_Paru_Pernafasan'!M20</x:f>
        <x:v>24042729340</x:v>
      </x:c>
      <x:c r="P93" s="12" t="n">
        <x:f>'SIM_16_Paru_Pernafasan'!Q20</x:f>
        <x:v>829215755973.471</x:v>
      </x:c>
      <x:c r="Q93" s="12" t="n">
        <x:f>'SIM_16_Paru_Pernafasan'!R20</x:f>
        <x:v>924662848873.471</x:v>
      </x:c>
      <x:c r="R93" s="32" t="n">
        <x:f>'SIM_16_Paru_Pernafasan'!S20</x:f>
        <x:v>8.687700492274196</x:v>
      </x:c>
    </x:row>
    <x:row r="94">
      <x:c r="A94" s="8">
        <x:v>16</x:v>
      </x:c>
      <x:c r="B94" s="7" t="str">
        <x:v>PARU DAN PERNAFASAN</x:v>
      </x:c>
      <x:c r="C94" s="7" t="str">
        <x:v>Paru &amp; Pernafasan</x:v>
      </x:c>
      <x:c r="D94" s="7" t="str">
        <x:v>SIM_16_Paru_Pernafasan</x:v>
      </x:c>
      <x:c r="E94" s="7" t="str">
        <x:v>Utama</x:v>
      </x:c>
      <x:c r="F94" s="8">
        <x:v>3</x:v>
      </x:c>
      <x:c r="G94" s="11" t="n">
        <x:f>'SIM_16_Paru_Pernafasan'!$B$6</x:f>
        <x:v>10382</x:v>
      </x:c>
      <x:c r="H94" s="11" t="n">
        <x:f>'SIM_16_Paru_Pernafasan'!C21+'SIM_16_Paru_Pernafasan'!F21</x:f>
        <x:v>501559.17000000004</x:v>
      </x:c>
      <x:c r="I94" s="11" t="n">
        <x:f>'SIM_16_Paru_Pernafasan'!I21+'SIM_16_Paru_Pernafasan'!L21</x:f>
        <x:v>3082.5</x:v>
      </x:c>
      <x:c r="J94" s="11" t="n">
        <x:f>'SIM_16_Paru_Pernafasan'!N21</x:f>
        <x:v>498476.67000000004</x:v>
      </x:c>
      <x:c r="K94" s="11" t="n">
        <x:f>'SIM_16_Paru_Pernafasan'!O21</x:f>
        <x:v>508858.67000000004</x:v>
      </x:c>
      <x:c r="L94" s="32" t="n">
        <x:f>'SIM_16_Paru_Pernafasan'!P21</x:f>
        <x:v>48.01354941244462</x:v>
      </x:c>
      <x:c r="M94" s="12" t="n">
        <x:f>'SIM_16_Paru_Pernafasan'!$B$7</x:f>
        <x:v>95447092900</x:v>
      </x:c>
      <x:c r="N94" s="12" t="n">
        <x:f>'SIM_16_Paru_Pernafasan'!D21+'SIM_16_Paru_Pernafasan'!G21</x:f>
        <x:v>1585244247828.3884</x:v>
      </x:c>
      <x:c r="O94" s="12" t="n">
        <x:f>'SIM_16_Paru_Pernafasan'!J21+'SIM_16_Paru_Pernafasan'!M21</x:f>
        <x:v>24379425880</x:v>
      </x:c>
      <x:c r="P94" s="12" t="n">
        <x:f>'SIM_16_Paru_Pernafasan'!Q21</x:f>
        <x:v>1560864821948.3884</x:v>
      </x:c>
      <x:c r="Q94" s="12" t="n">
        <x:f>'SIM_16_Paru_Pernafasan'!R21</x:f>
        <x:v>1656311914848.3884</x:v>
      </x:c>
      <x:c r="R94" s="32" t="n">
        <x:f>'SIM_16_Paru_Pernafasan'!S21</x:f>
        <x:v>16.35319394781052</x:v>
      </x:c>
    </x:row>
    <x:row r="95">
      <x:c r="A95" s="8">
        <x:v>16</x:v>
      </x:c>
      <x:c r="B95" s="7" t="str">
        <x:v>PARU DAN PERNAFASAN</x:v>
      </x:c>
      <x:c r="C95" s="7" t="str">
        <x:v>Paru &amp; Pernafasan</x:v>
      </x:c>
      <x:c r="D95" s="7" t="str">
        <x:v>SIM_16_Paru_Pernafasan</x:v>
      </x:c>
      <x:c r="E95" s="7" t="str">
        <x:v>Utama</x:v>
      </x:c>
      <x:c r="F95" s="8">
        <x:v>4</x:v>
      </x:c>
      <x:c r="G95" s="11" t="n">
        <x:f>'SIM_16_Paru_Pernafasan'!$B$6</x:f>
        <x:v>10382</x:v>
      </x:c>
      <x:c r="H95" s="11" t="n">
        <x:f>'SIM_16_Paru_Pernafasan'!C22+'SIM_16_Paru_Pernafasan'!F22</x:f>
        <x:v>735883.77</x:v>
      </x:c>
      <x:c r="I95" s="11" t="n">
        <x:f>'SIM_16_Paru_Pernafasan'!I22+'SIM_16_Paru_Pernafasan'!L22</x:f>
        <x:v>3314</x:v>
      </x:c>
      <x:c r="J95" s="11" t="n">
        <x:f>'SIM_16_Paru_Pernafasan'!N22</x:f>
        <x:v>732569.77</x:v>
      </x:c>
      <x:c r="K95" s="11" t="n">
        <x:f>'SIM_16_Paru_Pernafasan'!O22</x:f>
        <x:v>742951.77</x:v>
      </x:c>
      <x:c r="L95" s="32" t="n">
        <x:f>'SIM_16_Paru_Pernafasan'!P22</x:f>
        <x:v>70.56152668079368</x:v>
      </x:c>
      <x:c r="M95" s="12" t="n">
        <x:f>'SIM_16_Paru_Pernafasan'!$B$7</x:f>
        <x:v>95447092900</x:v>
      </x:c>
      <x:c r="N95" s="12" t="n">
        <x:f>'SIM_16_Paru_Pernafasan'!D22+'SIM_16_Paru_Pernafasan'!G22</x:f>
        <x:v>2317230010343.3057</x:v>
      </x:c>
      <x:c r="O95" s="12" t="n">
        <x:f>'SIM_16_Paru_Pernafasan'!J22+'SIM_16_Paru_Pernafasan'!M22</x:f>
        <x:v>24716122420</x:v>
      </x:c>
      <x:c r="P95" s="12" t="n">
        <x:f>'SIM_16_Paru_Pernafasan'!Q22</x:f>
        <x:v>2292513887923.3057</x:v>
      </x:c>
      <x:c r="Q95" s="12" t="n">
        <x:f>'SIM_16_Paru_Pernafasan'!R22</x:f>
        <x:v>2387960980823.3057</x:v>
      </x:c>
      <x:c r="R95" s="32" t="n">
        <x:f>'SIM_16_Paru_Pernafasan'!S22</x:f>
        <x:v>24.018687403346842</x:v>
      </x:c>
    </x:row>
    <x:row r="96">
      <x:c r="A96" s="8">
        <x:v>16</x:v>
      </x:c>
      <x:c r="B96" s="7" t="str">
        <x:v>PARU DAN PERNAFASAN</x:v>
      </x:c>
      <x:c r="C96" s="7" t="str">
        <x:v>Paru &amp; Pernafasan</x:v>
      </x:c>
      <x:c r="D96" s="7" t="str">
        <x:v>SIM_16_Paru_Pernafasan</x:v>
      </x:c>
      <x:c r="E96" s="7" t="str">
        <x:v>Utama</x:v>
      </x:c>
      <x:c r="F96" s="8">
        <x:v>5</x:v>
      </x:c>
      <x:c r="G96" s="11" t="n">
        <x:f>'SIM_16_Paru_Pernafasan'!$B$6</x:f>
        <x:v>10382</x:v>
      </x:c>
      <x:c r="H96" s="11" t="n">
        <x:f>'SIM_16_Paru_Pernafasan'!C23+'SIM_16_Paru_Pernafasan'!F23</x:f>
        <x:v>970208.3699999999</x:v>
      </x:c>
      <x:c r="I96" s="11" t="n">
        <x:f>'SIM_16_Paru_Pernafasan'!I23+'SIM_16_Paru_Pernafasan'!L23</x:f>
        <x:v>3545.5</x:v>
      </x:c>
      <x:c r="J96" s="11" t="n">
        <x:f>'SIM_16_Paru_Pernafasan'!N23</x:f>
        <x:v>966662.8699999999</x:v>
      </x:c>
      <x:c r="K96" s="11" t="n">
        <x:f>'SIM_16_Paru_Pernafasan'!O23</x:f>
        <x:v>977044.8699999999</x:v>
      </x:c>
      <x:c r="L96" s="32" t="n">
        <x:f>'SIM_16_Paru_Pernafasan'!P23</x:f>
        <x:v>93.10950394914273</x:v>
      </x:c>
      <x:c r="M96" s="12" t="n">
        <x:f>'SIM_16_Paru_Pernafasan'!$B$7</x:f>
        <x:v>95447092900</x:v>
      </x:c>
      <x:c r="N96" s="12" t="n">
        <x:f>'SIM_16_Paru_Pernafasan'!D23+'SIM_16_Paru_Pernafasan'!G23</x:f>
        <x:v>3049215772858.2227</x:v>
      </x:c>
      <x:c r="O96" s="12" t="n">
        <x:f>'SIM_16_Paru_Pernafasan'!J23+'SIM_16_Paru_Pernafasan'!M23</x:f>
        <x:v>25052818960</x:v>
      </x:c>
      <x:c r="P96" s="12" t="n">
        <x:f>'SIM_16_Paru_Pernafasan'!Q23</x:f>
        <x:v>3024162953898.2227</x:v>
      </x:c>
      <x:c r="Q96" s="12" t="n">
        <x:f>'SIM_16_Paru_Pernafasan'!R23</x:f>
        <x:v>3119610046798.2227</x:v>
      </x:c>
      <x:c r="R96" s="32" t="n">
        <x:f>'SIM_16_Paru_Pernafasan'!S23</x:f>
        <x:v>31.68418085888316</x:v>
      </x:c>
    </x:row>
    <x:row r="97">
      <x:c r="A97" s="8">
        <x:v>16</x:v>
      </x:c>
      <x:c r="B97" s="7" t="str">
        <x:v>PARU DAN PERNAFASAN</x:v>
      </x:c>
      <x:c r="C97" s="7" t="str">
        <x:v>Paru &amp; Pernafasan</x:v>
      </x:c>
      <x:c r="D97" s="7" t="str">
        <x:v>SIM_16_Paru_Pernafasan</x:v>
      </x:c>
      <x:c r="E97" s="7" t="str">
        <x:v>Utama</x:v>
      </x:c>
      <x:c r="F97" s="8">
        <x:v>6</x:v>
      </x:c>
      <x:c r="G97" s="11" t="n">
        <x:f>'SIM_16_Paru_Pernafasan'!$B$6</x:f>
        <x:v>10382</x:v>
      </x:c>
      <x:c r="H97" s="11" t="n">
        <x:f>'SIM_16_Paru_Pernafasan'!C24+'SIM_16_Paru_Pernafasan'!F24</x:f>
        <x:v>1204532.97</x:v>
      </x:c>
      <x:c r="I97" s="11" t="n">
        <x:f>'SIM_16_Paru_Pernafasan'!I24+'SIM_16_Paru_Pernafasan'!L24</x:f>
        <x:v>3777</x:v>
      </x:c>
      <x:c r="J97" s="11" t="n">
        <x:f>'SIM_16_Paru_Pernafasan'!N24</x:f>
        <x:v>1200755.97</x:v>
      </x:c>
      <x:c r="K97" s="11" t="n">
        <x:f>'SIM_16_Paru_Pernafasan'!O24</x:f>
        <x:v>1211137.97</x:v>
      </x:c>
      <x:c r="L97" s="32" t="n">
        <x:f>'SIM_16_Paru_Pernafasan'!P24</x:f>
        <x:v>115.6574812174918</x:v>
      </x:c>
      <x:c r="M97" s="12" t="n">
        <x:f>'SIM_16_Paru_Pernafasan'!$B$7</x:f>
        <x:v>95447092900</x:v>
      </x:c>
      <x:c r="N97" s="12" t="n">
        <x:f>'SIM_16_Paru_Pernafasan'!D24+'SIM_16_Paru_Pernafasan'!G24</x:f>
        <x:v>3781201535373.1406</x:v>
      </x:c>
      <x:c r="O97" s="12" t="n">
        <x:f>'SIM_16_Paru_Pernafasan'!J24+'SIM_16_Paru_Pernafasan'!M24</x:f>
        <x:v>25389515500</x:v>
      </x:c>
      <x:c r="P97" s="12" t="n">
        <x:f>'SIM_16_Paru_Pernafasan'!Q24</x:f>
        <x:v>3755812019873.1406</x:v>
      </x:c>
      <x:c r="Q97" s="12" t="n">
        <x:f>'SIM_16_Paru_Pernafasan'!R24</x:f>
        <x:v>3851259112773.1406</x:v>
      </x:c>
      <x:c r="R97" s="32" t="n">
        <x:f>'SIM_16_Paru_Pernafasan'!S24</x:f>
        <x:v>39.34967431441949</x:v>
      </x:c>
    </x:row>
    <x:row r="98">
      <x:c r="A98" s="8">
        <x:v>17</x:v>
      </x:c>
      <x:c r="B98" s="7" t="str">
        <x:v>PENCERNAAN DAN HEPATOBILIER</x:v>
      </x:c>
      <x:c r="C98" s="7" t="str">
        <x:v>Pencernaan &amp; Hepatobilier</x:v>
      </x:c>
      <x:c r="D98" s="7" t="str">
        <x:v>SIM_17_Pencernaan_Hepatobilier</x:v>
      </x:c>
      <x:c r="E98" s="7" t="str">
        <x:v>Paripurna</x:v>
      </x:c>
      <x:c r="F98" s="8">
        <x:v>1</x:v>
      </x:c>
      <x:c r="G98" s="11" t="n">
        <x:f>'SIM_17_Pencernaan_Hepatobilier'!$B$6</x:f>
        <x:v>33972</x:v>
      </x:c>
      <x:c r="H98" s="11" t="n">
        <x:f>'SIM_17_Pencernaan_Hepatobilier'!C19+'SIM_17_Pencernaan_Hepatobilier'!F19</x:f>
        <x:v>51496.013999999996</x:v>
      </x:c>
      <x:c r="I98" s="11" t="n">
        <x:f>'SIM_17_Pencernaan_Hepatobilier'!I19+'SIM_17_Pencernaan_Hepatobilier'!L19</x:f>
        <x:v>11038.5</x:v>
      </x:c>
      <x:c r="J98" s="11" t="n">
        <x:f>'SIM_17_Pencernaan_Hepatobilier'!N19</x:f>
        <x:v>40457.513999999996</x:v>
      </x:c>
      <x:c r="K98" s="11" t="n">
        <x:f>'SIM_17_Pencernaan_Hepatobilier'!O19</x:f>
        <x:v>74429.514</x:v>
      </x:c>
      <x:c r="L98" s="32" t="n">
        <x:f>'SIM_17_Pencernaan_Hepatobilier'!P19</x:f>
        <x:v>1.190907629812787</x:v>
      </x:c>
      <x:c r="M98" s="12" t="n">
        <x:f>'SIM_17_Pencernaan_Hepatobilier'!$B$7</x:f>
        <x:v>66698404400</x:v>
      </x:c>
      <x:c r="N98" s="12" t="n">
        <x:f>'SIM_17_Pencernaan_Hepatobilier'!D19+'SIM_17_Pencernaan_Hepatobilier'!G19</x:f>
        <x:v>165768495047.2608</x:v>
      </x:c>
      <x:c r="O98" s="12" t="n">
        <x:f>'SIM_17_Pencernaan_Hepatobilier'!J19+'SIM_17_Pencernaan_Hepatobilier'!M19</x:f>
        <x:v>10509255700</x:v>
      </x:c>
      <x:c r="P98" s="12" t="n">
        <x:f>'SIM_17_Pencernaan_Hepatobilier'!Q19</x:f>
        <x:v>155259239347.2608</x:v>
      </x:c>
      <x:c r="Q98" s="12" t="n">
        <x:f>'SIM_17_Pencernaan_Hepatobilier'!R19</x:f>
        <x:v>221957643747.2608</x:v>
      </x:c>
      <x:c r="R98" s="32" t="n">
        <x:f>'SIM_17_Pencernaan_Hepatobilier'!S19</x:f>
        <x:v>2.3277804130987696</x:v>
      </x:c>
    </x:row>
    <x:row r="99">
      <x:c r="A99" s="8">
        <x:v>17</x:v>
      </x:c>
      <x:c r="B99" s="7" t="str">
        <x:v>PENCERNAAN DAN HEPATOBILIER</x:v>
      </x:c>
      <x:c r="C99" s="7" t="str">
        <x:v>Pencernaan &amp; Hepatobilier</x:v>
      </x:c>
      <x:c r="D99" s="7" t="str">
        <x:v>SIM_17_Pencernaan_Hepatobilier</x:v>
      </x:c>
      <x:c r="E99" s="7" t="str">
        <x:v>Paripurna</x:v>
      </x:c>
      <x:c r="F99" s="8">
        <x:v>2</x:v>
      </x:c>
      <x:c r="G99" s="11" t="n">
        <x:f>'SIM_17_Pencernaan_Hepatobilier'!$B$6</x:f>
        <x:v>33972</x:v>
      </x:c>
      <x:c r="H99" s="11" t="n">
        <x:f>'SIM_17_Pencernaan_Hepatobilier'!C20+'SIM_17_Pencernaan_Hepatobilier'!F20</x:f>
        <x:v>125074.114</x:v>
      </x:c>
      <x:c r="I99" s="11" t="n">
        <x:f>'SIM_17_Pencernaan_Hepatobilier'!I20+'SIM_17_Pencernaan_Hepatobilier'!L20</x:f>
        <x:v>13246.2</x:v>
      </x:c>
      <x:c r="J99" s="11" t="n">
        <x:f>'SIM_17_Pencernaan_Hepatobilier'!N20</x:f>
        <x:v>111827.914</x:v>
      </x:c>
      <x:c r="K99" s="11" t="n">
        <x:f>'SIM_17_Pencernaan_Hepatobilier'!O20</x:f>
        <x:v>145799.914</x:v>
      </x:c>
      <x:c r="L99" s="32" t="n">
        <x:f>'SIM_17_Pencernaan_Hepatobilier'!P20</x:f>
        <x:v>3.2917671611915695</x:v>
      </x:c>
      <x:c r="M99" s="12" t="n">
        <x:f>'SIM_17_Pencernaan_Hepatobilier'!$B$7</x:f>
        <x:v>66698404400</x:v>
      </x:c>
      <x:c r="N99" s="12" t="n">
        <x:f>'SIM_17_Pencernaan_Hepatobilier'!D20+'SIM_17_Pencernaan_Hepatobilier'!G20</x:f>
        <x:v>398371922980.29364</x:v>
      </x:c>
      <x:c r="O99" s="12" t="n">
        <x:f>'SIM_17_Pencernaan_Hepatobilier'!J20+'SIM_17_Pencernaan_Hepatobilier'!M20</x:f>
        <x:v>12611106840</x:v>
      </x:c>
      <x:c r="P99" s="12" t="n">
        <x:f>'SIM_17_Pencernaan_Hepatobilier'!Q20</x:f>
        <x:v>385760816140.29364</x:v>
      </x:c>
      <x:c r="Q99" s="12" t="n">
        <x:f>'SIM_17_Pencernaan_Hepatobilier'!R20</x:f>
        <x:v>452459220540.29364</x:v>
      </x:c>
      <x:c r="R99" s="32" t="n">
        <x:f>'SIM_17_Pencernaan_Hepatobilier'!S20</x:f>
        <x:v>5.783658838775664</x:v>
      </x:c>
    </x:row>
    <x:row r="100">
      <x:c r="A100" s="8">
        <x:v>17</x:v>
      </x:c>
      <x:c r="B100" s="7" t="str">
        <x:v>PENCERNAAN DAN HEPATOBILIER</x:v>
      </x:c>
      <x:c r="C100" s="7" t="str">
        <x:v>Pencernaan &amp; Hepatobilier</x:v>
      </x:c>
      <x:c r="D100" s="7" t="str">
        <x:v>SIM_17_Pencernaan_Hepatobilier</x:v>
      </x:c>
      <x:c r="E100" s="7" t="str">
        <x:v>Paripurna</x:v>
      </x:c>
      <x:c r="F100" s="8">
        <x:v>3</x:v>
      </x:c>
      <x:c r="G100" s="11" t="n">
        <x:f>'SIM_17_Pencernaan_Hepatobilier'!$B$6</x:f>
        <x:v>33972</x:v>
      </x:c>
      <x:c r="H100" s="11" t="n">
        <x:f>'SIM_17_Pencernaan_Hepatobilier'!C21+'SIM_17_Pencernaan_Hepatobilier'!F21</x:f>
        <x:v>198652.214</x:v>
      </x:c>
      <x:c r="I100" s="11" t="n">
        <x:f>'SIM_17_Pencernaan_Hepatobilier'!I21+'SIM_17_Pencernaan_Hepatobilier'!L21</x:f>
        <x:v>15453.9</x:v>
      </x:c>
      <x:c r="J100" s="11" t="n">
        <x:f>'SIM_17_Pencernaan_Hepatobilier'!N21</x:f>
        <x:v>183198.314</x:v>
      </x:c>
      <x:c r="K100" s="11" t="n">
        <x:f>'SIM_17_Pencernaan_Hepatobilier'!O21</x:f>
        <x:v>217170.314</x:v>
      </x:c>
      <x:c r="L100" s="32" t="n">
        <x:f>'SIM_17_Pencernaan_Hepatobilier'!P21</x:f>
        <x:v>5.392626692570352</x:v>
      </x:c>
      <x:c r="M100" s="12" t="n">
        <x:f>'SIM_17_Pencernaan_Hepatobilier'!$B$7</x:f>
        <x:v>66698404400</x:v>
      </x:c>
      <x:c r="N100" s="12" t="n">
        <x:f>'SIM_17_Pencernaan_Hepatobilier'!D21+'SIM_17_Pencernaan_Hepatobilier'!G21</x:f>
        <x:v>630975350913.3264</x:v>
      </x:c>
      <x:c r="O100" s="12" t="n">
        <x:f>'SIM_17_Pencernaan_Hepatobilier'!J21+'SIM_17_Pencernaan_Hepatobilier'!M21</x:f>
        <x:v>14712957980</x:v>
      </x:c>
      <x:c r="P100" s="12" t="n">
        <x:f>'SIM_17_Pencernaan_Hepatobilier'!Q21</x:f>
        <x:v>616262392933.3264</x:v>
      </x:c>
      <x:c r="Q100" s="12" t="n">
        <x:f>'SIM_17_Pencernaan_Hepatobilier'!R21</x:f>
        <x:v>682960797333.3264</x:v>
      </x:c>
      <x:c r="R100" s="32" t="n">
        <x:f>'SIM_17_Pencernaan_Hepatobilier'!S21</x:f>
        <x:v>9.239537264452558</x:v>
      </x:c>
    </x:row>
    <x:row r="101">
      <x:c r="A101" s="8">
        <x:v>17</x:v>
      </x:c>
      <x:c r="B101" s="7" t="str">
        <x:v>PENCERNAAN DAN HEPATOBILIER</x:v>
      </x:c>
      <x:c r="C101" s="7" t="str">
        <x:v>Pencernaan &amp; Hepatobilier</x:v>
      </x:c>
      <x:c r="D101" s="7" t="str">
        <x:v>SIM_17_Pencernaan_Hepatobilier</x:v>
      </x:c>
      <x:c r="E101" s="7" t="str">
        <x:v>Paripurna</x:v>
      </x:c>
      <x:c r="F101" s="8">
        <x:v>4</x:v>
      </x:c>
      <x:c r="G101" s="11" t="n">
        <x:f>'SIM_17_Pencernaan_Hepatobilier'!$B$6</x:f>
        <x:v>33972</x:v>
      </x:c>
      <x:c r="H101" s="11" t="n">
        <x:f>'SIM_17_Pencernaan_Hepatobilier'!C22+'SIM_17_Pencernaan_Hepatobilier'!F22</x:f>
        <x:v>272230.31399999995</x:v>
      </x:c>
      <x:c r="I101" s="11" t="n">
        <x:f>'SIM_17_Pencernaan_Hepatobilier'!I22+'SIM_17_Pencernaan_Hepatobilier'!L22</x:f>
        <x:v>17661.6</x:v>
      </x:c>
      <x:c r="J101" s="11" t="n">
        <x:f>'SIM_17_Pencernaan_Hepatobilier'!N22</x:f>
        <x:v>254568.71399999995</x:v>
      </x:c>
      <x:c r="K101" s="11" t="n">
        <x:f>'SIM_17_Pencernaan_Hepatobilier'!O22</x:f>
        <x:v>288540.7139999999</x:v>
      </x:c>
      <x:c r="L101" s="32" t="n">
        <x:f>'SIM_17_Pencernaan_Hepatobilier'!P22</x:f>
        <x:v>7.493486223949133</x:v>
      </x:c>
      <x:c r="M101" s="12" t="n">
        <x:f>'SIM_17_Pencernaan_Hepatobilier'!$B$7</x:f>
        <x:v>66698404400</x:v>
      </x:c>
      <x:c r="N101" s="12" t="n">
        <x:f>'SIM_17_Pencernaan_Hepatobilier'!D22+'SIM_17_Pencernaan_Hepatobilier'!G22</x:f>
        <x:v>863578778846.359</x:v>
      </x:c>
      <x:c r="O101" s="12" t="n">
        <x:f>'SIM_17_Pencernaan_Hepatobilier'!J22+'SIM_17_Pencernaan_Hepatobilier'!M22</x:f>
        <x:v>16814809120</x:v>
      </x:c>
      <x:c r="P101" s="12" t="n">
        <x:f>'SIM_17_Pencernaan_Hepatobilier'!Q22</x:f>
        <x:v>846763969726.359</x:v>
      </x:c>
      <x:c r="Q101" s="12" t="n">
        <x:f>'SIM_17_Pencernaan_Hepatobilier'!R22</x:f>
        <x:v>913462374126.359</x:v>
      </x:c>
      <x:c r="R101" s="32" t="n">
        <x:f>'SIM_17_Pencernaan_Hepatobilier'!S22</x:f>
        <x:v>12.695415690129447</x:v>
      </x:c>
    </x:row>
    <x:row r="102">
      <x:c r="A102" s="8">
        <x:v>17</x:v>
      </x:c>
      <x:c r="B102" s="7" t="str">
        <x:v>PENCERNAAN DAN HEPATOBILIER</x:v>
      </x:c>
      <x:c r="C102" s="7" t="str">
        <x:v>Pencernaan &amp; Hepatobilier</x:v>
      </x:c>
      <x:c r="D102" s="7" t="str">
        <x:v>SIM_17_Pencernaan_Hepatobilier</x:v>
      </x:c>
      <x:c r="E102" s="7" t="str">
        <x:v>Paripurna</x:v>
      </x:c>
      <x:c r="F102" s="8">
        <x:v>5</x:v>
      </x:c>
      <x:c r="G102" s="11" t="n">
        <x:f>'SIM_17_Pencernaan_Hepatobilier'!$B$6</x:f>
        <x:v>33972</x:v>
      </x:c>
      <x:c r="H102" s="11" t="n">
        <x:f>'SIM_17_Pencernaan_Hepatobilier'!C23+'SIM_17_Pencernaan_Hepatobilier'!F23</x:f>
        <x:v>345808.414</x:v>
      </x:c>
      <x:c r="I102" s="11" t="n">
        <x:f>'SIM_17_Pencernaan_Hepatobilier'!I23+'SIM_17_Pencernaan_Hepatobilier'!L23</x:f>
        <x:v>19869.3</x:v>
      </x:c>
      <x:c r="J102" s="11" t="n">
        <x:f>'SIM_17_Pencernaan_Hepatobilier'!N23</x:f>
        <x:v>325939.114</x:v>
      </x:c>
      <x:c r="K102" s="11" t="n">
        <x:f>'SIM_17_Pencernaan_Hepatobilier'!O23</x:f>
        <x:v>359911.114</x:v>
      </x:c>
      <x:c r="L102" s="32" t="n">
        <x:f>'SIM_17_Pencernaan_Hepatobilier'!P23</x:f>
        <x:v>9.594345755327916</x:v>
      </x:c>
      <x:c r="M102" s="12" t="n">
        <x:f>'SIM_17_Pencernaan_Hepatobilier'!$B$7</x:f>
        <x:v>66698404400</x:v>
      </x:c>
      <x:c r="N102" s="12" t="n">
        <x:f>'SIM_17_Pencernaan_Hepatobilier'!D23+'SIM_17_Pencernaan_Hepatobilier'!G23</x:f>
        <x:v>1096182206779.3918</x:v>
      </x:c>
      <x:c r="O102" s="12" t="n">
        <x:f>'SIM_17_Pencernaan_Hepatobilier'!J23+'SIM_17_Pencernaan_Hepatobilier'!M23</x:f>
        <x:v>18916660260</x:v>
      </x:c>
      <x:c r="P102" s="12" t="n">
        <x:f>'SIM_17_Pencernaan_Hepatobilier'!Q23</x:f>
        <x:v>1077265546519.3918</x:v>
      </x:c>
      <x:c r="Q102" s="12" t="n">
        <x:f>'SIM_17_Pencernaan_Hepatobilier'!R23</x:f>
        <x:v>1143963950919.3918</x:v>
      </x:c>
      <x:c r="R102" s="32" t="n">
        <x:f>'SIM_17_Pencernaan_Hepatobilier'!S23</x:f>
        <x:v>16.15129411580634</x:v>
      </x:c>
    </x:row>
    <x:row r="103">
      <x:c r="A103" s="8">
        <x:v>17</x:v>
      </x:c>
      <x:c r="B103" s="7" t="str">
        <x:v>PENCERNAAN DAN HEPATOBILIER</x:v>
      </x:c>
      <x:c r="C103" s="7" t="str">
        <x:v>Pencernaan &amp; Hepatobilier</x:v>
      </x:c>
      <x:c r="D103" s="7" t="str">
        <x:v>SIM_17_Pencernaan_Hepatobilier</x:v>
      </x:c>
      <x:c r="E103" s="7" t="str">
        <x:v>Paripurna</x:v>
      </x:c>
      <x:c r="F103" s="8">
        <x:v>6</x:v>
      </x:c>
      <x:c r="G103" s="11" t="n">
        <x:f>'SIM_17_Pencernaan_Hepatobilier'!$B$6</x:f>
        <x:v>33972</x:v>
      </x:c>
      <x:c r="H103" s="11" t="n">
        <x:f>'SIM_17_Pencernaan_Hepatobilier'!C24+'SIM_17_Pencernaan_Hepatobilier'!F24</x:f>
        <x:v>419386.51399999997</x:v>
      </x:c>
      <x:c r="I103" s="11" t="n">
        <x:f>'SIM_17_Pencernaan_Hepatobilier'!I24+'SIM_17_Pencernaan_Hepatobilier'!L24</x:f>
        <x:v>22077</x:v>
      </x:c>
      <x:c r="J103" s="11" t="n">
        <x:f>'SIM_17_Pencernaan_Hepatobilier'!N24</x:f>
        <x:v>397309.51399999997</x:v>
      </x:c>
      <x:c r="K103" s="11" t="n">
        <x:f>'SIM_17_Pencernaan_Hepatobilier'!O24</x:f>
        <x:v>431281.51399999997</x:v>
      </x:c>
      <x:c r="L103" s="32" t="n">
        <x:f>'SIM_17_Pencernaan_Hepatobilier'!P24</x:f>
        <x:v>11.695205286706699</x:v>
      </x:c>
      <x:c r="M103" s="12" t="n">
        <x:f>'SIM_17_Pencernaan_Hepatobilier'!$B$7</x:f>
        <x:v>66698404400</x:v>
      </x:c>
      <x:c r="N103" s="12" t="n">
        <x:f>'SIM_17_Pencernaan_Hepatobilier'!D24+'SIM_17_Pencernaan_Hepatobilier'!G24</x:f>
        <x:v>1328785634712.4246</x:v>
      </x:c>
      <x:c r="O103" s="12" t="n">
        <x:f>'SIM_17_Pencernaan_Hepatobilier'!J24+'SIM_17_Pencernaan_Hepatobilier'!M24</x:f>
        <x:v>21018511400</x:v>
      </x:c>
      <x:c r="P103" s="12" t="n">
        <x:f>'SIM_17_Pencernaan_Hepatobilier'!Q24</x:f>
        <x:v>1307767123312.4246</x:v>
      </x:c>
      <x:c r="Q103" s="12" t="n">
        <x:f>'SIM_17_Pencernaan_Hepatobilier'!R24</x:f>
        <x:v>1374465527712.4246</x:v>
      </x:c>
      <x:c r="R103" s="32" t="n">
        <x:f>'SIM_17_Pencernaan_Hepatobilier'!S24</x:f>
        <x:v>19.607172541483234</x:v>
      </x:c>
    </x:row>
    <x:row r="104">
      <x:c r="A104" s="8">
        <x:v>18</x:v>
      </x:c>
      <x:c r="B104" s="7" t="str">
        <x:v>REHABILITASI</x:v>
      </x:c>
      <x:c r="C104" s="7" t="str">
        <x:v>Rehabilitasi</x:v>
      </x:c>
      <x:c r="D104" s="7" t="str">
        <x:v>SIM_18_Rehabilitasi</x:v>
      </x:c>
      <x:c r="E104" s="7" t="str">
        <x:v>Paripurna</x:v>
      </x:c>
      <x:c r="F104" s="8">
        <x:v>1</x:v>
      </x:c>
      <x:c r="G104" s="11" t="n">
        <x:f>'SIM_18_Rehabilitasi'!$B$6</x:f>
        <x:v>11766</x:v>
      </x:c>
      <x:c r="H104" s="11" t="n">
        <x:f>'SIM_18_Rehabilitasi'!C19+'SIM_18_Rehabilitasi'!F19</x:f>
        <x:v>597475.283</x:v>
      </x:c>
      <x:c r="I104" s="11" t="n">
        <x:f>'SIM_18_Rehabilitasi'!I19+'SIM_18_Rehabilitasi'!L19</x:f>
        <x:v>4072</x:v>
      </x:c>
      <x:c r="J104" s="11" t="n">
        <x:f>'SIM_18_Rehabilitasi'!N19</x:f>
        <x:v>593403.283</x:v>
      </x:c>
      <x:c r="K104" s="11" t="n">
        <x:f>'SIM_18_Rehabilitasi'!O19</x:f>
        <x:v>605169.283</x:v>
      </x:c>
      <x:c r="L104" s="32" t="n">
        <x:f>'SIM_18_Rehabilitasi'!P19</x:f>
        <x:v>50.4337313445521</x:v>
      </x:c>
      <x:c r="M104" s="12" t="n">
        <x:f>'SIM_18_Rehabilitasi'!$B$7</x:f>
        <x:v>3078748400</x:v>
      </x:c>
      <x:c r="N104" s="12" t="n">
        <x:f>'SIM_18_Rehabilitasi'!D19+'SIM_18_Rehabilitasi'!G19</x:f>
        <x:v>135339354113.28291</x:v>
      </x:c>
      <x:c r="O104" s="12" t="n">
        <x:f>'SIM_18_Rehabilitasi'!J19+'SIM_18_Rehabilitasi'!M19</x:f>
        <x:v>1117978850</x:v>
      </x:c>
      <x:c r="P104" s="12" t="n">
        <x:f>'SIM_18_Rehabilitasi'!Q19</x:f>
        <x:v>134221375263.28291</x:v>
      </x:c>
      <x:c r="Q104" s="12" t="n">
        <x:f>'SIM_18_Rehabilitasi'!R19</x:f>
        <x:v>137300123663.28291</x:v>
      </x:c>
      <x:c r="R104" s="32" t="n">
        <x:f>'SIM_18_Rehabilitasi'!S19</x:f>
        <x:v>43.59608445538548</x:v>
      </x:c>
    </x:row>
    <x:row r="105">
      <x:c r="A105" s="8">
        <x:v>18</x:v>
      </x:c>
      <x:c r="B105" s="7" t="str">
        <x:v>REHABILITASI</x:v>
      </x:c>
      <x:c r="C105" s="7" t="str">
        <x:v>Rehabilitasi</x:v>
      </x:c>
      <x:c r="D105" s="7" t="str">
        <x:v>SIM_18_Rehabilitasi</x:v>
      </x:c>
      <x:c r="E105" s="7" t="str">
        <x:v>Paripurna</x:v>
      </x:c>
      <x:c r="F105" s="8">
        <x:v>2</x:v>
      </x:c>
      <x:c r="G105" s="11" t="n">
        <x:f>'SIM_18_Rehabilitasi'!$B$6</x:f>
        <x:v>11766</x:v>
      </x:c>
      <x:c r="H105" s="11" t="n">
        <x:f>'SIM_18_Rehabilitasi'!C20+'SIM_18_Rehabilitasi'!F20</x:f>
        <x:v>805436.583</x:v>
      </x:c>
      <x:c r="I105" s="11" t="n">
        <x:f>'SIM_18_Rehabilitasi'!I20+'SIM_18_Rehabilitasi'!L20</x:f>
        <x:v>4886.4</x:v>
      </x:c>
      <x:c r="J105" s="11" t="n">
        <x:f>'SIM_18_Rehabilitasi'!N20</x:f>
        <x:v>800550.183</x:v>
      </x:c>
      <x:c r="K105" s="11" t="n">
        <x:f>'SIM_18_Rehabilitasi'!O20</x:f>
        <x:v>812316.183</x:v>
      </x:c>
      <x:c r="L105" s="32" t="n">
        <x:f>'SIM_18_Rehabilitasi'!P20</x:f>
        <x:v>68.03928123406425</x:v>
      </x:c>
      <x:c r="M105" s="12" t="n">
        <x:f>'SIM_18_Rehabilitasi'!$B$7</x:f>
        <x:v>3078748400</x:v>
      </x:c>
      <x:c r="N105" s="12" t="n">
        <x:f>'SIM_18_Rehabilitasi'!D20+'SIM_18_Rehabilitasi'!G20</x:f>
        <x:v>179933086980.4548</x:v>
      </x:c>
      <x:c r="O105" s="12" t="n">
        <x:f>'SIM_18_Rehabilitasi'!J20+'SIM_18_Rehabilitasi'!M20</x:f>
        <x:v>1341574620</x:v>
      </x:c>
      <x:c r="P105" s="12" t="n">
        <x:f>'SIM_18_Rehabilitasi'!Q20</x:f>
        <x:v>178591512360.4548</x:v>
      </x:c>
      <x:c r="Q105" s="12" t="n">
        <x:f>'SIM_18_Rehabilitasi'!R20</x:f>
        <x:v>181670260760.4548</x:v>
      </x:c>
      <x:c r="R105" s="32" t="n">
        <x:f>'SIM_18_Rehabilitasi'!S20</x:f>
        <x:v>58.007829532434286</x:v>
      </x:c>
    </x:row>
    <x:row r="106">
      <x:c r="A106" s="8">
        <x:v>18</x:v>
      </x:c>
      <x:c r="B106" s="7" t="str">
        <x:v>REHABILITASI</x:v>
      </x:c>
      <x:c r="C106" s="7" t="str">
        <x:v>Rehabilitasi</x:v>
      </x:c>
      <x:c r="D106" s="7" t="str">
        <x:v>SIM_18_Rehabilitasi</x:v>
      </x:c>
      <x:c r="E106" s="7" t="str">
        <x:v>Paripurna</x:v>
      </x:c>
      <x:c r="F106" s="8">
        <x:v>3</x:v>
      </x:c>
      <x:c r="G106" s="11" t="n">
        <x:f>'SIM_18_Rehabilitasi'!$B$6</x:f>
        <x:v>11766</x:v>
      </x:c>
      <x:c r="H106" s="11" t="n">
        <x:f>'SIM_18_Rehabilitasi'!C21+'SIM_18_Rehabilitasi'!F21</x:f>
        <x:v>1013397.8829999999</x:v>
      </x:c>
      <x:c r="I106" s="11" t="n">
        <x:f>'SIM_18_Rehabilitasi'!I21+'SIM_18_Rehabilitasi'!L21</x:f>
        <x:v>5700.799999999999</x:v>
      </x:c>
      <x:c r="J106" s="11" t="n">
        <x:f>'SIM_18_Rehabilitasi'!N21</x:f>
        <x:v>1007697.0829999999</x:v>
      </x:c>
      <x:c r="K106" s="11" t="n">
        <x:f>'SIM_18_Rehabilitasi'!O21</x:f>
        <x:v>1019463.0829999999</x:v>
      </x:c>
      <x:c r="L106" s="32" t="n">
        <x:f>'SIM_18_Rehabilitasi'!P21</x:f>
        <x:v>85.6448311235764</x:v>
      </x:c>
      <x:c r="M106" s="12" t="n">
        <x:f>'SIM_18_Rehabilitasi'!$B$7</x:f>
        <x:v>3078748400</x:v>
      </x:c>
      <x:c r="N106" s="12" t="n">
        <x:f>'SIM_18_Rehabilitasi'!D21+'SIM_18_Rehabilitasi'!G21</x:f>
        <x:v>224526819847.6267</x:v>
      </x:c>
      <x:c r="O106" s="12" t="n">
        <x:f>'SIM_18_Rehabilitasi'!J21+'SIM_18_Rehabilitasi'!M21</x:f>
        <x:v>1565170390</x:v>
      </x:c>
      <x:c r="P106" s="12" t="n">
        <x:f>'SIM_18_Rehabilitasi'!Q21</x:f>
        <x:v>222961649457.6267</x:v>
      </x:c>
      <x:c r="Q106" s="12" t="n">
        <x:f>'SIM_18_Rehabilitasi'!R21</x:f>
        <x:v>226040397857.6267</x:v>
      </x:c>
      <x:c r="R106" s="32" t="n">
        <x:f>'SIM_18_Rehabilitasi'!S21</x:f>
        <x:v>72.41957460948309</x:v>
      </x:c>
    </x:row>
    <x:row r="107">
      <x:c r="A107" s="8">
        <x:v>18</x:v>
      </x:c>
      <x:c r="B107" s="7" t="str">
        <x:v>REHABILITASI</x:v>
      </x:c>
      <x:c r="C107" s="7" t="str">
        <x:v>Rehabilitasi</x:v>
      </x:c>
      <x:c r="D107" s="7" t="str">
        <x:v>SIM_18_Rehabilitasi</x:v>
      </x:c>
      <x:c r="E107" s="7" t="str">
        <x:v>Paripurna</x:v>
      </x:c>
      <x:c r="F107" s="8">
        <x:v>4</x:v>
      </x:c>
      <x:c r="G107" s="11" t="n">
        <x:f>'SIM_18_Rehabilitasi'!$B$6</x:f>
        <x:v>11766</x:v>
      </x:c>
      <x:c r="H107" s="11" t="n">
        <x:f>'SIM_18_Rehabilitasi'!C22+'SIM_18_Rehabilitasi'!F22</x:f>
        <x:v>1221359.1830000002</x:v>
      </x:c>
      <x:c r="I107" s="11" t="n">
        <x:f>'SIM_18_Rehabilitasi'!I22+'SIM_18_Rehabilitasi'!L22</x:f>
        <x:v>6515.200000000001</x:v>
      </x:c>
      <x:c r="J107" s="11" t="n">
        <x:f>'SIM_18_Rehabilitasi'!N22</x:f>
        <x:v>1214843.9830000002</x:v>
      </x:c>
      <x:c r="K107" s="11" t="n">
        <x:f>'SIM_18_Rehabilitasi'!O22</x:f>
        <x:v>1226609.9830000002</x:v>
      </x:c>
      <x:c r="L107" s="32" t="n">
        <x:f>'SIM_18_Rehabilitasi'!P22</x:f>
        <x:v>103.25038101308859</x:v>
      </x:c>
      <x:c r="M107" s="12" t="n">
        <x:f>'SIM_18_Rehabilitasi'!$B$7</x:f>
        <x:v>3078748400</x:v>
      </x:c>
      <x:c r="N107" s="12" t="n">
        <x:f>'SIM_18_Rehabilitasi'!D22+'SIM_18_Rehabilitasi'!G22</x:f>
        <x:v>269120552714.79865</x:v>
      </x:c>
      <x:c r="O107" s="12" t="n">
        <x:f>'SIM_18_Rehabilitasi'!J22+'SIM_18_Rehabilitasi'!M22</x:f>
        <x:v>1788766160</x:v>
      </x:c>
      <x:c r="P107" s="12" t="n">
        <x:f>'SIM_18_Rehabilitasi'!Q22</x:f>
        <x:v>267331786554.79865</x:v>
      </x:c>
      <x:c r="Q107" s="12" t="n">
        <x:f>'SIM_18_Rehabilitasi'!R22</x:f>
        <x:v>270410534954.79865</x:v>
      </x:c>
      <x:c r="R107" s="32" t="n">
        <x:f>'SIM_18_Rehabilitasi'!S22</x:f>
        <x:v>86.83131968653191</x:v>
      </x:c>
    </x:row>
    <x:row r="108">
      <x:c r="A108" s="8">
        <x:v>18</x:v>
      </x:c>
      <x:c r="B108" s="7" t="str">
        <x:v>REHABILITASI</x:v>
      </x:c>
      <x:c r="C108" s="7" t="str">
        <x:v>Rehabilitasi</x:v>
      </x:c>
      <x:c r="D108" s="7" t="str">
        <x:v>SIM_18_Rehabilitasi</x:v>
      </x:c>
      <x:c r="E108" s="7" t="str">
        <x:v>Paripurna</x:v>
      </x:c>
      <x:c r="F108" s="8">
        <x:v>5</x:v>
      </x:c>
      <x:c r="G108" s="11" t="n">
        <x:f>'SIM_18_Rehabilitasi'!$B$6</x:f>
        <x:v>11766</x:v>
      </x:c>
      <x:c r="H108" s="11" t="n">
        <x:f>'SIM_18_Rehabilitasi'!C23+'SIM_18_Rehabilitasi'!F23</x:f>
        <x:v>1429320.483</x:v>
      </x:c>
      <x:c r="I108" s="11" t="n">
        <x:f>'SIM_18_Rehabilitasi'!I23+'SIM_18_Rehabilitasi'!L23</x:f>
        <x:v>7329.6</x:v>
      </x:c>
      <x:c r="J108" s="11" t="n">
        <x:f>'SIM_18_Rehabilitasi'!N23</x:f>
        <x:v>1421990.883</x:v>
      </x:c>
      <x:c r="K108" s="11" t="n">
        <x:f>'SIM_18_Rehabilitasi'!O23</x:f>
        <x:v>1433756.883</x:v>
      </x:c>
      <x:c r="L108" s="32" t="n">
        <x:f>'SIM_18_Rehabilitasi'!P23</x:f>
        <x:v>120.8559309026007</x:v>
      </x:c>
      <x:c r="M108" s="12" t="n">
        <x:f>'SIM_18_Rehabilitasi'!$B$7</x:f>
        <x:v>3078748400</x:v>
      </x:c>
      <x:c r="N108" s="12" t="n">
        <x:f>'SIM_18_Rehabilitasi'!D23+'SIM_18_Rehabilitasi'!G23</x:f>
        <x:v>313714285581.9705</x:v>
      </x:c>
      <x:c r="O108" s="12" t="n">
        <x:f>'SIM_18_Rehabilitasi'!J23+'SIM_18_Rehabilitasi'!M23</x:f>
        <x:v>2012361930</x:v>
      </x:c>
      <x:c r="P108" s="12" t="n">
        <x:f>'SIM_18_Rehabilitasi'!Q23</x:f>
        <x:v>311701923651.9705</x:v>
      </x:c>
      <x:c r="Q108" s="12" t="n">
        <x:f>'SIM_18_Rehabilitasi'!R23</x:f>
        <x:v>314780672051.9705</x:v>
      </x:c>
      <x:c r="R108" s="32" t="n">
        <x:f>'SIM_18_Rehabilitasi'!S23</x:f>
        <x:v>101.24306476358072</x:v>
      </x:c>
    </x:row>
    <x:row r="109">
      <x:c r="A109" s="8">
        <x:v>18</x:v>
      </x:c>
      <x:c r="B109" s="7" t="str">
        <x:v>REHABILITASI</x:v>
      </x:c>
      <x:c r="C109" s="7" t="str">
        <x:v>Rehabilitasi</x:v>
      </x:c>
      <x:c r="D109" s="7" t="str">
        <x:v>SIM_18_Rehabilitasi</x:v>
      </x:c>
      <x:c r="E109" s="7" t="str">
        <x:v>Paripurna</x:v>
      </x:c>
      <x:c r="F109" s="8">
        <x:v>6</x:v>
      </x:c>
      <x:c r="G109" s="11" t="n">
        <x:f>'SIM_18_Rehabilitasi'!$B$6</x:f>
        <x:v>11766</x:v>
      </x:c>
      <x:c r="H109" s="11" t="n">
        <x:f>'SIM_18_Rehabilitasi'!C24+'SIM_18_Rehabilitasi'!F24</x:f>
        <x:v>1637281.783</x:v>
      </x:c>
      <x:c r="I109" s="11" t="n">
        <x:f>'SIM_18_Rehabilitasi'!I24+'SIM_18_Rehabilitasi'!L24</x:f>
        <x:v>8144</x:v>
      </x:c>
      <x:c r="J109" s="11" t="n">
        <x:f>'SIM_18_Rehabilitasi'!N24</x:f>
        <x:v>1629137.783</x:v>
      </x:c>
      <x:c r="K109" s="11" t="n">
        <x:f>'SIM_18_Rehabilitasi'!O24</x:f>
        <x:v>1640903.783</x:v>
      </x:c>
      <x:c r="L109" s="32" t="n">
        <x:f>'SIM_18_Rehabilitasi'!P24</x:f>
        <x:v>138.46148079211287</x:v>
      </x:c>
      <x:c r="M109" s="12" t="n">
        <x:f>'SIM_18_Rehabilitasi'!$B$7</x:f>
        <x:v>3078748400</x:v>
      </x:c>
      <x:c r="N109" s="12" t="n">
        <x:f>'SIM_18_Rehabilitasi'!D24+'SIM_18_Rehabilitasi'!G24</x:f>
        <x:v>358308018449.14246</x:v>
      </x:c>
      <x:c r="O109" s="12" t="n">
        <x:f>'SIM_18_Rehabilitasi'!J24+'SIM_18_Rehabilitasi'!M24</x:f>
        <x:v>2235957700</x:v>
      </x:c>
      <x:c r="P109" s="12" t="n">
        <x:f>'SIM_18_Rehabilitasi'!Q24</x:f>
        <x:v>356072060749.14246</x:v>
      </x:c>
      <x:c r="Q109" s="12" t="n">
        <x:f>'SIM_18_Rehabilitasi'!R24</x:f>
        <x:v>359150809149.14246</x:v>
      </x:c>
      <x:c r="R109" s="32" t="n">
        <x:f>'SIM_18_Rehabilitasi'!S24</x:f>
        <x:v>115.65480984062954</x:v>
      </x:c>
    </x:row>
    <x:row r="110">
      <x:c r="A110" s="8">
        <x:v>19</x:v>
      </x:c>
      <x:c r="B110" s="7" t="str">
        <x:v>REKONSTRUKSI DAN ESTETIKA</x:v>
      </x:c>
      <x:c r="C110" s="7" t="str">
        <x:v>Rekonstruksi &amp; Estetika</x:v>
      </x:c>
      <x:c r="D110" s="7" t="str">
        <x:v>SIM_19_Rekonstruksi_Estetika</x:v>
      </x:c>
      <x:c r="E110" s="7" t="str">
        <x:v>Paripurna</x:v>
      </x:c>
      <x:c r="F110" s="8">
        <x:v>1</x:v>
      </x:c>
      <x:c r="G110" s="11" t="n">
        <x:f>'SIM_19_Rekonstruksi_Estetika'!$B$6</x:f>
        <x:v>1530</x:v>
      </x:c>
      <x:c r="H110" s="11" t="n">
        <x:f>'SIM_19_Rekonstruksi_Estetika'!C19+'SIM_19_Rekonstruksi_Estetika'!F19</x:f>
        <x:v>1241.04</x:v>
      </x:c>
      <x:c r="I110" s="11" t="n">
        <x:f>'SIM_19_Rekonstruksi_Estetika'!I19+'SIM_19_Rekonstruksi_Estetika'!L19</x:f>
        <x:v>563</x:v>
      </x:c>
      <x:c r="J110" s="11" t="n">
        <x:f>'SIM_19_Rekonstruksi_Estetika'!N19</x:f>
        <x:v>678.04</x:v>
      </x:c>
      <x:c r="K110" s="11" t="n">
        <x:f>'SIM_19_Rekonstruksi_Estetika'!O19</x:f>
        <x:v>2208.04</x:v>
      </x:c>
      <x:c r="L110" s="32" t="n">
        <x:f>'SIM_19_Rekonstruksi_Estetika'!P19</x:f>
        <x:v>0.4431633986928104</x:v>
      </x:c>
      <x:c r="M110" s="12" t="n">
        <x:f>'SIM_19_Rekonstruksi_Estetika'!$B$7</x:f>
        <x:v>12143465900</x:v>
      </x:c>
      <x:c r="N110" s="12" t="n">
        <x:f>'SIM_19_Rekonstruksi_Estetika'!D19+'SIM_19_Rekonstruksi_Estetika'!G19</x:f>
        <x:v>7168938968.476599</x:v>
      </x:c>
      <x:c r="O110" s="12" t="n">
        <x:f>'SIM_19_Rekonstruksi_Estetika'!J19+'SIM_19_Rekonstruksi_Estetika'!M19</x:f>
        <x:v>3994979450</x:v>
      </x:c>
      <x:c r="P110" s="12" t="n">
        <x:f>'SIM_19_Rekonstruksi_Estetika'!Q19</x:f>
        <x:v>3173959518.4765987</x:v>
      </x:c>
      <x:c r="Q110" s="12" t="n">
        <x:f>'SIM_19_Rekonstruksi_Estetika'!R19</x:f>
        <x:v>15317425418.476599</x:v>
      </x:c>
      <x:c r="R110" s="32" t="n">
        <x:f>'SIM_19_Rekonstruksi_Estetika'!S19</x:f>
        <x:v>0.2613717981846187</x:v>
      </x:c>
    </x:row>
    <x:row r="111">
      <x:c r="A111" s="8">
        <x:v>19</x:v>
      </x:c>
      <x:c r="B111" s="7" t="str">
        <x:v>REKONSTRUKSI DAN ESTETIKA</x:v>
      </x:c>
      <x:c r="C111" s="7" t="str">
        <x:v>Rekonstruksi &amp; Estetika</x:v>
      </x:c>
      <x:c r="D111" s="7" t="str">
        <x:v>SIM_19_Rekonstruksi_Estetika</x:v>
      </x:c>
      <x:c r="E111" s="7" t="str">
        <x:v>Paripurna</x:v>
      </x:c>
      <x:c r="F111" s="8">
        <x:v>2</x:v>
      </x:c>
      <x:c r="G111" s="11" t="n">
        <x:f>'SIM_19_Rekonstruksi_Estetika'!$B$6</x:f>
        <x:v>1530</x:v>
      </x:c>
      <x:c r="H111" s="11" t="n">
        <x:f>'SIM_19_Rekonstruksi_Estetika'!C20+'SIM_19_Rekonstruksi_Estetika'!F20</x:f>
        <x:v>6540.64</x:v>
      </x:c>
      <x:c r="I111" s="11" t="n">
        <x:f>'SIM_19_Rekonstruksi_Estetika'!I20+'SIM_19_Rekonstruksi_Estetika'!L20</x:f>
        <x:v>675.5999999999999</x:v>
      </x:c>
      <x:c r="J111" s="11" t="n">
        <x:f>'SIM_19_Rekonstruksi_Estetika'!N20</x:f>
        <x:v>5865.040000000001</x:v>
      </x:c>
      <x:c r="K111" s="11" t="n">
        <x:f>'SIM_19_Rekonstruksi_Estetika'!O20</x:f>
        <x:v>7395.040000000001</x:v>
      </x:c>
      <x:c r="L111" s="32" t="n">
        <x:f>'SIM_19_Rekonstruksi_Estetika'!P20</x:f>
        <x:v>3.8333594771241835</x:v>
      </x:c>
      <x:c r="M111" s="12" t="n">
        <x:f>'SIM_19_Rekonstruksi_Estetika'!$B$7</x:f>
        <x:v>12143465900</x:v>
      </x:c>
      <x:c r="N111" s="12" t="n">
        <x:f>'SIM_19_Rekonstruksi_Estetika'!D20+'SIM_19_Rekonstruksi_Estetika'!G20</x:f>
        <x:v>36504185675.9596</x:v>
      </x:c>
      <x:c r="O111" s="12" t="n">
        <x:f>'SIM_19_Rekonstruksi_Estetika'!J20+'SIM_19_Rekonstruksi_Estetika'!M20</x:f>
        <x:v>4793975340</x:v>
      </x:c>
      <x:c r="P111" s="12" t="n">
        <x:f>'SIM_19_Rekonstruksi_Estetika'!Q20</x:f>
        <x:v>31710210335.959602</x:v>
      </x:c>
      <x:c r="Q111" s="12" t="n">
        <x:f>'SIM_19_Rekonstruksi_Estetika'!R20</x:f>
        <x:v>43853676235.9596</x:v>
      </x:c>
      <x:c r="R111" s="32" t="n">
        <x:f>'SIM_19_Rekonstruksi_Estetika'!S20</x:f>
        <x:v>2.611298174433018</x:v>
      </x:c>
    </x:row>
    <x:row r="112">
      <x:c r="A112" s="8">
        <x:v>19</x:v>
      </x:c>
      <x:c r="B112" s="7" t="str">
        <x:v>REKONSTRUKSI DAN ESTETIKA</x:v>
      </x:c>
      <x:c r="C112" s="7" t="str">
        <x:v>Rekonstruksi &amp; Estetika</x:v>
      </x:c>
      <x:c r="D112" s="7" t="str">
        <x:v>SIM_19_Rekonstruksi_Estetika</x:v>
      </x:c>
      <x:c r="E112" s="7" t="str">
        <x:v>Paripurna</x:v>
      </x:c>
      <x:c r="F112" s="8">
        <x:v>3</x:v>
      </x:c>
      <x:c r="G112" s="11" t="n">
        <x:f>'SIM_19_Rekonstruksi_Estetika'!$B$6</x:f>
        <x:v>1530</x:v>
      </x:c>
      <x:c r="H112" s="11" t="n">
        <x:f>'SIM_19_Rekonstruksi_Estetika'!C21+'SIM_19_Rekonstruksi_Estetika'!F21</x:f>
        <x:v>11840.240000000002</x:v>
      </x:c>
      <x:c r="I112" s="11" t="n">
        <x:f>'SIM_19_Rekonstruksi_Estetika'!I21+'SIM_19_Rekonstruksi_Estetika'!L21</x:f>
        <x:v>788.1999999999999</x:v>
      </x:c>
      <x:c r="J112" s="11" t="n">
        <x:f>'SIM_19_Rekonstruksi_Estetika'!N21</x:f>
        <x:v>11052.04</x:v>
      </x:c>
      <x:c r="K112" s="11" t="n">
        <x:f>'SIM_19_Rekonstruksi_Estetika'!O21</x:f>
        <x:v>12582.04</x:v>
      </x:c>
      <x:c r="L112" s="32" t="n">
        <x:f>'SIM_19_Rekonstruksi_Estetika'!P21</x:f>
        <x:v>7.223555555555556</x:v>
      </x:c>
      <x:c r="M112" s="12" t="n">
        <x:f>'SIM_19_Rekonstruksi_Estetika'!$B$7</x:f>
        <x:v>12143465900</x:v>
      </x:c>
      <x:c r="N112" s="12" t="n">
        <x:f>'SIM_19_Rekonstruksi_Estetika'!D21+'SIM_19_Rekonstruksi_Estetika'!G21</x:f>
        <x:v>65839432383.44261</x:v>
      </x:c>
      <x:c r="O112" s="12" t="n">
        <x:f>'SIM_19_Rekonstruksi_Estetika'!J21+'SIM_19_Rekonstruksi_Estetika'!M21</x:f>
        <x:v>5592971230</x:v>
      </x:c>
      <x:c r="P112" s="12" t="n">
        <x:f>'SIM_19_Rekonstruksi_Estetika'!Q21</x:f>
        <x:v>60246461153.44261</x:v>
      </x:c>
      <x:c r="Q112" s="12" t="n">
        <x:f>'SIM_19_Rekonstruksi_Estetika'!R21</x:f>
        <x:v>72389927053.44261</x:v>
      </x:c>
      <x:c r="R112" s="32" t="n">
        <x:f>'SIM_19_Rekonstruksi_Estetika'!S21</x:f>
        <x:v>4.961224550681417</x:v>
      </x:c>
    </x:row>
    <x:row r="113">
      <x:c r="A113" s="8">
        <x:v>19</x:v>
      </x:c>
      <x:c r="B113" s="7" t="str">
        <x:v>REKONSTRUKSI DAN ESTETIKA</x:v>
      </x:c>
      <x:c r="C113" s="7" t="str">
        <x:v>Rekonstruksi &amp; Estetika</x:v>
      </x:c>
      <x:c r="D113" s="7" t="str">
        <x:v>SIM_19_Rekonstruksi_Estetika</x:v>
      </x:c>
      <x:c r="E113" s="7" t="str">
        <x:v>Paripurna</x:v>
      </x:c>
      <x:c r="F113" s="8">
        <x:v>4</x:v>
      </x:c>
      <x:c r="G113" s="11" t="n">
        <x:f>'SIM_19_Rekonstruksi_Estetika'!$B$6</x:f>
        <x:v>1530</x:v>
      </x:c>
      <x:c r="H113" s="11" t="n">
        <x:f>'SIM_19_Rekonstruksi_Estetika'!C22+'SIM_19_Rekonstruksi_Estetika'!F22</x:f>
        <x:v>17139.84</x:v>
      </x:c>
      <x:c r="I113" s="11" t="n">
        <x:f>'SIM_19_Rekonstruksi_Estetika'!I22+'SIM_19_Rekonstruksi_Estetika'!L22</x:f>
        <x:v>900.8000000000001</x:v>
      </x:c>
      <x:c r="J113" s="11" t="n">
        <x:f>'SIM_19_Rekonstruksi_Estetika'!N22</x:f>
        <x:v>16239.04</x:v>
      </x:c>
      <x:c r="K113" s="11" t="n">
        <x:f>'SIM_19_Rekonstruksi_Estetika'!O22</x:f>
        <x:v>17769.04</x:v>
      </x:c>
      <x:c r="L113" s="32" t="n">
        <x:f>'SIM_19_Rekonstruksi_Estetika'!P22</x:f>
        <x:v>10.61375163398693</x:v>
      </x:c>
      <x:c r="M113" s="12" t="n">
        <x:f>'SIM_19_Rekonstruksi_Estetika'!$B$7</x:f>
        <x:v>12143465900</x:v>
      </x:c>
      <x:c r="N113" s="12" t="n">
        <x:f>'SIM_19_Rekonstruksi_Estetika'!D22+'SIM_19_Rekonstruksi_Estetika'!G22</x:f>
        <x:v>95174679090.92561</x:v>
      </x:c>
      <x:c r="O113" s="12" t="n">
        <x:f>'SIM_19_Rekonstruksi_Estetika'!J22+'SIM_19_Rekonstruksi_Estetika'!M22</x:f>
        <x:v>6391967120</x:v>
      </x:c>
      <x:c r="P113" s="12" t="n">
        <x:f>'SIM_19_Rekonstruksi_Estetika'!Q22</x:f>
        <x:v>88782711970.92561</x:v>
      </x:c>
      <x:c r="Q113" s="12" t="n">
        <x:f>'SIM_19_Rekonstruksi_Estetika'!R22</x:f>
        <x:v>100926177870.92561</x:v>
      </x:c>
      <x:c r="R113" s="32" t="n">
        <x:f>'SIM_19_Rekonstruksi_Estetika'!S22</x:f>
        <x:v>7.311150926929816</x:v>
      </x:c>
    </x:row>
    <x:row r="114">
      <x:c r="A114" s="8">
        <x:v>19</x:v>
      </x:c>
      <x:c r="B114" s="7" t="str">
        <x:v>REKONSTRUKSI DAN ESTETIKA</x:v>
      </x:c>
      <x:c r="C114" s="7" t="str">
        <x:v>Rekonstruksi &amp; Estetika</x:v>
      </x:c>
      <x:c r="D114" s="7" t="str">
        <x:v>SIM_19_Rekonstruksi_Estetika</x:v>
      </x:c>
      <x:c r="E114" s="7" t="str">
        <x:v>Paripurna</x:v>
      </x:c>
      <x:c r="F114" s="8">
        <x:v>5</x:v>
      </x:c>
      <x:c r="G114" s="11" t="n">
        <x:f>'SIM_19_Rekonstruksi_Estetika'!$B$6</x:f>
        <x:v>1530</x:v>
      </x:c>
      <x:c r="H114" s="11" t="n">
        <x:f>'SIM_19_Rekonstruksi_Estetika'!C23+'SIM_19_Rekonstruksi_Estetika'!F23</x:f>
        <x:v>22439.44</x:v>
      </x:c>
      <x:c r="I114" s="11" t="n">
        <x:f>'SIM_19_Rekonstruksi_Estetika'!I23+'SIM_19_Rekonstruksi_Estetika'!L23</x:f>
        <x:v>1013.4</x:v>
      </x:c>
      <x:c r="J114" s="11" t="n">
        <x:f>'SIM_19_Rekonstruksi_Estetika'!N23</x:f>
        <x:v>21426.039999999997</x:v>
      </x:c>
      <x:c r="K114" s="11" t="n">
        <x:f>'SIM_19_Rekonstruksi_Estetika'!O23</x:f>
        <x:v>22956.039999999997</x:v>
      </x:c>
      <x:c r="L114" s="32" t="n">
        <x:f>'SIM_19_Rekonstruksi_Estetika'!P23</x:f>
        <x:v>14.003947712418299</x:v>
      </x:c>
      <x:c r="M114" s="12" t="n">
        <x:f>'SIM_19_Rekonstruksi_Estetika'!$B$7</x:f>
        <x:v>12143465900</x:v>
      </x:c>
      <x:c r="N114" s="12" t="n">
        <x:f>'SIM_19_Rekonstruksi_Estetika'!D23+'SIM_19_Rekonstruksi_Estetika'!G23</x:f>
        <x:v>124509925798.40862</x:v>
      </x:c>
      <x:c r="O114" s="12" t="n">
        <x:f>'SIM_19_Rekonstruksi_Estetika'!J23+'SIM_19_Rekonstruksi_Estetika'!M23</x:f>
        <x:v>7190963010</x:v>
      </x:c>
      <x:c r="P114" s="12" t="n">
        <x:f>'SIM_19_Rekonstruksi_Estetika'!Q23</x:f>
        <x:v>117318962788.40862</x:v>
      </x:c>
      <x:c r="Q114" s="12" t="n">
        <x:f>'SIM_19_Rekonstruksi_Estetika'!R23</x:f>
        <x:v>129462428688.40862</x:v>
      </x:c>
      <x:c r="R114" s="32" t="n">
        <x:f>'SIM_19_Rekonstruksi_Estetika'!S23</x:f>
        <x:v>9.661077303178216</x:v>
      </x:c>
    </x:row>
    <x:row r="115">
      <x:c r="A115" s="8">
        <x:v>19</x:v>
      </x:c>
      <x:c r="B115" s="7" t="str">
        <x:v>REKONSTRUKSI DAN ESTETIKA</x:v>
      </x:c>
      <x:c r="C115" s="7" t="str">
        <x:v>Rekonstruksi &amp; Estetika</x:v>
      </x:c>
      <x:c r="D115" s="7" t="str">
        <x:v>SIM_19_Rekonstruksi_Estetika</x:v>
      </x:c>
      <x:c r="E115" s="7" t="str">
        <x:v>Paripurna</x:v>
      </x:c>
      <x:c r="F115" s="8">
        <x:v>6</x:v>
      </x:c>
      <x:c r="G115" s="11" t="n">
        <x:f>'SIM_19_Rekonstruksi_Estetika'!$B$6</x:f>
        <x:v>1530</x:v>
      </x:c>
      <x:c r="H115" s="11" t="n">
        <x:f>'SIM_19_Rekonstruksi_Estetika'!C24+'SIM_19_Rekonstruksi_Estetika'!F24</x:f>
        <x:v>27739.04</x:v>
      </x:c>
      <x:c r="I115" s="11" t="n">
        <x:f>'SIM_19_Rekonstruksi_Estetika'!I24+'SIM_19_Rekonstruksi_Estetika'!L24</x:f>
        <x:v>1126</x:v>
      </x:c>
      <x:c r="J115" s="11" t="n">
        <x:f>'SIM_19_Rekonstruksi_Estetika'!N24</x:f>
        <x:v>26613.04</x:v>
      </x:c>
      <x:c r="K115" s="11" t="n">
        <x:f>'SIM_19_Rekonstruksi_Estetika'!O24</x:f>
        <x:v>28143.04</x:v>
      </x:c>
      <x:c r="L115" s="32" t="n">
        <x:f>'SIM_19_Rekonstruksi_Estetika'!P24</x:f>
        <x:v>17.394143790849675</x:v>
      </x:c>
      <x:c r="M115" s="12" t="n">
        <x:f>'SIM_19_Rekonstruksi_Estetika'!$B$7</x:f>
        <x:v>12143465900</x:v>
      </x:c>
      <x:c r="N115" s="12" t="n">
        <x:f>'SIM_19_Rekonstruksi_Estetika'!D24+'SIM_19_Rekonstruksi_Estetika'!G24</x:f>
        <x:v>153845172505.89163</x:v>
      </x:c>
      <x:c r="O115" s="12" t="n">
        <x:f>'SIM_19_Rekonstruksi_Estetika'!J24+'SIM_19_Rekonstruksi_Estetika'!M24</x:f>
        <x:v>7989958900</x:v>
      </x:c>
      <x:c r="P115" s="12" t="n">
        <x:f>'SIM_19_Rekonstruksi_Estetika'!Q24</x:f>
        <x:v>145855213605.89163</x:v>
      </x:c>
      <x:c r="Q115" s="12" t="n">
        <x:f>'SIM_19_Rekonstruksi_Estetika'!R24</x:f>
        <x:v>157998679505.89163</x:v>
      </x:c>
      <x:c r="R115" s="32" t="n">
        <x:f>'SIM_19_Rekonstruksi_Estetika'!S24</x:f>
        <x:v>12.011003679426615</x:v>
      </x:c>
    </x:row>
    <x:row r="116">
      <x:c r="A116" s="8">
        <x:v>20</x:v>
      </x:c>
      <x:c r="B116" s="7" t="str">
        <x:v>SARAF/ NEUROSCIENCE</x:v>
      </x:c>
      <x:c r="C116" s="7" t="str">
        <x:v>Saraf / Neuroscience</x:v>
      </x:c>
      <x:c r="D116" s="7" t="str">
        <x:v>SIM_20_Saraf_Neuroscience</x:v>
      </x:c>
      <x:c r="E116" s="7" t="str">
        <x:v>Paripurna</x:v>
      </x:c>
      <x:c r="F116" s="8">
        <x:v>1</x:v>
      </x:c>
      <x:c r="G116" s="11" t="n">
        <x:f>'SIM_20_Saraf_Neuroscience'!$B$6</x:f>
        <x:v>20895</x:v>
      </x:c>
      <x:c r="H116" s="11" t="n">
        <x:f>'SIM_20_Saraf_Neuroscience'!C19+'SIM_20_Saraf_Neuroscience'!F19</x:f>
        <x:v>148968.92200000002</x:v>
      </x:c>
      <x:c r="I116" s="11" t="n">
        <x:f>'SIM_20_Saraf_Neuroscience'!I19+'SIM_20_Saraf_Neuroscience'!L19</x:f>
        <x:v>6203.5</x:v>
      </x:c>
      <x:c r="J116" s="11" t="n">
        <x:f>'SIM_20_Saraf_Neuroscience'!N19</x:f>
        <x:v>142765.42200000002</x:v>
      </x:c>
      <x:c r="K116" s="11" t="n">
        <x:f>'SIM_20_Saraf_Neuroscience'!O19</x:f>
        <x:v>163660.42200000002</x:v>
      </x:c>
      <x:c r="L116" s="32" t="n">
        <x:f>'SIM_20_Saraf_Neuroscience'!P19</x:f>
        <x:v>6.832516008614502</x:v>
      </x:c>
      <x:c r="M116" s="12" t="n">
        <x:f>'SIM_20_Saraf_Neuroscience'!$B$7</x:f>
        <x:v>70688233800</x:v>
      </x:c>
      <x:c r="N116" s="12" t="n">
        <x:f>'SIM_20_Saraf_Neuroscience'!D19+'SIM_20_Saraf_Neuroscience'!G19</x:f>
        <x:v>180388990986.11023</x:v>
      </x:c>
      <x:c r="O116" s="12" t="n">
        <x:f>'SIM_20_Saraf_Neuroscience'!J19+'SIM_20_Saraf_Neuroscience'!M19</x:f>
        <x:v>6465053700</x:v>
      </x:c>
      <x:c r="P116" s="12" t="n">
        <x:f>'SIM_20_Saraf_Neuroscience'!Q19</x:f>
        <x:v>173923937286.11023</x:v>
      </x:c>
      <x:c r="Q116" s="12" t="n">
        <x:f>'SIM_20_Saraf_Neuroscience'!R19</x:f>
        <x:v>244612171086.11023</x:v>
      </x:c>
      <x:c r="R116" s="32" t="n">
        <x:f>'SIM_20_Saraf_Neuroscience'!S19</x:f>
        <x:v>2.460436878055231</x:v>
      </x:c>
    </x:row>
    <x:row r="117">
      <x:c r="A117" s="8">
        <x:v>20</x:v>
      </x:c>
      <x:c r="B117" s="7" t="str">
        <x:v>SARAF/ NEUROSCIENCE</x:v>
      </x:c>
      <x:c r="C117" s="7" t="str">
        <x:v>Saraf / Neuroscience</x:v>
      </x:c>
      <x:c r="D117" s="7" t="str">
        <x:v>SIM_20_Saraf_Neuroscience</x:v>
      </x:c>
      <x:c r="E117" s="7" t="str">
        <x:v>Paripurna</x:v>
      </x:c>
      <x:c r="F117" s="8">
        <x:v>2</x:v>
      </x:c>
      <x:c r="G117" s="11" t="n">
        <x:f>'SIM_20_Saraf_Neuroscience'!$B$6</x:f>
        <x:v>20895</x:v>
      </x:c>
      <x:c r="H117" s="11" t="n">
        <x:f>'SIM_20_Saraf_Neuroscience'!C20+'SIM_20_Saraf_Neuroscience'!F20</x:f>
        <x:v>313393.12200000003</x:v>
      </x:c>
      <x:c r="I117" s="11" t="n">
        <x:f>'SIM_20_Saraf_Neuroscience'!I20+'SIM_20_Saraf_Neuroscience'!L20</x:f>
        <x:v>7444.2</x:v>
      </x:c>
      <x:c r="J117" s="11" t="n">
        <x:f>'SIM_20_Saraf_Neuroscience'!N20</x:f>
        <x:v>305948.922</x:v>
      </x:c>
      <x:c r="K117" s="11" t="n">
        <x:f>'SIM_20_Saraf_Neuroscience'!O20</x:f>
        <x:v>326843.922</x:v>
      </x:c>
      <x:c r="L117" s="32" t="n">
        <x:f>'SIM_20_Saraf_Neuroscience'!P20</x:f>
        <x:v>14.642207322325916</x:v>
      </x:c>
      <x:c r="M117" s="12" t="n">
        <x:f>'SIM_20_Saraf_Neuroscience'!$B$7</x:f>
        <x:v>70688233800</x:v>
      </x:c>
      <x:c r="N117" s="12" t="n">
        <x:f>'SIM_20_Saraf_Neuroscience'!D20+'SIM_20_Saraf_Neuroscience'!G20</x:f>
        <x:v>516221451046.9485</x:v>
      </x:c>
      <x:c r="O117" s="12" t="n">
        <x:f>'SIM_20_Saraf_Neuroscience'!J20+'SIM_20_Saraf_Neuroscience'!M20</x:f>
        <x:v>7758064440</x:v>
      </x:c>
      <x:c r="P117" s="12" t="n">
        <x:f>'SIM_20_Saraf_Neuroscience'!Q20</x:f>
        <x:v>508463386606.9485</x:v>
      </x:c>
      <x:c r="Q117" s="12" t="n">
        <x:f>'SIM_20_Saraf_Neuroscience'!R20</x:f>
        <x:v>579151620406.9485</x:v>
      </x:c>
      <x:c r="R117" s="32" t="n">
        <x:f>'SIM_20_Saraf_Neuroscience'!S20</x:f>
        <x:v>7.193041320646895</x:v>
      </x:c>
    </x:row>
    <x:row r="118">
      <x:c r="A118" s="8">
        <x:v>20</x:v>
      </x:c>
      <x:c r="B118" s="7" t="str">
        <x:v>SARAF/ NEUROSCIENCE</x:v>
      </x:c>
      <x:c r="C118" s="7" t="str">
        <x:v>Saraf / Neuroscience</x:v>
      </x:c>
      <x:c r="D118" s="7" t="str">
        <x:v>SIM_20_Saraf_Neuroscience</x:v>
      </x:c>
      <x:c r="E118" s="7" t="str">
        <x:v>Paripurna</x:v>
      </x:c>
      <x:c r="F118" s="8">
        <x:v>3</x:v>
      </x:c>
      <x:c r="G118" s="11" t="n">
        <x:f>'SIM_20_Saraf_Neuroscience'!$B$6</x:f>
        <x:v>20895</x:v>
      </x:c>
      <x:c r="H118" s="11" t="n">
        <x:f>'SIM_20_Saraf_Neuroscience'!C21+'SIM_20_Saraf_Neuroscience'!F21</x:f>
        <x:v>477817.322</x:v>
      </x:c>
      <x:c r="I118" s="11" t="n">
        <x:f>'SIM_20_Saraf_Neuroscience'!I21+'SIM_20_Saraf_Neuroscience'!L21</x:f>
        <x:v>8684.9</x:v>
      </x:c>
      <x:c r="J118" s="11" t="n">
        <x:f>'SIM_20_Saraf_Neuroscience'!N21</x:f>
        <x:v>469132.42199999996</x:v>
      </x:c>
      <x:c r="K118" s="11" t="n">
        <x:f>'SIM_20_Saraf_Neuroscience'!O21</x:f>
        <x:v>490027.42199999996</x:v>
      </x:c>
      <x:c r="L118" s="32" t="n">
        <x:f>'SIM_20_Saraf_Neuroscience'!P21</x:f>
        <x:v>22.451898636037328</x:v>
      </x:c>
      <x:c r="M118" s="12" t="n">
        <x:f>'SIM_20_Saraf_Neuroscience'!$B$7</x:f>
        <x:v>70688233800</x:v>
      </x:c>
      <x:c r="N118" s="12" t="n">
        <x:f>'SIM_20_Saraf_Neuroscience'!D21+'SIM_20_Saraf_Neuroscience'!G21</x:f>
        <x:v>852053911107.7867</x:v>
      </x:c>
      <x:c r="O118" s="12" t="n">
        <x:f>'SIM_20_Saraf_Neuroscience'!J21+'SIM_20_Saraf_Neuroscience'!M21</x:f>
        <x:v>9051075180</x:v>
      </x:c>
      <x:c r="P118" s="12" t="n">
        <x:f>'SIM_20_Saraf_Neuroscience'!Q21</x:f>
        <x:v>843002835927.7867</x:v>
      </x:c>
      <x:c r="Q118" s="12" t="n">
        <x:f>'SIM_20_Saraf_Neuroscience'!R21</x:f>
        <x:v>913691069727.7867</x:v>
      </x:c>
      <x:c r="R118" s="32" t="n">
        <x:f>'SIM_20_Saraf_Neuroscience'!S21</x:f>
        <x:v>11.92564576323856</x:v>
      </x:c>
    </x:row>
    <x:row r="119">
      <x:c r="A119" s="8">
        <x:v>20</x:v>
      </x:c>
      <x:c r="B119" s="7" t="str">
        <x:v>SARAF/ NEUROSCIENCE</x:v>
      </x:c>
      <x:c r="C119" s="7" t="str">
        <x:v>Saraf / Neuroscience</x:v>
      </x:c>
      <x:c r="D119" s="7" t="str">
        <x:v>SIM_20_Saraf_Neuroscience</x:v>
      </x:c>
      <x:c r="E119" s="7" t="str">
        <x:v>Paripurna</x:v>
      </x:c>
      <x:c r="F119" s="8">
        <x:v>4</x:v>
      </x:c>
      <x:c r="G119" s="11" t="n">
        <x:f>'SIM_20_Saraf_Neuroscience'!$B$6</x:f>
        <x:v>20895</x:v>
      </x:c>
      <x:c r="H119" s="11" t="n">
        <x:f>'SIM_20_Saraf_Neuroscience'!C22+'SIM_20_Saraf_Neuroscience'!F22</x:f>
        <x:v>642241.522</x:v>
      </x:c>
      <x:c r="I119" s="11" t="n">
        <x:f>'SIM_20_Saraf_Neuroscience'!I22+'SIM_20_Saraf_Neuroscience'!L22</x:f>
        <x:v>9925.6</x:v>
      </x:c>
      <x:c r="J119" s="11" t="n">
        <x:f>'SIM_20_Saraf_Neuroscience'!N22</x:f>
        <x:v>632315.922</x:v>
      </x:c>
      <x:c r="K119" s="11" t="n">
        <x:f>'SIM_20_Saraf_Neuroscience'!O22</x:f>
        <x:v>653210.922</x:v>
      </x:c>
      <x:c r="L119" s="32" t="n">
        <x:f>'SIM_20_Saraf_Neuroscience'!P22</x:f>
        <x:v>30.261589949748746</x:v>
      </x:c>
      <x:c r="M119" s="12" t="n">
        <x:f>'SIM_20_Saraf_Neuroscience'!$B$7</x:f>
        <x:v>70688233800</x:v>
      </x:c>
      <x:c r="N119" s="12" t="n">
        <x:f>'SIM_20_Saraf_Neuroscience'!D22+'SIM_20_Saraf_Neuroscience'!G22</x:f>
        <x:v>1187886371168.625</x:v>
      </x:c>
      <x:c r="O119" s="12" t="n">
        <x:f>'SIM_20_Saraf_Neuroscience'!J22+'SIM_20_Saraf_Neuroscience'!M22</x:f>
        <x:v>10344085920</x:v>
      </x:c>
      <x:c r="P119" s="12" t="n">
        <x:f>'SIM_20_Saraf_Neuroscience'!Q22</x:f>
        <x:v>1177542285248.625</x:v>
      </x:c>
      <x:c r="Q119" s="12" t="n">
        <x:f>'SIM_20_Saraf_Neuroscience'!R22</x:f>
        <x:v>1248230519048.625</x:v>
      </x:c>
      <x:c r="R119" s="32" t="n">
        <x:f>'SIM_20_Saraf_Neuroscience'!S22</x:f>
        <x:v>16.658250205830225</x:v>
      </x:c>
    </x:row>
    <x:row r="120">
      <x:c r="A120" s="8">
        <x:v>20</x:v>
      </x:c>
      <x:c r="B120" s="7" t="str">
        <x:v>SARAF/ NEUROSCIENCE</x:v>
      </x:c>
      <x:c r="C120" s="7" t="str">
        <x:v>Saraf / Neuroscience</x:v>
      </x:c>
      <x:c r="D120" s="7" t="str">
        <x:v>SIM_20_Saraf_Neuroscience</x:v>
      </x:c>
      <x:c r="E120" s="7" t="str">
        <x:v>Paripurna</x:v>
      </x:c>
      <x:c r="F120" s="8">
        <x:v>5</x:v>
      </x:c>
      <x:c r="G120" s="11" t="n">
        <x:f>'SIM_20_Saraf_Neuroscience'!$B$6</x:f>
        <x:v>20895</x:v>
      </x:c>
      <x:c r="H120" s="11" t="n">
        <x:f>'SIM_20_Saraf_Neuroscience'!C23+'SIM_20_Saraf_Neuroscience'!F23</x:f>
        <x:v>806665.7219999998</x:v>
      </x:c>
      <x:c r="I120" s="11" t="n">
        <x:f>'SIM_20_Saraf_Neuroscience'!I23+'SIM_20_Saraf_Neuroscience'!L23</x:f>
        <x:v>11166.300000000001</x:v>
      </x:c>
      <x:c r="J120" s="11" t="n">
        <x:f>'SIM_20_Saraf_Neuroscience'!N23</x:f>
        <x:v>795499.4219999998</x:v>
      </x:c>
      <x:c r="K120" s="11" t="n">
        <x:f>'SIM_20_Saraf_Neuroscience'!O23</x:f>
        <x:v>816394.4219999998</x:v>
      </x:c>
      <x:c r="L120" s="32" t="n">
        <x:f>'SIM_20_Saraf_Neuroscience'!P23</x:f>
        <x:v>38.07128126346015</x:v>
      </x:c>
      <x:c r="M120" s="12" t="n">
        <x:f>'SIM_20_Saraf_Neuroscience'!$B$7</x:f>
        <x:v>70688233800</x:v>
      </x:c>
      <x:c r="N120" s="12" t="n">
        <x:f>'SIM_20_Saraf_Neuroscience'!D23+'SIM_20_Saraf_Neuroscience'!G23</x:f>
        <x:v>1523718831229.4634</x:v>
      </x:c>
      <x:c r="O120" s="12" t="n">
        <x:f>'SIM_20_Saraf_Neuroscience'!J23+'SIM_20_Saraf_Neuroscience'!M23</x:f>
        <x:v>11637096660</x:v>
      </x:c>
      <x:c r="P120" s="12" t="n">
        <x:f>'SIM_20_Saraf_Neuroscience'!Q23</x:f>
        <x:v>1512081734569.4634</x:v>
      </x:c>
      <x:c r="Q120" s="12" t="n">
        <x:f>'SIM_20_Saraf_Neuroscience'!R23</x:f>
        <x:v>1582769968369.4634</x:v>
      </x:c>
      <x:c r="R120" s="32" t="n">
        <x:f>'SIM_20_Saraf_Neuroscience'!S23</x:f>
        <x:v>21.39085464842189</x:v>
      </x:c>
    </x:row>
    <x:row r="121">
      <x:c r="A121" s="8">
        <x:v>20</x:v>
      </x:c>
      <x:c r="B121" s="7" t="str">
        <x:v>SARAF/ NEUROSCIENCE</x:v>
      </x:c>
      <x:c r="C121" s="7" t="str">
        <x:v>Saraf / Neuroscience</x:v>
      </x:c>
      <x:c r="D121" s="7" t="str">
        <x:v>SIM_20_Saraf_Neuroscience</x:v>
      </x:c>
      <x:c r="E121" s="7" t="str">
        <x:v>Paripurna</x:v>
      </x:c>
      <x:c r="F121" s="8">
        <x:v>6</x:v>
      </x:c>
      <x:c r="G121" s="11" t="n">
        <x:f>'SIM_20_Saraf_Neuroscience'!$B$6</x:f>
        <x:v>20895</x:v>
      </x:c>
      <x:c r="H121" s="11" t="n">
        <x:f>'SIM_20_Saraf_Neuroscience'!C24+'SIM_20_Saraf_Neuroscience'!F24</x:f>
        <x:v>971089.922</x:v>
      </x:c>
      <x:c r="I121" s="11" t="n">
        <x:f>'SIM_20_Saraf_Neuroscience'!I24+'SIM_20_Saraf_Neuroscience'!L24</x:f>
        <x:v>12407</x:v>
      </x:c>
      <x:c r="J121" s="11" t="n">
        <x:f>'SIM_20_Saraf_Neuroscience'!N24</x:f>
        <x:v>958682.922</x:v>
      </x:c>
      <x:c r="K121" s="11" t="n">
        <x:f>'SIM_20_Saraf_Neuroscience'!O24</x:f>
        <x:v>979577.922</x:v>
      </x:c>
      <x:c r="L121" s="32" t="n">
        <x:f>'SIM_20_Saraf_Neuroscience'!P24</x:f>
        <x:v>45.880972577171576</x:v>
      </x:c>
      <x:c r="M121" s="12" t="n">
        <x:f>'SIM_20_Saraf_Neuroscience'!$B$7</x:f>
        <x:v>70688233800</x:v>
      </x:c>
      <x:c r="N121" s="12" t="n">
        <x:f>'SIM_20_Saraf_Neuroscience'!D24+'SIM_20_Saraf_Neuroscience'!G24</x:f>
        <x:v>1859551291290.3018</x:v>
      </x:c>
      <x:c r="O121" s="12" t="n">
        <x:f>'SIM_20_Saraf_Neuroscience'!J24+'SIM_20_Saraf_Neuroscience'!M24</x:f>
        <x:v>12930107400</x:v>
      </x:c>
      <x:c r="P121" s="12" t="n">
        <x:f>'SIM_20_Saraf_Neuroscience'!Q24</x:f>
        <x:v>1846621183890.3018</x:v>
      </x:c>
      <x:c r="Q121" s="12" t="n">
        <x:f>'SIM_20_Saraf_Neuroscience'!R24</x:f>
        <x:v>1917309417690.3018</x:v>
      </x:c>
      <x:c r="R121" s="32" t="n">
        <x:f>'SIM_20_Saraf_Neuroscience'!S24</x:f>
        <x:v>26.123459091013558</x:v>
      </x:c>
    </x:row>
    <x:row r="122">
      <x:c r="A122" s="8">
        <x:v>21</x:v>
      </x:c>
      <x:c r="B122" s="7" t="str">
        <x:v>THT</x:v>
      </x:c>
      <x:c r="C122" s="7" t="str">
        <x:v>Tht</x:v>
      </x:c>
      <x:c r="D122" s="7" t="str">
        <x:v>SIM_21_Tht</x:v>
      </x:c>
      <x:c r="E122" s="7" t="str">
        <x:v>Utama</x:v>
      </x:c>
      <x:c r="F122" s="8">
        <x:v>1</x:v>
      </x:c>
      <x:c r="G122" s="11" t="n">
        <x:f>'SIM_21_Tht'!$B$6</x:f>
        <x:v>13691</x:v>
      </x:c>
      <x:c r="H122" s="11" t="n">
        <x:f>'SIM_21_Tht'!C19+'SIM_21_Tht'!F19</x:f>
        <x:v>19749.318</x:v>
      </x:c>
      <x:c r="I122" s="11" t="n">
        <x:f>'SIM_21_Tht'!I19+'SIM_21_Tht'!L19</x:f>
        <x:v>3016.5</x:v>
      </x:c>
      <x:c r="J122" s="11" t="n">
        <x:f>'SIM_21_Tht'!N19</x:f>
        <x:v>16732.818</x:v>
      </x:c>
      <x:c r="K122" s="11" t="n">
        <x:f>'SIM_21_Tht'!O19</x:f>
        <x:v>30423.818</x:v>
      </x:c>
      <x:c r="L122" s="32" t="n">
        <x:f>'SIM_21_Tht'!P19</x:f>
        <x:v>1.2221764662917245</x:v>
      </x:c>
      <x:c r="M122" s="12" t="n">
        <x:f>'SIM_21_Tht'!$B$7</x:f>
        <x:v>19751557700</x:v>
      </x:c>
      <x:c r="N122" s="12" t="n">
        <x:f>'SIM_21_Tht'!D19+'SIM_21_Tht'!G19</x:f>
        <x:v>36044707377.478165</x:v>
      </x:c>
      <x:c r="O122" s="12" t="n">
        <x:f>'SIM_21_Tht'!J19+'SIM_21_Tht'!M19</x:f>
        <x:v>2960522450</x:v>
      </x:c>
      <x:c r="P122" s="12" t="n">
        <x:f>'SIM_21_Tht'!Q19</x:f>
        <x:v>33084184927.478165</x:v>
      </x:c>
      <x:c r="Q122" s="12" t="n">
        <x:f>'SIM_21_Tht'!R19</x:f>
        <x:v>52835742627.478165</x:v>
      </x:c>
      <x:c r="R122" s="32" t="n">
        <x:f>'SIM_21_Tht'!S19</x:f>
        <x:v>1.6750164938878802</x:v>
      </x:c>
    </x:row>
    <x:row r="123">
      <x:c r="A123" s="8">
        <x:v>21</x:v>
      </x:c>
      <x:c r="B123" s="7" t="str">
        <x:v>THT</x:v>
      </x:c>
      <x:c r="C123" s="7" t="str">
        <x:v>Tht</x:v>
      </x:c>
      <x:c r="D123" s="7" t="str">
        <x:v>SIM_21_Tht</x:v>
      </x:c>
      <x:c r="E123" s="7" t="str">
        <x:v>Utama</x:v>
      </x:c>
      <x:c r="F123" s="8">
        <x:v>2</x:v>
      </x:c>
      <x:c r="G123" s="11" t="n">
        <x:f>'SIM_21_Tht'!$B$6</x:f>
        <x:v>13691</x:v>
      </x:c>
      <x:c r="H123" s="11" t="n">
        <x:f>'SIM_21_Tht'!C20+'SIM_21_Tht'!F20</x:f>
        <x:v>161936.11800000002</x:v>
      </x:c>
      <x:c r="I123" s="11" t="n">
        <x:f>'SIM_21_Tht'!I20+'SIM_21_Tht'!L20</x:f>
        <x:v>3564</x:v>
      </x:c>
      <x:c r="J123" s="11" t="n">
        <x:f>'SIM_21_Tht'!N20</x:f>
        <x:v>158372.11800000002</x:v>
      </x:c>
      <x:c r="K123" s="11" t="n">
        <x:f>'SIM_21_Tht'!O20</x:f>
        <x:v>172063.11800000002</x:v>
      </x:c>
      <x:c r="L123" s="32" t="n">
        <x:f>'SIM_21_Tht'!P20</x:f>
        <x:v>11.567607771528742</x:v>
      </x:c>
      <x:c r="M123" s="12" t="n">
        <x:f>'SIM_21_Tht'!$B$7</x:f>
        <x:v>19751557700</x:v>
      </x:c>
      <x:c r="N123" s="12" t="n">
        <x:f>'SIM_21_Tht'!D20+'SIM_21_Tht'!G20</x:f>
        <x:v>164551949976.82123</x:v>
      </x:c>
      <x:c r="O123" s="12" t="n">
        <x:f>'SIM_21_Tht'!J20+'SIM_21_Tht'!M20</x:f>
        <x:v>3331825520</x:v>
      </x:c>
      <x:c r="P123" s="12" t="n">
        <x:f>'SIM_21_Tht'!Q20</x:f>
        <x:v>161220124456.82123</x:v>
      </x:c>
      <x:c r="Q123" s="12" t="n">
        <x:f>'SIM_21_Tht'!R20</x:f>
        <x:v>180971682156.82123</x:v>
      </x:c>
      <x:c r="R123" s="32" t="n">
        <x:f>'SIM_21_Tht'!S20</x:f>
        <x:v>8.162400500534762</x:v>
      </x:c>
    </x:row>
    <x:row r="124">
      <x:c r="A124" s="8">
        <x:v>21</x:v>
      </x:c>
      <x:c r="B124" s="7" t="str">
        <x:v>THT</x:v>
      </x:c>
      <x:c r="C124" s="7" t="str">
        <x:v>Tht</x:v>
      </x:c>
      <x:c r="D124" s="7" t="str">
        <x:v>SIM_21_Tht</x:v>
      </x:c>
      <x:c r="E124" s="7" t="str">
        <x:v>Utama</x:v>
      </x:c>
      <x:c r="F124" s="8">
        <x:v>3</x:v>
      </x:c>
      <x:c r="G124" s="11" t="n">
        <x:f>'SIM_21_Tht'!$B$6</x:f>
        <x:v>13691</x:v>
      </x:c>
      <x:c r="H124" s="11" t="n">
        <x:f>'SIM_21_Tht'!C21+'SIM_21_Tht'!F21</x:f>
        <x:v>304122.918</x:v>
      </x:c>
      <x:c r="I124" s="11" t="n">
        <x:f>'SIM_21_Tht'!I21+'SIM_21_Tht'!L21</x:f>
        <x:v>4111.5</x:v>
      </x:c>
      <x:c r="J124" s="11" t="n">
        <x:f>'SIM_21_Tht'!N21</x:f>
        <x:v>300011.418</x:v>
      </x:c>
      <x:c r="K124" s="11" t="n">
        <x:f>'SIM_21_Tht'!O21</x:f>
        <x:v>313702.418</x:v>
      </x:c>
      <x:c r="L124" s="32" t="n">
        <x:f>'SIM_21_Tht'!P21</x:f>
        <x:v>21.91303907676576</x:v>
      </x:c>
      <x:c r="M124" s="12" t="n">
        <x:f>'SIM_21_Tht'!$B$7</x:f>
        <x:v>19751557700</x:v>
      </x:c>
      <x:c r="N124" s="12" t="n">
        <x:f>'SIM_21_Tht'!D21+'SIM_21_Tht'!G21</x:f>
        <x:v>293059192576.1643</x:v>
      </x:c>
      <x:c r="O124" s="12" t="n">
        <x:f>'SIM_21_Tht'!J21+'SIM_21_Tht'!M21</x:f>
        <x:v>3703128590</x:v>
      </x:c>
      <x:c r="P124" s="12" t="n">
        <x:f>'SIM_21_Tht'!Q21</x:f>
        <x:v>289356063986.1643</x:v>
      </x:c>
      <x:c r="Q124" s="12" t="n">
        <x:f>'SIM_21_Tht'!R21</x:f>
        <x:v>309107621686.1643</x:v>
      </x:c>
      <x:c r="R124" s="32" t="n">
        <x:f>'SIM_21_Tht'!S21</x:f>
        <x:v>14.649784507181645</x:v>
      </x:c>
    </x:row>
    <x:row r="125">
      <x:c r="A125" s="8">
        <x:v>21</x:v>
      </x:c>
      <x:c r="B125" s="7" t="str">
        <x:v>THT</x:v>
      </x:c>
      <x:c r="C125" s="7" t="str">
        <x:v>Tht</x:v>
      </x:c>
      <x:c r="D125" s="7" t="str">
        <x:v>SIM_21_Tht</x:v>
      </x:c>
      <x:c r="E125" s="7" t="str">
        <x:v>Utama</x:v>
      </x:c>
      <x:c r="F125" s="8">
        <x:v>4</x:v>
      </x:c>
      <x:c r="G125" s="11" t="n">
        <x:f>'SIM_21_Tht'!$B$6</x:f>
        <x:v>13691</x:v>
      </x:c>
      <x:c r="H125" s="11" t="n">
        <x:f>'SIM_21_Tht'!C22+'SIM_21_Tht'!F22</x:f>
        <x:v>446309.718</x:v>
      </x:c>
      <x:c r="I125" s="11" t="n">
        <x:f>'SIM_21_Tht'!I22+'SIM_21_Tht'!L22</x:f>
        <x:v>4659</x:v>
      </x:c>
      <x:c r="J125" s="11" t="n">
        <x:f>'SIM_21_Tht'!N22</x:f>
        <x:v>441650.718</x:v>
      </x:c>
      <x:c r="K125" s="11" t="n">
        <x:f>'SIM_21_Tht'!O22</x:f>
        <x:v>455341.718</x:v>
      </x:c>
      <x:c r="L125" s="32" t="n">
        <x:f>'SIM_21_Tht'!P22</x:f>
        <x:v>32.25847038200278</x:v>
      </x:c>
      <x:c r="M125" s="12" t="n">
        <x:f>'SIM_21_Tht'!$B$7</x:f>
        <x:v>19751557700</x:v>
      </x:c>
      <x:c r="N125" s="12" t="n">
        <x:f>'SIM_21_Tht'!D22+'SIM_21_Tht'!G22</x:f>
        <x:v>421566435175.5073</x:v>
      </x:c>
      <x:c r="O125" s="12" t="n">
        <x:f>'SIM_21_Tht'!J22+'SIM_21_Tht'!M22</x:f>
        <x:v>4074431660</x:v>
      </x:c>
      <x:c r="P125" s="12" t="n">
        <x:f>'SIM_21_Tht'!Q22</x:f>
        <x:v>417492003515.5073</x:v>
      </x:c>
      <x:c r="Q125" s="12" t="n">
        <x:f>'SIM_21_Tht'!R22</x:f>
        <x:v>437243561215.5073</x:v>
      </x:c>
      <x:c r="R125" s="32" t="n">
        <x:f>'SIM_21_Tht'!S22</x:f>
        <x:v>21.137168513828524</x:v>
      </x:c>
    </x:row>
    <x:row r="126">
      <x:c r="A126" s="8">
        <x:v>21</x:v>
      </x:c>
      <x:c r="B126" s="7" t="str">
        <x:v>THT</x:v>
      </x:c>
      <x:c r="C126" s="7" t="str">
        <x:v>Tht</x:v>
      </x:c>
      <x:c r="D126" s="7" t="str">
        <x:v>SIM_21_Tht</x:v>
      </x:c>
      <x:c r="E126" s="7" t="str">
        <x:v>Utama</x:v>
      </x:c>
      <x:c r="F126" s="8">
        <x:v>5</x:v>
      </x:c>
      <x:c r="G126" s="11" t="n">
        <x:f>'SIM_21_Tht'!$B$6</x:f>
        <x:v>13691</x:v>
      </x:c>
      <x:c r="H126" s="11" t="n">
        <x:f>'SIM_21_Tht'!C23+'SIM_21_Tht'!F23</x:f>
        <x:v>588496.518</x:v>
      </x:c>
      <x:c r="I126" s="11" t="n">
        <x:f>'SIM_21_Tht'!I23+'SIM_21_Tht'!L23</x:f>
        <x:v>5206.5</x:v>
      </x:c>
      <x:c r="J126" s="11" t="n">
        <x:f>'SIM_21_Tht'!N23</x:f>
        <x:v>583290.018</x:v>
      </x:c>
      <x:c r="K126" s="11" t="n">
        <x:f>'SIM_21_Tht'!O23</x:f>
        <x:v>596981.018</x:v>
      </x:c>
      <x:c r="L126" s="32" t="n">
        <x:f>'SIM_21_Tht'!P23</x:f>
        <x:v>42.6039016872398</x:v>
      </x:c>
      <x:c r="M126" s="12" t="n">
        <x:f>'SIM_21_Tht'!$B$7</x:f>
        <x:v>19751557700</x:v>
      </x:c>
      <x:c r="N126" s="12" t="n">
        <x:f>'SIM_21_Tht'!D23+'SIM_21_Tht'!G23</x:f>
        <x:v>550073677774.8505</x:v>
      </x:c>
      <x:c r="O126" s="12" t="n">
        <x:f>'SIM_21_Tht'!J23+'SIM_21_Tht'!M23</x:f>
        <x:v>4445734730</x:v>
      </x:c>
      <x:c r="P126" s="12" t="n">
        <x:f>'SIM_21_Tht'!Q23</x:f>
        <x:v>545627943044.85046</x:v>
      </x:c>
      <x:c r="Q126" s="12" t="n">
        <x:f>'SIM_21_Tht'!R23</x:f>
        <x:v>565379500744.8505</x:v>
      </x:c>
      <x:c r="R126" s="32" t="n">
        <x:f>'SIM_21_Tht'!S23</x:f>
        <x:v>27.624552520475408</x:v>
      </x:c>
    </x:row>
    <x:row r="127">
      <x:c r="A127" s="8">
        <x:v>21</x:v>
      </x:c>
      <x:c r="B127" s="7" t="str">
        <x:v>THT</x:v>
      </x:c>
      <x:c r="C127" s="7" t="str">
        <x:v>Tht</x:v>
      </x:c>
      <x:c r="D127" s="7" t="str">
        <x:v>SIM_21_Tht</x:v>
      </x:c>
      <x:c r="E127" s="7" t="str">
        <x:v>Utama</x:v>
      </x:c>
      <x:c r="F127" s="8">
        <x:v>6</x:v>
      </x:c>
      <x:c r="G127" s="11" t="n">
        <x:f>'SIM_21_Tht'!$B$6</x:f>
        <x:v>13691</x:v>
      </x:c>
      <x:c r="H127" s="11" t="n">
        <x:f>'SIM_21_Tht'!C24+'SIM_21_Tht'!F24</x:f>
        <x:v>730683.318</x:v>
      </x:c>
      <x:c r="I127" s="11" t="n">
        <x:f>'SIM_21_Tht'!I24+'SIM_21_Tht'!L24</x:f>
        <x:v>5754</x:v>
      </x:c>
      <x:c r="J127" s="11" t="n">
        <x:f>'SIM_21_Tht'!N24</x:f>
        <x:v>724929.318</x:v>
      </x:c>
      <x:c r="K127" s="11" t="n">
        <x:f>'SIM_21_Tht'!O24</x:f>
        <x:v>738620.318</x:v>
      </x:c>
      <x:c r="L127" s="32" t="n">
        <x:f>'SIM_21_Tht'!P24</x:f>
        <x:v>52.949332992476805</x:v>
      </x:c>
      <x:c r="M127" s="12" t="n">
        <x:f>'SIM_21_Tht'!$B$7</x:f>
        <x:v>19751557700</x:v>
      </x:c>
      <x:c r="N127" s="12" t="n">
        <x:f>'SIM_21_Tht'!D24+'SIM_21_Tht'!G24</x:f>
        <x:v>678580920374.1936</x:v>
      </x:c>
      <x:c r="O127" s="12" t="n">
        <x:f>'SIM_21_Tht'!J24+'SIM_21_Tht'!M24</x:f>
        <x:v>4817037800</x:v>
      </x:c>
      <x:c r="P127" s="12" t="n">
        <x:f>'SIM_21_Tht'!Q24</x:f>
        <x:v>673763882574.1936</x:v>
      </x:c>
      <x:c r="Q127" s="12" t="n">
        <x:f>'SIM_21_Tht'!R24</x:f>
        <x:v>693515440274.1936</x:v>
      </x:c>
      <x:c r="R127" s="32" t="n">
        <x:f>'SIM_21_Tht'!S24</x:f>
        <x:v>34.111936527122296</x:v>
      </x:c>
    </x:row>
    <x:row r="128">
      <x:c r="A128" s="8">
        <x:v>22</x:v>
      </x:c>
      <x:c r="B128" s="7" t="str">
        <x:v>TRAUMA</x:v>
      </x:c>
      <x:c r="C128" s="7" t="str">
        <x:v>Trauma</x:v>
      </x:c>
      <x:c r="D128" s="7" t="str">
        <x:v>SIM_22_Trauma</x:v>
      </x:c>
      <x:c r="E128" s="7" t="str">
        <x:v>Paripurna</x:v>
      </x:c>
      <x:c r="F128" s="8">
        <x:v>1</x:v>
      </x:c>
      <x:c r="G128" s="11" t="n">
        <x:f>'SIM_22_Trauma'!$B$6</x:f>
        <x:v>2356</x:v>
      </x:c>
      <x:c r="H128" s="11" t="n">
        <x:f>'SIM_22_Trauma'!C19+'SIM_22_Trauma'!F19</x:f>
        <x:v>1316.9450000000002</x:v>
      </x:c>
      <x:c r="I128" s="11" t="n">
        <x:f>'SIM_22_Trauma'!I19+'SIM_22_Trauma'!L19</x:f>
        <x:v>762</x:v>
      </x:c>
      <x:c r="J128" s="11" t="n">
        <x:f>'SIM_22_Trauma'!N19</x:f>
        <x:v>554.9450000000002</x:v>
      </x:c>
      <x:c r="K128" s="11" t="n">
        <x:f>'SIM_22_Trauma'!O19</x:f>
        <x:v>2910.945</x:v>
      </x:c>
      <x:c r="L128" s="32" t="n">
        <x:f>'SIM_22_Trauma'!P19</x:f>
        <x:v>0.23554541595925305</x:v>
      </x:c>
      <x:c r="M128" s="12" t="n">
        <x:f>'SIM_22_Trauma'!$B$7</x:f>
        <x:v>20967895100</x:v>
      </x:c>
      <x:c r="N128" s="12" t="n">
        <x:f>'SIM_22_Trauma'!D19+'SIM_22_Trauma'!G19</x:f>
        <x:v>23787767824.74292</x:v>
      </x:c>
      <x:c r="O128" s="12" t="n">
        <x:f>'SIM_22_Trauma'!J19+'SIM_22_Trauma'!M19</x:f>
        <x:v>1458405150</x:v>
      </x:c>
      <x:c r="P128" s="12" t="n">
        <x:f>'SIM_22_Trauma'!Q19</x:f>
        <x:v>22329362674.74292</x:v>
      </x:c>
      <x:c r="Q128" s="12" t="n">
        <x:f>'SIM_22_Trauma'!R19</x:f>
        <x:v>43297257774.74292</x:v>
      </x:c>
      <x:c r="R128" s="32" t="n">
        <x:f>'SIM_22_Trauma'!S19</x:f>
        <x:v>1.0649310561813579</x:v>
      </x:c>
    </x:row>
    <x:row r="129">
      <x:c r="A129" s="8">
        <x:v>22</x:v>
      </x:c>
      <x:c r="B129" s="7" t="str">
        <x:v>TRAUMA</x:v>
      </x:c>
      <x:c r="C129" s="7" t="str">
        <x:v>Trauma</x:v>
      </x:c>
      <x:c r="D129" s="7" t="str">
        <x:v>SIM_22_Trauma</x:v>
      </x:c>
      <x:c r="E129" s="7" t="str">
        <x:v>Paripurna</x:v>
      </x:c>
      <x:c r="F129" s="8">
        <x:v>2</x:v>
      </x:c>
      <x:c r="G129" s="11" t="n">
        <x:f>'SIM_22_Trauma'!$B$6</x:f>
        <x:v>2356</x:v>
      </x:c>
      <x:c r="H129" s="11" t="n">
        <x:f>'SIM_22_Trauma'!C20+'SIM_22_Trauma'!F20</x:f>
        <x:v>4742.145</x:v>
      </x:c>
      <x:c r="I129" s="11" t="n">
        <x:f>'SIM_22_Trauma'!I20+'SIM_22_Trauma'!L20</x:f>
        <x:v>914.3999999999999</x:v>
      </x:c>
      <x:c r="J129" s="11" t="n">
        <x:f>'SIM_22_Trauma'!N20</x:f>
        <x:v>3827.745000000001</x:v>
      </x:c>
      <x:c r="K129" s="11" t="n">
        <x:f>'SIM_22_Trauma'!O20</x:f>
        <x:v>6183.745000000001</x:v>
      </x:c>
      <x:c r="L129" s="32" t="n">
        <x:f>'SIM_22_Trauma'!P20</x:f>
        <x:v>1.6246795415959256</x:v>
      </x:c>
      <x:c r="M129" s="12" t="n">
        <x:f>'SIM_22_Trauma'!$B$7</x:f>
        <x:v>20967895100</x:v>
      </x:c>
      <x:c r="N129" s="12" t="n">
        <x:f>'SIM_22_Trauma'!D20+'SIM_22_Trauma'!G20</x:f>
        <x:v>78968683070.33398</x:v>
      </x:c>
      <x:c r="O129" s="12" t="n">
        <x:f>'SIM_22_Trauma'!J20+'SIM_22_Trauma'!M20</x:f>
        <x:v>1750086180</x:v>
      </x:c>
      <x:c r="P129" s="12" t="n">
        <x:f>'SIM_22_Trauma'!Q20</x:f>
        <x:v>77218596890.33398</x:v>
      </x:c>
      <x:c r="Q129" s="12" t="n">
        <x:f>'SIM_22_Trauma'!R20</x:f>
        <x:v>98186491990.33398</x:v>
      </x:c>
      <x:c r="R129" s="32" t="n">
        <x:f>'SIM_22_Trauma'!S20</x:f>
        <x:v>3.6827061811432844</x:v>
      </x:c>
    </x:row>
    <x:row r="130">
      <x:c r="A130" s="8">
        <x:v>22</x:v>
      </x:c>
      <x:c r="B130" s="7" t="str">
        <x:v>TRAUMA</x:v>
      </x:c>
      <x:c r="C130" s="7" t="str">
        <x:v>Trauma</x:v>
      </x:c>
      <x:c r="D130" s="7" t="str">
        <x:v>SIM_22_Trauma</x:v>
      </x:c>
      <x:c r="E130" s="7" t="str">
        <x:v>Paripurna</x:v>
      </x:c>
      <x:c r="F130" s="8">
        <x:v>3</x:v>
      </x:c>
      <x:c r="G130" s="11" t="n">
        <x:f>'SIM_22_Trauma'!$B$6</x:f>
        <x:v>2356</x:v>
      </x:c>
      <x:c r="H130" s="11" t="n">
        <x:f>'SIM_22_Trauma'!C21+'SIM_22_Trauma'!F21</x:f>
        <x:v>8167.345000000001</x:v>
      </x:c>
      <x:c r="I130" s="11" t="n">
        <x:f>'SIM_22_Trauma'!I21+'SIM_22_Trauma'!L21</x:f>
        <x:v>1066.8</x:v>
      </x:c>
      <x:c r="J130" s="11" t="n">
        <x:f>'SIM_22_Trauma'!N21</x:f>
        <x:v>7100.545000000001</x:v>
      </x:c>
      <x:c r="K130" s="11" t="n">
        <x:f>'SIM_22_Trauma'!O21</x:f>
        <x:v>9456.545000000002</x:v>
      </x:c>
      <x:c r="L130" s="32" t="n">
        <x:f>'SIM_22_Trauma'!P21</x:f>
        <x:v>3.013813667232598</x:v>
      </x:c>
      <x:c r="M130" s="12" t="n">
        <x:f>'SIM_22_Trauma'!$B$7</x:f>
        <x:v>20967895100</x:v>
      </x:c>
      <x:c r="N130" s="12" t="n">
        <x:f>'SIM_22_Trauma'!D21+'SIM_22_Trauma'!G21</x:f>
        <x:v>134149598315.92505</x:v>
      </x:c>
      <x:c r="O130" s="12" t="n">
        <x:f>'SIM_22_Trauma'!J21+'SIM_22_Trauma'!M21</x:f>
        <x:v>2041767210</x:v>
      </x:c>
      <x:c r="P130" s="12" t="n">
        <x:f>'SIM_22_Trauma'!Q21</x:f>
        <x:v>132107831105.92505</x:v>
      </x:c>
      <x:c r="Q130" s="12" t="n">
        <x:f>'SIM_22_Trauma'!R21</x:f>
        <x:v>153075726205.92505</x:v>
      </x:c>
      <x:c r="R130" s="32" t="n">
        <x:f>'SIM_22_Trauma'!S21</x:f>
        <x:v>6.300481306105211</x:v>
      </x:c>
    </x:row>
    <x:row r="131">
      <x:c r="A131" s="8">
        <x:v>22</x:v>
      </x:c>
      <x:c r="B131" s="7" t="str">
        <x:v>TRAUMA</x:v>
      </x:c>
      <x:c r="C131" s="7" t="str">
        <x:v>Trauma</x:v>
      </x:c>
      <x:c r="D131" s="7" t="str">
        <x:v>SIM_22_Trauma</x:v>
      </x:c>
      <x:c r="E131" s="7" t="str">
        <x:v>Paripurna</x:v>
      </x:c>
      <x:c r="F131" s="8">
        <x:v>4</x:v>
      </x:c>
      <x:c r="G131" s="11" t="n">
        <x:f>'SIM_22_Trauma'!$B$6</x:f>
        <x:v>2356</x:v>
      </x:c>
      <x:c r="H131" s="11" t="n">
        <x:f>'SIM_22_Trauma'!C22+'SIM_22_Trauma'!F22</x:f>
        <x:v>11592.545</x:v>
      </x:c>
      <x:c r="I131" s="11" t="n">
        <x:f>'SIM_22_Trauma'!I22+'SIM_22_Trauma'!L22</x:f>
        <x:v>1219.2</x:v>
      </x:c>
      <x:c r="J131" s="11" t="n">
        <x:f>'SIM_22_Trauma'!N22</x:f>
        <x:v>10373.345</x:v>
      </x:c>
      <x:c r="K131" s="11" t="n">
        <x:f>'SIM_22_Trauma'!O22</x:f>
        <x:v>12729.345</x:v>
      </x:c>
      <x:c r="L131" s="32" t="n">
        <x:f>'SIM_22_Trauma'!P22</x:f>
        <x:v>4.40294779286927</x:v>
      </x:c>
      <x:c r="M131" s="12" t="n">
        <x:f>'SIM_22_Trauma'!$B$7</x:f>
        <x:v>20967895100</x:v>
      </x:c>
      <x:c r="N131" s="12" t="n">
        <x:f>'SIM_22_Trauma'!D22+'SIM_22_Trauma'!G22</x:f>
        <x:v>189330513561.5161</x:v>
      </x:c>
      <x:c r="O131" s="12" t="n">
        <x:f>'SIM_22_Trauma'!J22+'SIM_22_Trauma'!M22</x:f>
        <x:v>2333448240</x:v>
      </x:c>
      <x:c r="P131" s="12" t="n">
        <x:f>'SIM_22_Trauma'!Q22</x:f>
        <x:v>186997065321.5161</x:v>
      </x:c>
      <x:c r="Q131" s="12" t="n">
        <x:f>'SIM_22_Trauma'!R22</x:f>
        <x:v>207964960421.5161</x:v>
      </x:c>
      <x:c r="R131" s="32" t="n">
        <x:f>'SIM_22_Trauma'!S22</x:f>
        <x:v>8.918256431067137</x:v>
      </x:c>
    </x:row>
    <x:row r="132">
      <x:c r="A132" s="8">
        <x:v>22</x:v>
      </x:c>
      <x:c r="B132" s="7" t="str">
        <x:v>TRAUMA</x:v>
      </x:c>
      <x:c r="C132" s="7" t="str">
        <x:v>Trauma</x:v>
      </x:c>
      <x:c r="D132" s="7" t="str">
        <x:v>SIM_22_Trauma</x:v>
      </x:c>
      <x:c r="E132" s="7" t="str">
        <x:v>Paripurna</x:v>
      </x:c>
      <x:c r="F132" s="8">
        <x:v>5</x:v>
      </x:c>
      <x:c r="G132" s="11" t="n">
        <x:f>'SIM_22_Trauma'!$B$6</x:f>
        <x:v>2356</x:v>
      </x:c>
      <x:c r="H132" s="11" t="n">
        <x:f>'SIM_22_Trauma'!C23+'SIM_22_Trauma'!F23</x:f>
        <x:v>15017.744999999999</x:v>
      </x:c>
      <x:c r="I132" s="11" t="n">
        <x:f>'SIM_22_Trauma'!I23+'SIM_22_Trauma'!L23</x:f>
        <x:v>1371.6000000000001</x:v>
      </x:c>
      <x:c r="J132" s="11" t="n">
        <x:f>'SIM_22_Trauma'!N23</x:f>
        <x:v>13646.144999999999</x:v>
      </x:c>
      <x:c r="K132" s="11" t="n">
        <x:f>'SIM_22_Trauma'!O23</x:f>
        <x:v>16002.144999999999</x:v>
      </x:c>
      <x:c r="L132" s="32" t="n">
        <x:f>'SIM_22_Trauma'!P23</x:f>
        <x:v>5.792081918505942</x:v>
      </x:c>
      <x:c r="M132" s="12" t="n">
        <x:f>'SIM_22_Trauma'!$B$7</x:f>
        <x:v>20967895100</x:v>
      </x:c>
      <x:c r="N132" s="12" t="n">
        <x:f>'SIM_22_Trauma'!D23+'SIM_22_Trauma'!G23</x:f>
        <x:v>244511428807.10718</x:v>
      </x:c>
      <x:c r="O132" s="12" t="n">
        <x:f>'SIM_22_Trauma'!J23+'SIM_22_Trauma'!M23</x:f>
        <x:v>2625129270</x:v>
      </x:c>
      <x:c r="P132" s="12" t="n">
        <x:f>'SIM_22_Trauma'!Q23</x:f>
        <x:v>241886299537.10718</x:v>
      </x:c>
      <x:c r="Q132" s="12" t="n">
        <x:f>'SIM_22_Trauma'!R23</x:f>
        <x:v>262854194637.10718</x:v>
      </x:c>
      <x:c r="R132" s="32" t="n">
        <x:f>'SIM_22_Trauma'!S23</x:f>
        <x:v>11.536031556029064</x:v>
      </x:c>
    </x:row>
    <x:row r="133">
      <x:c r="A133" s="8">
        <x:v>22</x:v>
      </x:c>
      <x:c r="B133" s="7" t="str">
        <x:v>TRAUMA</x:v>
      </x:c>
      <x:c r="C133" s="7" t="str">
        <x:v>Trauma</x:v>
      </x:c>
      <x:c r="D133" s="7" t="str">
        <x:v>SIM_22_Trauma</x:v>
      </x:c>
      <x:c r="E133" s="7" t="str">
        <x:v>Paripurna</x:v>
      </x:c>
      <x:c r="F133" s="8">
        <x:v>6</x:v>
      </x:c>
      <x:c r="G133" s="11" t="n">
        <x:f>'SIM_22_Trauma'!$B$6</x:f>
        <x:v>2356</x:v>
      </x:c>
      <x:c r="H133" s="11" t="n">
        <x:f>'SIM_22_Trauma'!C24+'SIM_22_Trauma'!F24</x:f>
        <x:v>18442.945</x:v>
      </x:c>
      <x:c r="I133" s="11" t="n">
        <x:f>'SIM_22_Trauma'!I24+'SIM_22_Trauma'!L24</x:f>
        <x:v>1524</x:v>
      </x:c>
      <x:c r="J133" s="11" t="n">
        <x:f>'SIM_22_Trauma'!N24</x:f>
        <x:v>16918.945</x:v>
      </x:c>
      <x:c r="K133" s="11" t="n">
        <x:f>'SIM_22_Trauma'!O24</x:f>
        <x:v>19274.945</x:v>
      </x:c>
      <x:c r="L133" s="32" t="n">
        <x:f>'SIM_22_Trauma'!P24</x:f>
        <x:v>7.181216044142614</x:v>
      </x:c>
      <x:c r="M133" s="12" t="n">
        <x:f>'SIM_22_Trauma'!$B$7</x:f>
        <x:v>20967895100</x:v>
      </x:c>
      <x:c r="N133" s="12" t="n">
        <x:f>'SIM_22_Trauma'!D24+'SIM_22_Trauma'!G24</x:f>
        <x:v>299692344052.69824</x:v>
      </x:c>
      <x:c r="O133" s="12" t="n">
        <x:f>'SIM_22_Trauma'!J24+'SIM_22_Trauma'!M24</x:f>
        <x:v>2916810300</x:v>
      </x:c>
      <x:c r="P133" s="12" t="n">
        <x:f>'SIM_22_Trauma'!Q24</x:f>
        <x:v>296775533752.69824</x:v>
      </x:c>
      <x:c r="Q133" s="12" t="n">
        <x:f>'SIM_22_Trauma'!R24</x:f>
        <x:v>317743428852.69824</x:v>
      </x:c>
      <x:c r="R133" s="32" t="n">
        <x:f>'SIM_22_Trauma'!S24</x:f>
        <x:v>14.15380668099099</x:v>
      </x:c>
    </x:row>
    <x:row r="134">
      <x:c r="A134" s="8">
        <x:v>23</x:v>
      </x:c>
      <x:c r="B134" s="7" t="str">
        <x:v>URO NEFRO</x:v>
      </x:c>
      <x:c r="C134" s="7" t="str">
        <x:v>Uro Nefro</x:v>
      </x:c>
      <x:c r="D134" s="7" t="str">
        <x:v>SIM_23_Uro_Nefro</x:v>
      </x:c>
      <x:c r="E134" s="7" t="str">
        <x:v>Paripurna</x:v>
      </x:c>
      <x:c r="F134" s="8">
        <x:v>1</x:v>
      </x:c>
      <x:c r="G134" s="11" t="n">
        <x:f>'SIM_23_Uro_Nefro'!$B$6</x:f>
        <x:v>39032</x:v>
      </x:c>
      <x:c r="H134" s="11" t="n">
        <x:f>'SIM_23_Uro_Nefro'!C19+'SIM_23_Uro_Nefro'!F19</x:f>
        <x:v>67344.60800000001</x:v>
      </x:c>
      <x:c r="I134" s="11" t="n">
        <x:f>'SIM_23_Uro_Nefro'!I19+'SIM_23_Uro_Nefro'!L19</x:f>
        <x:v>15678.5</x:v>
      </x:c>
      <x:c r="J134" s="11" t="n">
        <x:f>'SIM_23_Uro_Nefro'!N19</x:f>
        <x:v>51666.10800000001</x:v>
      </x:c>
      <x:c r="K134" s="11" t="n">
        <x:f>'SIM_23_Uro_Nefro'!O19</x:f>
        <x:v>90698.10800000001</x:v>
      </x:c>
      <x:c r="L134" s="32" t="n">
        <x:f>'SIM_23_Uro_Nefro'!P19</x:f>
        <x:v>1.323685898749744</x:v>
      </x:c>
      <x:c r="M134" s="12" t="n">
        <x:f>'SIM_23_Uro_Nefro'!$B$7</x:f>
        <x:v>78355163600</x:v>
      </x:c>
      <x:c r="N134" s="12" t="n">
        <x:f>'SIM_23_Uro_Nefro'!D19+'SIM_23_Uro_Nefro'!G19</x:f>
        <x:v>195259003007.5441</x:v>
      </x:c>
      <x:c r="O134" s="12" t="n">
        <x:f>'SIM_23_Uro_Nefro'!J19+'SIM_23_Uro_Nefro'!M19</x:f>
        <x:v>25680019200</x:v>
      </x:c>
      <x:c r="P134" s="12" t="n">
        <x:f>'SIM_23_Uro_Nefro'!Q19</x:f>
        <x:v>169578983807.5441</x:v>
      </x:c>
      <x:c r="Q134" s="12" t="n">
        <x:f>'SIM_23_Uro_Nefro'!R19</x:f>
        <x:v>247934147407.5441</x:v>
      </x:c>
      <x:c r="R134" s="32" t="n">
        <x:f>'SIM_23_Uro_Nefro'!S19</x:f>
        <x:v>2.164234952953938</x:v>
      </x:c>
    </x:row>
    <x:row r="135">
      <x:c r="A135" s="8">
        <x:v>23</x:v>
      </x:c>
      <x:c r="B135" s="7" t="str">
        <x:v>URO NEFRO</x:v>
      </x:c>
      <x:c r="C135" s="7" t="str">
        <x:v>Uro Nefro</x:v>
      </x:c>
      <x:c r="D135" s="7" t="str">
        <x:v>SIM_23_Uro_Nefro</x:v>
      </x:c>
      <x:c r="E135" s="7" t="str">
        <x:v>Paripurna</x:v>
      </x:c>
      <x:c r="F135" s="8">
        <x:v>2</x:v>
      </x:c>
      <x:c r="G135" s="11" t="n">
        <x:f>'SIM_23_Uro_Nefro'!$B$6</x:f>
        <x:v>39032</x:v>
      </x:c>
      <x:c r="H135" s="11" t="n">
        <x:f>'SIM_23_Uro_Nefro'!C20+'SIM_23_Uro_Nefro'!F20</x:f>
        <x:v>127082.40800000001</x:v>
      </x:c>
      <x:c r="I135" s="11" t="n">
        <x:f>'SIM_23_Uro_Nefro'!I20+'SIM_23_Uro_Nefro'!L20</x:f>
        <x:v>18814.2</x:v>
      </x:c>
      <x:c r="J135" s="11" t="n">
        <x:f>'SIM_23_Uro_Nefro'!N20</x:f>
        <x:v>108268.20800000001</x:v>
      </x:c>
      <x:c r="K135" s="11" t="n">
        <x:f>'SIM_23_Uro_Nefro'!O20</x:f>
        <x:v>147300.208</x:v>
      </x:c>
      <x:c r="L135" s="32" t="n">
        <x:f>'SIM_23_Uro_Nefro'!P20</x:f>
        <x:v>2.77383193277311</x:v>
      </x:c>
      <x:c r="M135" s="12" t="n">
        <x:f>'SIM_23_Uro_Nefro'!$B$7</x:f>
        <x:v>78355163600</x:v>
      </x:c>
      <x:c r="N135" s="12" t="n">
        <x:f>'SIM_23_Uro_Nefro'!D20+'SIM_23_Uro_Nefro'!G20</x:f>
        <x:v>369786937885.1221</x:v>
      </x:c>
      <x:c r="O135" s="12" t="n">
        <x:f>'SIM_23_Uro_Nefro'!J20+'SIM_23_Uro_Nefro'!M20</x:f>
        <x:v>30816023040</x:v>
      </x:c>
      <x:c r="P135" s="12" t="n">
        <x:f>'SIM_23_Uro_Nefro'!Q20</x:f>
        <x:v>338970914845.1221</x:v>
      </x:c>
      <x:c r="Q135" s="12" t="n">
        <x:f>'SIM_23_Uro_Nefro'!R20</x:f>
        <x:v>417326078445.1221</x:v>
      </x:c>
      <x:c r="R135" s="32" t="n">
        <x:f>'SIM_23_Uro_Nefro'!S20</x:f>
        <x:v>4.326082663493055</x:v>
      </x:c>
    </x:row>
    <x:row r="136">
      <x:c r="A136" s="8">
        <x:v>23</x:v>
      </x:c>
      <x:c r="B136" s="7" t="str">
        <x:v>URO NEFRO</x:v>
      </x:c>
      <x:c r="C136" s="7" t="str">
        <x:v>Uro Nefro</x:v>
      </x:c>
      <x:c r="D136" s="7" t="str">
        <x:v>SIM_23_Uro_Nefro</x:v>
      </x:c>
      <x:c r="E136" s="7" t="str">
        <x:v>Paripurna</x:v>
      </x:c>
      <x:c r="F136" s="8">
        <x:v>3</x:v>
      </x:c>
      <x:c r="G136" s="11" t="n">
        <x:f>'SIM_23_Uro_Nefro'!$B$6</x:f>
        <x:v>39032</x:v>
      </x:c>
      <x:c r="H136" s="11" t="n">
        <x:f>'SIM_23_Uro_Nefro'!C21+'SIM_23_Uro_Nefro'!F21</x:f>
        <x:v>186820.208</x:v>
      </x:c>
      <x:c r="I136" s="11" t="n">
        <x:f>'SIM_23_Uro_Nefro'!I21+'SIM_23_Uro_Nefro'!L21</x:f>
        <x:v>21949.899999999998</x:v>
      </x:c>
      <x:c r="J136" s="11" t="n">
        <x:f>'SIM_23_Uro_Nefro'!N21</x:f>
        <x:v>164870.30800000002</x:v>
      </x:c>
      <x:c r="K136" s="11" t="n">
        <x:f>'SIM_23_Uro_Nefro'!O21</x:f>
        <x:v>203902.30800000002</x:v>
      </x:c>
      <x:c r="L136" s="32" t="n">
        <x:f>'SIM_23_Uro_Nefro'!P21</x:f>
        <x:v>4.223977966796475</x:v>
      </x:c>
      <x:c r="M136" s="12" t="n">
        <x:f>'SIM_23_Uro_Nefro'!$B$7</x:f>
        <x:v>78355163600</x:v>
      </x:c>
      <x:c r="N136" s="12" t="n">
        <x:f>'SIM_23_Uro_Nefro'!D21+'SIM_23_Uro_Nefro'!G21</x:f>
        <x:v>544314872762.7</x:v>
      </x:c>
      <x:c r="O136" s="12" t="n">
        <x:f>'SIM_23_Uro_Nefro'!J21+'SIM_23_Uro_Nefro'!M21</x:f>
        <x:v>35952026880</x:v>
      </x:c>
      <x:c r="P136" s="12" t="n">
        <x:f>'SIM_23_Uro_Nefro'!Q21</x:f>
        <x:v>508362845882.7</x:v>
      </x:c>
      <x:c r="Q136" s="12" t="n">
        <x:f>'SIM_23_Uro_Nefro'!R21</x:f>
        <x:v>586718009482.7</x:v>
      </x:c>
      <x:c r="R136" s="32" t="n">
        <x:f>'SIM_23_Uro_Nefro'!S21</x:f>
        <x:v>6.487930374032172</x:v>
      </x:c>
    </x:row>
    <x:row r="137">
      <x:c r="A137" s="8">
        <x:v>23</x:v>
      </x:c>
      <x:c r="B137" s="7" t="str">
        <x:v>URO NEFRO</x:v>
      </x:c>
      <x:c r="C137" s="7" t="str">
        <x:v>Uro Nefro</x:v>
      </x:c>
      <x:c r="D137" s="7" t="str">
        <x:v>SIM_23_Uro_Nefro</x:v>
      </x:c>
      <x:c r="E137" s="7" t="str">
        <x:v>Paripurna</x:v>
      </x:c>
      <x:c r="F137" s="8">
        <x:v>4</x:v>
      </x:c>
      <x:c r="G137" s="11" t="n">
        <x:f>'SIM_23_Uro_Nefro'!$B$6</x:f>
        <x:v>39032</x:v>
      </x:c>
      <x:c r="H137" s="11" t="n">
        <x:f>'SIM_23_Uro_Nefro'!C22+'SIM_23_Uro_Nefro'!F22</x:f>
        <x:v>246558.00800000003</x:v>
      </x:c>
      <x:c r="I137" s="11" t="n">
        <x:f>'SIM_23_Uro_Nefro'!I22+'SIM_23_Uro_Nefro'!L22</x:f>
        <x:v>25085.600000000002</x:v>
      </x:c>
      <x:c r="J137" s="11" t="n">
        <x:f>'SIM_23_Uro_Nefro'!N22</x:f>
        <x:v>221472.40800000002</x:v>
      </x:c>
      <x:c r="K137" s="11" t="n">
        <x:f>'SIM_23_Uro_Nefro'!O22</x:f>
        <x:v>260504.40800000002</x:v>
      </x:c>
      <x:c r="L137" s="32" t="n">
        <x:f>'SIM_23_Uro_Nefro'!P22</x:f>
        <x:v>5.674124000819841</x:v>
      </x:c>
      <x:c r="M137" s="12" t="n">
        <x:f>'SIM_23_Uro_Nefro'!$B$7</x:f>
        <x:v>78355163600</x:v>
      </x:c>
      <x:c r="N137" s="12" t="n">
        <x:f>'SIM_23_Uro_Nefro'!D22+'SIM_23_Uro_Nefro'!G22</x:f>
        <x:v>718842807640.2781</x:v>
      </x:c>
      <x:c r="O137" s="12" t="n">
        <x:f>'SIM_23_Uro_Nefro'!J22+'SIM_23_Uro_Nefro'!M22</x:f>
        <x:v>41088030720</x:v>
      </x:c>
      <x:c r="P137" s="12" t="n">
        <x:f>'SIM_23_Uro_Nefro'!Q22</x:f>
        <x:v>677754776920.2781</x:v>
      </x:c>
      <x:c r="Q137" s="12" t="n">
        <x:f>'SIM_23_Uro_Nefro'!R22</x:f>
        <x:v>756109940520.2781</x:v>
      </x:c>
      <x:c r="R137" s="32" t="n">
        <x:f>'SIM_23_Uro_Nefro'!S22</x:f>
        <x:v>8.64977808457129</x:v>
      </x:c>
    </x:row>
    <x:row r="138">
      <x:c r="A138" s="8">
        <x:v>23</x:v>
      </x:c>
      <x:c r="B138" s="7" t="str">
        <x:v>URO NEFRO</x:v>
      </x:c>
      <x:c r="C138" s="7" t="str">
        <x:v>Uro Nefro</x:v>
      </x:c>
      <x:c r="D138" s="7" t="str">
        <x:v>SIM_23_Uro_Nefro</x:v>
      </x:c>
      <x:c r="E138" s="7" t="str">
        <x:v>Paripurna</x:v>
      </x:c>
      <x:c r="F138" s="8">
        <x:v>5</x:v>
      </x:c>
      <x:c r="G138" s="11" t="n">
        <x:f>'SIM_23_Uro_Nefro'!$B$6</x:f>
        <x:v>39032</x:v>
      </x:c>
      <x:c r="H138" s="11" t="n">
        <x:f>'SIM_23_Uro_Nefro'!C23+'SIM_23_Uro_Nefro'!F23</x:f>
        <x:v>306295.808</x:v>
      </x:c>
      <x:c r="I138" s="11" t="n">
        <x:f>'SIM_23_Uro_Nefro'!I23+'SIM_23_Uro_Nefro'!L23</x:f>
        <x:v>28221.300000000003</x:v>
      </x:c>
      <x:c r="J138" s="11" t="n">
        <x:f>'SIM_23_Uro_Nefro'!N23</x:f>
        <x:v>278074.50800000003</x:v>
      </x:c>
      <x:c r="K138" s="11" t="n">
        <x:f>'SIM_23_Uro_Nefro'!O23</x:f>
        <x:v>317106.50800000003</x:v>
      </x:c>
      <x:c r="L138" s="32" t="n">
        <x:f>'SIM_23_Uro_Nefro'!P23</x:f>
        <x:v>7.124270034843207</x:v>
      </x:c>
      <x:c r="M138" s="12" t="n">
        <x:f>'SIM_23_Uro_Nefro'!$B$7</x:f>
        <x:v>78355163600</x:v>
      </x:c>
      <x:c r="N138" s="12" t="n">
        <x:f>'SIM_23_Uro_Nefro'!D23+'SIM_23_Uro_Nefro'!G23</x:f>
        <x:v>893370742517.856</x:v>
      </x:c>
      <x:c r="O138" s="12" t="n">
        <x:f>'SIM_23_Uro_Nefro'!J23+'SIM_23_Uro_Nefro'!M23</x:f>
        <x:v>46224034560</x:v>
      </x:c>
      <x:c r="P138" s="12" t="n">
        <x:f>'SIM_23_Uro_Nefro'!Q23</x:f>
        <x:v>847146707957.856</x:v>
      </x:c>
      <x:c r="Q138" s="12" t="n">
        <x:f>'SIM_23_Uro_Nefro'!R23</x:f>
        <x:v>925501871557.856</x:v>
      </x:c>
      <x:c r="R138" s="32" t="n">
        <x:f>'SIM_23_Uro_Nefro'!S23</x:f>
        <x:v>10.811625795110405</x:v>
      </x:c>
    </x:row>
    <x:row r="139">
      <x:c r="A139" s="8">
        <x:v>23</x:v>
      </x:c>
      <x:c r="B139" s="7" t="str">
        <x:v>URO NEFRO</x:v>
      </x:c>
      <x:c r="C139" s="7" t="str">
        <x:v>Uro Nefro</x:v>
      </x:c>
      <x:c r="D139" s="7" t="str">
        <x:v>SIM_23_Uro_Nefro</x:v>
      </x:c>
      <x:c r="E139" s="7" t="str">
        <x:v>Paripurna</x:v>
      </x:c>
      <x:c r="F139" s="8">
        <x:v>6</x:v>
      </x:c>
      <x:c r="G139" s="11" t="n">
        <x:f>'SIM_23_Uro_Nefro'!$B$6</x:f>
        <x:v>39032</x:v>
      </x:c>
      <x:c r="H139" s="11" t="n">
        <x:f>'SIM_23_Uro_Nefro'!C24+'SIM_23_Uro_Nefro'!F24</x:f>
        <x:v>366033.608</x:v>
      </x:c>
      <x:c r="I139" s="11" t="n">
        <x:f>'SIM_23_Uro_Nefro'!I24+'SIM_23_Uro_Nefro'!L24</x:f>
        <x:v>31357</x:v>
      </x:c>
      <x:c r="J139" s="11" t="n">
        <x:f>'SIM_23_Uro_Nefro'!N24</x:f>
        <x:v>334676.608</x:v>
      </x:c>
      <x:c r="K139" s="11" t="n">
        <x:f>'SIM_23_Uro_Nefro'!O24</x:f>
        <x:v>373708.608</x:v>
      </x:c>
      <x:c r="L139" s="32" t="n">
        <x:f>'SIM_23_Uro_Nefro'!P24</x:f>
        <x:v>8.57441606886657</x:v>
      </x:c>
      <x:c r="M139" s="12" t="n">
        <x:f>'SIM_23_Uro_Nefro'!$B$7</x:f>
        <x:v>78355163600</x:v>
      </x:c>
      <x:c r="N139" s="12" t="n">
        <x:f>'SIM_23_Uro_Nefro'!D24+'SIM_23_Uro_Nefro'!G24</x:f>
        <x:v>1067898677395.4338</x:v>
      </x:c>
      <x:c r="O139" s="12" t="n">
        <x:f>'SIM_23_Uro_Nefro'!J24+'SIM_23_Uro_Nefro'!M24</x:f>
        <x:v>51360038400</x:v>
      </x:c>
      <x:c r="P139" s="12" t="n">
        <x:f>'SIM_23_Uro_Nefro'!Q24</x:f>
        <x:v>1016538638995.4338</x:v>
      </x:c>
      <x:c r="Q139" s="12" t="n">
        <x:f>'SIM_23_Uro_Nefro'!R24</x:f>
        <x:v>1094893802595.4338</x:v>
      </x:c>
      <x:c r="R139" s="32" t="n">
        <x:f>'SIM_23_Uro_Nefro'!S24</x:f>
        <x:v>12.973473505649523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cols>
    <x:col min="1" max="1" width="6.83203125" customWidth="1"/>
    <x:col min="2" max="2" width="36.83203125" customWidth="1"/>
    <x:col min="3" max="3" width="30.83203125" customWidth="1"/>
    <x:col min="4" max="4" width="20.83203125" customWidth="1"/>
    <x:col min="5" max="5" width="22.83203125" customWidth="1"/>
    <x:col min="6" max="6" width="13.83203125" customWidth="1"/>
    <x:col min="7" max="7" width="22.83203125" customWidth="1"/>
    <x:col min="8" max="8" width="24.83203125" customWidth="1"/>
    <x:col min="9" max="9" width="13.83203125" customWidth="1"/>
    <x:col min="10" max="10" width="12.83203125" customWidth="1"/>
  </x:cols>
  <x:sheetData>
    <x:row r="1">
      <x:c r="A1" s="4" t="str">
        <x:v>No</x:v>
      </x:c>
      <x:c r="B1" s="4" t="str">
        <x:v>Layanan</x:v>
      </x:c>
      <x:c r="C1" s="4" t="str">
        <x:v>Sheet</x:v>
      </x:c>
      <x:c r="D1" s="4" t="str">
        <x:v>Kasus Target - Sumber</x:v>
      </x:c>
      <x:c r="E1" s="4" t="str">
        <x:v>Kasus Target - Simulasi</x:v>
      </x:c>
      <x:c r="F1" s="4" t="str">
        <x:v>Selisih</x:v>
      </x:c>
      <x:c r="G1" s="4" t="str">
        <x:v>Kasus Regional - Sumber</x:v>
      </x:c>
      <x:c r="H1" s="4" t="str">
        <x:v>Kasus Regional - Simulasi</x:v>
      </x:c>
      <x:c r="I1" s="4" t="str">
        <x:v>Selisih</x:v>
      </x:c>
      <x:c r="J1" s="4" t="str">
        <x:v>Status</x:v>
      </x:c>
    </x:row>
    <x:row r="2">
      <x:c r="A2" s="8">
        <x:v>1</x:v>
      </x:c>
      <x:c r="B2" s="7" t="str">
        <x:v>Alergi, Imunologi &amp; Rheumatologi</x:v>
      </x:c>
      <x:c r="C2" s="7" t="str">
        <x:v>SIM_01_Alergi_Imunologi_Rheumat</x:v>
      </x:c>
      <x:c r="D2" s="11" t="n">
        <x:f>'02_Data_Layanan'!H2+'02_Data_Layanan'!H3+'02_Data_Layanan'!H4+'02_Data_Layanan'!H5</x:f>
        <x:v>124</x:v>
      </x:c>
      <x:c r="E2" s="11" t="n">
        <x:f>'SIM_01_Alergi_Imunologi_Rheumat'!$B$6</x:f>
        <x:v>124</x:v>
      </x:c>
      <x:c r="F2" s="11" t="n">
        <x:f>E2-D2</x:f>
        <x:v>0</x:v>
      </x:c>
      <x:c r="G2" s="11" t="n">
        <x:f>'02_Data_Layanan'!K2+'02_Data_Layanan'!K3+'02_Data_Layanan'!K4+'02_Data_Layanan'!K5</x:f>
        <x:v>6611</x:v>
      </x:c>
      <x:c r="H2" s="11" t="n">
        <x:f>'SIM_01_Alergi_Imunologi_Rheumat'!$F$6</x:f>
        <x:v>6611</x:v>
      </x:c>
      <x:c r="I2" s="11" t="n">
        <x:f>H2-G2</x:f>
        <x:v>0</x:v>
      </x:c>
      <x:c r="J2" s="33" t="str">
        <x:f>IF(AND(ABS(F2)&lt;0.01,ABS(I2)&lt;0.01),"PASS","FAIL")</x:f>
        <x:v>PASS</x:v>
      </x:c>
    </x:row>
    <x:row r="3">
      <x:c r="A3" s="8">
        <x:v>2</x:v>
      </x:c>
      <x:c r="B3" s="7" t="str">
        <x:v>Endokrin, Nutrisi &amp; Metabolik</x:v>
      </x:c>
      <x:c r="C3" s="7" t="str">
        <x:v>SIM_02_Endokrin_Nutrisi_Metabol</x:v>
      </x:c>
      <x:c r="D3" s="11" t="n">
        <x:f>'02_Data_Layanan'!H6+'02_Data_Layanan'!H7+'02_Data_Layanan'!H8+'02_Data_Layanan'!H9</x:f>
        <x:v>11414</x:v>
      </x:c>
      <x:c r="E3" s="11" t="n">
        <x:f>'SIM_02_Endokrin_Nutrisi_Metabol'!$B$6</x:f>
        <x:v>11414</x:v>
      </x:c>
      <x:c r="F3" s="11" t="n">
        <x:f>E3-D3</x:f>
        <x:v>0</x:v>
      </x:c>
      <x:c r="G3" s="11" t="n">
        <x:f>'02_Data_Layanan'!K6+'02_Data_Layanan'!K7+'02_Data_Layanan'!K8+'02_Data_Layanan'!K9</x:f>
        <x:v>3277467</x:v>
      </x:c>
      <x:c r="H3" s="11" t="n">
        <x:f>'SIM_02_Endokrin_Nutrisi_Metabol'!$F$6</x:f>
        <x:v>3277467</x:v>
      </x:c>
      <x:c r="I3" s="11" t="n">
        <x:f>H3-G3</x:f>
        <x:v>0</x:v>
      </x:c>
      <x:c r="J3" s="33" t="str">
        <x:f>IF(AND(ABS(F3)&lt;0.01,ABS(I3)&lt;0.01),"PASS","FAIL")</x:f>
        <x:v>PASS</x:v>
      </x:c>
    </x:row>
    <x:row r="4">
      <x:c r="A4" s="8">
        <x:v>3</x:v>
      </x:c>
      <x:c r="B4" s="7" t="str">
        <x:v>Gigi &amp; Mulut</x:v>
      </x:c>
      <x:c r="C4" s="7" t="str">
        <x:v>SIM_03_Gigi_Mulut</x:v>
      </x:c>
      <x:c r="D4" s="11" t="n">
        <x:f>'02_Data_Layanan'!H10+'02_Data_Layanan'!H11+'02_Data_Layanan'!H12+'02_Data_Layanan'!H13</x:f>
        <x:v>569</x:v>
      </x:c>
      <x:c r="E4" s="11" t="n">
        <x:f>'SIM_03_Gigi_Mulut'!$B$6</x:f>
        <x:v>569</x:v>
      </x:c>
      <x:c r="F4" s="11" t="n">
        <x:f>E4-D4</x:f>
        <x:v>0</x:v>
      </x:c>
      <x:c r="G4" s="11" t="n">
        <x:f>'02_Data_Layanan'!K10+'02_Data_Layanan'!K11+'02_Data_Layanan'!K12+'02_Data_Layanan'!K13</x:f>
        <x:v>1114343</x:v>
      </x:c>
      <x:c r="H4" s="11" t="n">
        <x:f>'SIM_03_Gigi_Mulut'!$F$6</x:f>
        <x:v>1114343</x:v>
      </x:c>
      <x:c r="I4" s="11" t="n">
        <x:f>H4-G4</x:f>
        <x:v>0</x:v>
      </x:c>
      <x:c r="J4" s="33" t="str">
        <x:f>IF(AND(ABS(F4)&lt;0.01,ABS(I4)&lt;0.01),"PASS","FAIL")</x:f>
        <x:v>PASS</x:v>
      </x:c>
    </x:row>
    <x:row r="5">
      <x:c r="A5" s="8">
        <x:v>4</x:v>
      </x:c>
      <x:c r="B5" s="7" t="str">
        <x:v>Hematologi</x:v>
      </x:c>
      <x:c r="C5" s="7" t="str">
        <x:v>SIM_04_Hematologi</x:v>
      </x:c>
      <x:c r="D5" s="11" t="n">
        <x:f>'02_Data_Layanan'!H14+'02_Data_Layanan'!H15+'02_Data_Layanan'!H16+'02_Data_Layanan'!H17</x:f>
        <x:v>8080</x:v>
      </x:c>
      <x:c r="E5" s="11" t="n">
        <x:f>'SIM_04_Hematologi'!$B$6</x:f>
        <x:v>8080</x:v>
      </x:c>
      <x:c r="F5" s="11" t="n">
        <x:f>E5-D5</x:f>
        <x:v>0</x:v>
      </x:c>
      <x:c r="G5" s="11" t="n">
        <x:f>'02_Data_Layanan'!K14+'02_Data_Layanan'!K15+'02_Data_Layanan'!K16+'02_Data_Layanan'!K17</x:f>
        <x:v>687503</x:v>
      </x:c>
      <x:c r="H5" s="11" t="n">
        <x:f>'SIM_04_Hematologi'!$F$6</x:f>
        <x:v>687503</x:v>
      </x:c>
      <x:c r="I5" s="11" t="n">
        <x:f>H5-G5</x:f>
        <x:v>0</x:v>
      </x:c>
      <x:c r="J5" s="33" t="str">
        <x:f>IF(AND(ABS(F5)&lt;0.01,ABS(I5)&lt;0.01),"PASS","FAIL")</x:f>
        <x:v>PASS</x:v>
      </x:c>
    </x:row>
    <x:row r="6">
      <x:c r="A6" s="8">
        <x:v>5</x:v>
      </x:c>
      <x:c r="B6" s="7" t="str">
        <x:v>Ibu &amp; Ginekologi</x:v>
      </x:c>
      <x:c r="C6" s="7" t="str">
        <x:v>SIM_05_Ibu_Ginekologi</x:v>
      </x:c>
      <x:c r="D6" s="11" t="n">
        <x:f>'02_Data_Layanan'!H18+'02_Data_Layanan'!H19+'02_Data_Layanan'!H20+'02_Data_Layanan'!H21</x:f>
        <x:v>27998</x:v>
      </x:c>
      <x:c r="E6" s="11" t="n">
        <x:f>'SIM_05_Ibu_Ginekologi'!$B$6</x:f>
        <x:v>27998</x:v>
      </x:c>
      <x:c r="F6" s="11" t="n">
        <x:f>E6-D6</x:f>
        <x:v>0</x:v>
      </x:c>
      <x:c r="G6" s="11" t="n">
        <x:f>'02_Data_Layanan'!K18+'02_Data_Layanan'!K19+'02_Data_Layanan'!K20+'02_Data_Layanan'!K21</x:f>
        <x:v>4186140</x:v>
      </x:c>
      <x:c r="H6" s="11" t="n">
        <x:f>'SIM_05_Ibu_Ginekologi'!$F$6</x:f>
        <x:v>4186140</x:v>
      </x:c>
      <x:c r="I6" s="11" t="n">
        <x:f>H6-G6</x:f>
        <x:v>0</x:v>
      </x:c>
      <x:c r="J6" s="33" t="str">
        <x:f>IF(AND(ABS(F6)&lt;0.01,ABS(I6)&lt;0.01),"PASS","FAIL")</x:f>
        <x:v>PASS</x:v>
      </x:c>
    </x:row>
    <x:row r="7">
      <x:c r="A7" s="8">
        <x:v>6</x:v>
      </x:c>
      <x:c r="B7" s="7" t="str">
        <x:v>Infeksi &amp; Parasit</x:v>
      </x:c>
      <x:c r="C7" s="7" t="str">
        <x:v>SIM_06_Infeksi_Parasit</x:v>
      </x:c>
      <x:c r="D7" s="11" t="n">
        <x:f>'02_Data_Layanan'!H22+'02_Data_Layanan'!H23+'02_Data_Layanan'!H24+'02_Data_Layanan'!H25</x:f>
        <x:v>2347</x:v>
      </x:c>
      <x:c r="E7" s="11" t="n">
        <x:f>'SIM_06_Infeksi_Parasit'!$B$6</x:f>
        <x:v>2347</x:v>
      </x:c>
      <x:c r="F7" s="11" t="n">
        <x:f>E7-D7</x:f>
        <x:v>0</x:v>
      </x:c>
      <x:c r="G7" s="11" t="n">
        <x:f>'02_Data_Layanan'!K22+'02_Data_Layanan'!K23+'02_Data_Layanan'!K24+'02_Data_Layanan'!K25</x:f>
        <x:v>1535863</x:v>
      </x:c>
      <x:c r="H7" s="11" t="n">
        <x:f>'SIM_06_Infeksi_Parasit'!$F$6</x:f>
        <x:v>1535863</x:v>
      </x:c>
      <x:c r="I7" s="11" t="n">
        <x:f>H7-G7</x:f>
        <x:v>0</x:v>
      </x:c>
      <x:c r="J7" s="33" t="str">
        <x:f>IF(AND(ABS(F7)&lt;0.01,ABS(I7)&lt;0.01),"PASS","FAIL")</x:f>
        <x:v>PASS</x:v>
      </x:c>
    </x:row>
    <x:row r="8">
      <x:c r="A8" s="8">
        <x:v>7</x:v>
      </x:c>
      <x:c r="B8" s="7" t="str">
        <x:v>Jantung &amp; Pembuluh Darah</x:v>
      </x:c>
      <x:c r="C8" s="7" t="str">
        <x:v>SIM_07_Jantung_Pembuluh_Darah</x:v>
      </x:c>
      <x:c r="D8" s="11" t="n">
        <x:f>'02_Data_Layanan'!H26+'02_Data_Layanan'!H27+'02_Data_Layanan'!H28+'02_Data_Layanan'!H29</x:f>
        <x:v>27911</x:v>
      </x:c>
      <x:c r="E8" s="11" t="n">
        <x:f>'SIM_07_Jantung_Pembuluh_Darah'!$B$6</x:f>
        <x:v>27911</x:v>
      </x:c>
      <x:c r="F8" s="11" t="n">
        <x:f>E8-D8</x:f>
        <x:v>0</x:v>
      </x:c>
      <x:c r="G8" s="11" t="n">
        <x:f>'02_Data_Layanan'!K26+'02_Data_Layanan'!K27+'02_Data_Layanan'!K28+'02_Data_Layanan'!K29</x:f>
        <x:v>7367284</x:v>
      </x:c>
      <x:c r="H8" s="11" t="n">
        <x:f>'SIM_07_Jantung_Pembuluh_Darah'!$F$6</x:f>
        <x:v>7367284</x:v>
      </x:c>
      <x:c r="I8" s="11" t="n">
        <x:f>H8-G8</x:f>
        <x:v>0</x:v>
      </x:c>
      <x:c r="J8" s="33" t="str">
        <x:f>IF(AND(ABS(F8)&lt;0.01,ABS(I8)&lt;0.01),"PASS","FAIL")</x:f>
        <x:v>PASS</x:v>
      </x:c>
    </x:row>
    <x:row r="9">
      <x:c r="A9" s="8">
        <x:v>8</x:v>
      </x:c>
      <x:c r="B9" s="7" t="str">
        <x:v>Jiwa</x:v>
      </x:c>
      <x:c r="C9" s="7" t="str">
        <x:v>SIM_08_Jiwa</x:v>
      </x:c>
      <x:c r="D9" s="11" t="n">
        <x:f>'02_Data_Layanan'!H30+'02_Data_Layanan'!H31+'02_Data_Layanan'!H32+'02_Data_Layanan'!H33</x:f>
        <x:v>2890</x:v>
      </x:c>
      <x:c r="E9" s="11" t="n">
        <x:f>'SIM_08_Jiwa'!$B$6</x:f>
        <x:v>2890</x:v>
      </x:c>
      <x:c r="F9" s="11" t="n">
        <x:f>E9-D9</x:f>
        <x:v>0</x:v>
      </x:c>
      <x:c r="G9" s="11" t="n">
        <x:f>'02_Data_Layanan'!K30+'02_Data_Layanan'!K31+'02_Data_Layanan'!K32+'02_Data_Layanan'!K33</x:f>
        <x:v>2998722</x:v>
      </x:c>
      <x:c r="H9" s="11" t="n">
        <x:f>'SIM_08_Jiwa'!$F$6</x:f>
        <x:v>2998722</x:v>
      </x:c>
      <x:c r="I9" s="11" t="n">
        <x:f>H9-G9</x:f>
        <x:v>0</x:v>
      </x:c>
      <x:c r="J9" s="33" t="str">
        <x:f>IF(AND(ABS(F9)&lt;0.01,ABS(I9)&lt;0.01),"PASS","FAIL")</x:f>
        <x:v>PASS</x:v>
      </x:c>
    </x:row>
    <x:row r="10">
      <x:c r="A10" s="8">
        <x:v>9</x:v>
      </x:c>
      <x:c r="B10" s="7" t="str">
        <x:v>Keracunan</x:v>
      </x:c>
      <x:c r="C10" s="7" t="str">
        <x:v>SIM_09_Keracunan</x:v>
      </x:c>
      <x:c r="D10" s="11" t="n">
        <x:f>'02_Data_Layanan'!H34+'02_Data_Layanan'!H35+'02_Data_Layanan'!H36+'02_Data_Layanan'!H37</x:f>
        <x:v>176</x:v>
      </x:c>
      <x:c r="E10" s="11" t="n">
        <x:f>'SIM_09_Keracunan'!$B$6</x:f>
        <x:v>176</x:v>
      </x:c>
      <x:c r="F10" s="11" t="n">
        <x:f>E10-D10</x:f>
        <x:v>0</x:v>
      </x:c>
      <x:c r="G10" s="11" t="n">
        <x:f>'02_Data_Layanan'!K34+'02_Data_Layanan'!K35+'02_Data_Layanan'!K36+'02_Data_Layanan'!K37</x:f>
        <x:v>12959</x:v>
      </x:c>
      <x:c r="H10" s="11" t="n">
        <x:f>'SIM_09_Keracunan'!$F$6</x:f>
        <x:v>12959</x:v>
      </x:c>
      <x:c r="I10" s="11" t="n">
        <x:f>H10-G10</x:f>
        <x:v>0</x:v>
      </x:c>
      <x:c r="J10" s="33" t="str">
        <x:f>IF(AND(ABS(F10)&lt;0.01,ABS(I10)&lt;0.01),"PASS","FAIL")</x:f>
        <x:v>PASS</x:v>
      </x:c>
    </x:row>
    <x:row r="11">
      <x:c r="A11" s="8">
        <x:v>10</x:v>
      </x:c>
      <x:c r="B11" s="7" t="str">
        <x:v>Kulit &amp; Penyakit Kelamin</x:v>
      </x:c>
      <x:c r="C11" s="7" t="str">
        <x:v>SIM_10_Kulit_Penyakit_Kelamin</x:v>
      </x:c>
      <x:c r="D11" s="11" t="n">
        <x:f>'02_Data_Layanan'!H38+'02_Data_Layanan'!H39+'02_Data_Layanan'!H40+'02_Data_Layanan'!H41</x:f>
        <x:v>18023</x:v>
      </x:c>
      <x:c r="E11" s="11" t="n">
        <x:f>'SIM_10_Kulit_Penyakit_Kelamin'!$B$6</x:f>
        <x:v>18023</x:v>
      </x:c>
      <x:c r="F11" s="11" t="n">
        <x:f>E11-D11</x:f>
        <x:v>0</x:v>
      </x:c>
      <x:c r="G11" s="11" t="n">
        <x:f>'02_Data_Layanan'!K38+'02_Data_Layanan'!K39+'02_Data_Layanan'!K40+'02_Data_Layanan'!K41</x:f>
        <x:v>1724005</x:v>
      </x:c>
      <x:c r="H11" s="11" t="n">
        <x:f>'SIM_10_Kulit_Penyakit_Kelamin'!$F$6</x:f>
        <x:v>1724005</x:v>
      </x:c>
      <x:c r="I11" s="11" t="n">
        <x:f>H11-G11</x:f>
        <x:v>0</x:v>
      </x:c>
      <x:c r="J11" s="33" t="str">
        <x:f>IF(AND(ABS(F11)&lt;0.01,ABS(I11)&lt;0.01),"PASS","FAIL")</x:f>
        <x:v>PASS</x:v>
      </x:c>
    </x:row>
    <x:row r="12">
      <x:c r="A12" s="8">
        <x:v>11</x:v>
      </x:c>
      <x:c r="B12" s="7" t="str">
        <x:v>Luka Bakar</x:v>
      </x:c>
      <x:c r="C12" s="7" t="str">
        <x:v>SIM_11_Luka_Bakar</x:v>
      </x:c>
      <x:c r="D12" s="11" t="n">
        <x:f>'02_Data_Layanan'!H42+'02_Data_Layanan'!H43+'02_Data_Layanan'!H44+'02_Data_Layanan'!H45</x:f>
        <x:v>203</x:v>
      </x:c>
      <x:c r="E12" s="11" t="n">
        <x:f>'SIM_11_Luka_Bakar'!$B$6</x:f>
        <x:v>203</x:v>
      </x:c>
      <x:c r="F12" s="11" t="n">
        <x:f>E12-D12</x:f>
        <x:v>0</x:v>
      </x:c>
      <x:c r="G12" s="11" t="n">
        <x:f>'02_Data_Layanan'!K42+'02_Data_Layanan'!K43+'02_Data_Layanan'!K44+'02_Data_Layanan'!K45</x:f>
        <x:v>27595</x:v>
      </x:c>
      <x:c r="H12" s="11" t="n">
        <x:f>'SIM_11_Luka_Bakar'!$F$6</x:f>
        <x:v>27595</x:v>
      </x:c>
      <x:c r="I12" s="11" t="n">
        <x:f>H12-G12</x:f>
        <x:v>0</x:v>
      </x:c>
      <x:c r="J12" s="33" t="str">
        <x:f>IF(AND(ABS(F12)&lt;0.01,ABS(I12)&lt;0.01),"PASS","FAIL")</x:f>
        <x:v>PASS</x:v>
      </x:c>
    </x:row>
    <x:row r="13">
      <x:c r="A13" s="8">
        <x:v>12</x:v>
      </x:c>
      <x:c r="B13" s="7" t="str">
        <x:v>Mata</x:v>
      </x:c>
      <x:c r="C13" s="7" t="str">
        <x:v>SIM_12_Mata</x:v>
      </x:c>
      <x:c r="D13" s="11" t="n">
        <x:f>'02_Data_Layanan'!H46+'02_Data_Layanan'!H47+'02_Data_Layanan'!H48+'02_Data_Layanan'!H49</x:f>
        <x:v>9495</x:v>
      </x:c>
      <x:c r="E13" s="11" t="n">
        <x:f>'SIM_12_Mata'!$B$6</x:f>
        <x:v>9495</x:v>
      </x:c>
      <x:c r="F13" s="11" t="n">
        <x:f>E13-D13</x:f>
        <x:v>0</x:v>
      </x:c>
      <x:c r="G13" s="11" t="n">
        <x:f>'02_Data_Layanan'!K46+'02_Data_Layanan'!K47+'02_Data_Layanan'!K48+'02_Data_Layanan'!K49</x:f>
        <x:v>3702460</x:v>
      </x:c>
      <x:c r="H13" s="11" t="n">
        <x:f>'SIM_12_Mata'!$F$6</x:f>
        <x:v>3702460</x:v>
      </x:c>
      <x:c r="I13" s="11" t="n">
        <x:f>H13-G13</x:f>
        <x:v>0</x:v>
      </x:c>
      <x:c r="J13" s="33" t="str">
        <x:f>IF(AND(ABS(F13)&lt;0.01,ABS(I13)&lt;0.01),"PASS","FAIL")</x:f>
        <x:v>PASS</x:v>
      </x:c>
    </x:row>
    <x:row r="14">
      <x:c r="A14" s="8">
        <x:v>13</x:v>
      </x:c>
      <x:c r="B14" s="7" t="str">
        <x:v>Muskuloskeletal &amp; Jaringan Lunak</x:v>
      </x:c>
      <x:c r="C14" s="7" t="str">
        <x:v>SIM_13_Muskuloskeletal_Jaringan</x:v>
      </x:c>
      <x:c r="D14" s="11" t="n">
        <x:f>'02_Data_Layanan'!H50+'02_Data_Layanan'!H51+'02_Data_Layanan'!H52+'02_Data_Layanan'!H53</x:f>
        <x:v>40891</x:v>
      </x:c>
      <x:c r="E14" s="11" t="n">
        <x:f>'SIM_13_Muskuloskeletal_Jaringan'!$B$6</x:f>
        <x:v>40891</x:v>
      </x:c>
      <x:c r="F14" s="11" t="n">
        <x:f>E14-D14</x:f>
        <x:v>0</x:v>
      </x:c>
      <x:c r="G14" s="11" t="n">
        <x:f>'02_Data_Layanan'!K50+'02_Data_Layanan'!K51+'02_Data_Layanan'!K52+'02_Data_Layanan'!K53</x:f>
        <x:v>6433789</x:v>
      </x:c>
      <x:c r="H14" s="11" t="n">
        <x:f>'SIM_13_Muskuloskeletal_Jaringan'!$F$6</x:f>
        <x:v>6433789</x:v>
      </x:c>
      <x:c r="I14" s="11" t="n">
        <x:f>H14-G14</x:f>
        <x:v>0</x:v>
      </x:c>
      <x:c r="J14" s="33" t="str">
        <x:f>IF(AND(ABS(F14)&lt;0.01,ABS(I14)&lt;0.01),"PASS","FAIL")</x:f>
        <x:v>PASS</x:v>
      </x:c>
    </x:row>
    <x:row r="15">
      <x:c r="A15" s="8">
        <x:v>14</x:v>
      </x:c>
      <x:c r="B15" s="7" t="str">
        <x:v>Neonatus</x:v>
      </x:c>
      <x:c r="C15" s="7" t="str">
        <x:v>SIM_14_Neonatus</x:v>
      </x:c>
      <x:c r="D15" s="11" t="n">
        <x:f>'02_Data_Layanan'!H54+'02_Data_Layanan'!H55+'02_Data_Layanan'!H56+'02_Data_Layanan'!H57</x:f>
        <x:v>1107</x:v>
      </x:c>
      <x:c r="E15" s="11" t="n">
        <x:f>'SIM_14_Neonatus'!$B$6</x:f>
        <x:v>1107</x:v>
      </x:c>
      <x:c r="F15" s="11" t="n">
        <x:f>E15-D15</x:f>
        <x:v>0</x:v>
      </x:c>
      <x:c r="G15" s="11" t="n">
        <x:f>'02_Data_Layanan'!K54+'02_Data_Layanan'!K55+'02_Data_Layanan'!K56+'02_Data_Layanan'!K57</x:f>
        <x:v>296415</x:v>
      </x:c>
      <x:c r="H15" s="11" t="n">
        <x:f>'SIM_14_Neonatus'!$F$6</x:f>
        <x:v>296415</x:v>
      </x:c>
      <x:c r="I15" s="11" t="n">
        <x:f>H15-G15</x:f>
        <x:v>0</x:v>
      </x:c>
      <x:c r="J15" s="33" t="str">
        <x:f>IF(AND(ABS(F15)&lt;0.01,ABS(I15)&lt;0.01),"PASS","FAIL")</x:f>
        <x:v>PASS</x:v>
      </x:c>
    </x:row>
    <x:row r="16">
      <x:c r="A16" s="8">
        <x:v>15</x:v>
      </x:c>
      <x:c r="B16" s="7" t="str">
        <x:v>Neoplasma</x:v>
      </x:c>
      <x:c r="C16" s="7" t="str">
        <x:v>SIM_15_Neoplasma</x:v>
      </x:c>
      <x:c r="D16" s="11" t="n">
        <x:f>'02_Data_Layanan'!H58+'02_Data_Layanan'!H59+'02_Data_Layanan'!H60+'02_Data_Layanan'!H61</x:f>
        <x:v>40820</x:v>
      </x:c>
      <x:c r="E16" s="11" t="n">
        <x:f>'SIM_15_Neoplasma'!$B$6</x:f>
        <x:v>40820</x:v>
      </x:c>
      <x:c r="F16" s="11" t="n">
        <x:f>E16-D16</x:f>
        <x:v>0</x:v>
      </x:c>
      <x:c r="G16" s="11" t="n">
        <x:f>'02_Data_Layanan'!K58+'02_Data_Layanan'!K59+'02_Data_Layanan'!K60+'02_Data_Layanan'!K61</x:f>
        <x:v>918361</x:v>
      </x:c>
      <x:c r="H16" s="11" t="n">
        <x:f>'SIM_15_Neoplasma'!$F$6</x:f>
        <x:v>918361</x:v>
      </x:c>
      <x:c r="I16" s="11" t="n">
        <x:f>H16-G16</x:f>
        <x:v>0</x:v>
      </x:c>
      <x:c r="J16" s="33" t="str">
        <x:f>IF(AND(ABS(F16)&lt;0.01,ABS(I16)&lt;0.01),"PASS","FAIL")</x:f>
        <x:v>PASS</x:v>
      </x:c>
    </x:row>
    <x:row r="17">
      <x:c r="A17" s="8">
        <x:v>16</x:v>
      </x:c>
      <x:c r="B17" s="7" t="str">
        <x:v>Paru &amp; Pernafasan</x:v>
      </x:c>
      <x:c r="C17" s="7" t="str">
        <x:v>SIM_16_Paru_Pernafasan</x:v>
      </x:c>
      <x:c r="D17" s="11" t="n">
        <x:f>'02_Data_Layanan'!H62+'02_Data_Layanan'!H63+'02_Data_Layanan'!H64+'02_Data_Layanan'!H65</x:f>
        <x:v>10382</x:v>
      </x:c>
      <x:c r="E17" s="11" t="n">
        <x:f>'SIM_16_Paru_Pernafasan'!$B$6</x:f>
        <x:v>10382</x:v>
      </x:c>
      <x:c r="F17" s="11" t="n">
        <x:f>E17-D17</x:f>
        <x:v>0</x:v>
      </x:c>
      <x:c r="G17" s="11" t="n">
        <x:f>'02_Data_Layanan'!K62+'02_Data_Layanan'!K63+'02_Data_Layanan'!K64+'02_Data_Layanan'!K65</x:f>
        <x:v>4361300</x:v>
      </x:c>
      <x:c r="H17" s="11" t="n">
        <x:f>'SIM_16_Paru_Pernafasan'!$F$6</x:f>
        <x:v>4361300</x:v>
      </x:c>
      <x:c r="I17" s="11" t="n">
        <x:f>H17-G17</x:f>
        <x:v>0</x:v>
      </x:c>
      <x:c r="J17" s="33" t="str">
        <x:f>IF(AND(ABS(F17)&lt;0.01,ABS(I17)&lt;0.01),"PASS","FAIL")</x:f>
        <x:v>PASS</x:v>
      </x:c>
    </x:row>
    <x:row r="18">
      <x:c r="A18" s="8">
        <x:v>17</x:v>
      </x:c>
      <x:c r="B18" s="7" t="str">
        <x:v>Pencernaan &amp; Hepatobilier</x:v>
      </x:c>
      <x:c r="C18" s="7" t="str">
        <x:v>SIM_17_Pencernaan_Hepatobilier</x:v>
      </x:c>
      <x:c r="D18" s="11" t="n">
        <x:f>'02_Data_Layanan'!H66+'02_Data_Layanan'!H67+'02_Data_Layanan'!H68+'02_Data_Layanan'!H69</x:f>
        <x:v>33972</x:v>
      </x:c>
      <x:c r="E18" s="11" t="n">
        <x:f>'SIM_17_Pencernaan_Hepatobilier'!$B$6</x:f>
        <x:v>33972</x:v>
      </x:c>
      <x:c r="F18" s="11" t="n">
        <x:f>E18-D18</x:f>
        <x:v>0</x:v>
      </x:c>
      <x:c r="G18" s="11" t="n">
        <x:f>'02_Data_Layanan'!K66+'02_Data_Layanan'!K67+'02_Data_Layanan'!K68+'02_Data_Layanan'!K69</x:f>
        <x:v>3814865</x:v>
      </x:c>
      <x:c r="H18" s="11" t="n">
        <x:f>'SIM_17_Pencernaan_Hepatobilier'!$F$6</x:f>
        <x:v>3814865</x:v>
      </x:c>
      <x:c r="I18" s="11" t="n">
        <x:f>H18-G18</x:f>
        <x:v>0</x:v>
      </x:c>
      <x:c r="J18" s="33" t="str">
        <x:f>IF(AND(ABS(F18)&lt;0.01,ABS(I18)&lt;0.01),"PASS","FAIL")</x:f>
        <x:v>PASS</x:v>
      </x:c>
    </x:row>
    <x:row r="19">
      <x:c r="A19" s="8">
        <x:v>18</x:v>
      </x:c>
      <x:c r="B19" s="7" t="str">
        <x:v>Rehabilitasi</x:v>
      </x:c>
      <x:c r="C19" s="7" t="str">
        <x:v>SIM_18_Rehabilitasi</x:v>
      </x:c>
      <x:c r="D19" s="11" t="n">
        <x:f>'02_Data_Layanan'!H70+'02_Data_Layanan'!H71+'02_Data_Layanan'!H72+'02_Data_Layanan'!H73</x:f>
        <x:v>11766</x:v>
      </x:c>
      <x:c r="E19" s="11" t="n">
        <x:f>'SIM_18_Rehabilitasi'!$B$6</x:f>
        <x:v>11766</x:v>
      </x:c>
      <x:c r="F19" s="11" t="n">
        <x:f>E19-D19</x:f>
        <x:v>0</x:v>
      </x:c>
      <x:c r="G19" s="11" t="n">
        <x:f>'02_Data_Layanan'!K70+'02_Data_Layanan'!K71+'02_Data_Layanan'!K72+'02_Data_Layanan'!K73</x:f>
        <x:v>8561733</x:v>
      </x:c>
      <x:c r="H19" s="11" t="n">
        <x:f>'SIM_18_Rehabilitasi'!$F$6</x:f>
        <x:v>8561733</x:v>
      </x:c>
      <x:c r="I19" s="11" t="n">
        <x:f>H19-G19</x:f>
        <x:v>0</x:v>
      </x:c>
      <x:c r="J19" s="33" t="str">
        <x:f>IF(AND(ABS(F19)&lt;0.01,ABS(I19)&lt;0.01),"PASS","FAIL")</x:f>
        <x:v>PASS</x:v>
      </x:c>
    </x:row>
    <x:row r="20">
      <x:c r="A20" s="8">
        <x:v>19</x:v>
      </x:c>
      <x:c r="B20" s="7" t="str">
        <x:v>Rekonstruksi &amp; Estetika</x:v>
      </x:c>
      <x:c r="C20" s="7" t="str">
        <x:v>SIM_19_Rekonstruksi_Estetika</x:v>
      </x:c>
      <x:c r="D20" s="11" t="n">
        <x:f>'02_Data_Layanan'!H74+'02_Data_Layanan'!H75+'02_Data_Layanan'!H76+'02_Data_Layanan'!H77</x:f>
        <x:v>1530</x:v>
      </x:c>
      <x:c r="E20" s="11" t="n">
        <x:f>'SIM_19_Rekonstruksi_Estetika'!$B$6</x:f>
        <x:v>1530</x:v>
      </x:c>
      <x:c r="F20" s="11" t="n">
        <x:f>E20-D20</x:f>
        <x:v>0</x:v>
      </x:c>
      <x:c r="G20" s="11" t="n">
        <x:f>'02_Data_Layanan'!K74+'02_Data_Layanan'!K75+'02_Data_Layanan'!K76+'02_Data_Layanan'!K77</x:f>
        <x:v>244464</x:v>
      </x:c>
      <x:c r="H20" s="11" t="n">
        <x:f>'SIM_19_Rekonstruksi_Estetika'!$F$6</x:f>
        <x:v>244464</x:v>
      </x:c>
      <x:c r="I20" s="11" t="n">
        <x:f>H20-G20</x:f>
        <x:v>0</x:v>
      </x:c>
      <x:c r="J20" s="33" t="str">
        <x:f>IF(AND(ABS(F20)&lt;0.01,ABS(I20)&lt;0.01),"PASS","FAIL")</x:f>
        <x:v>PASS</x:v>
      </x:c>
    </x:row>
    <x:row r="21">
      <x:c r="A21" s="8">
        <x:v>20</x:v>
      </x:c>
      <x:c r="B21" s="7" t="str">
        <x:v>Saraf / Neuroscience</x:v>
      </x:c>
      <x:c r="C21" s="7" t="str">
        <x:v>SIM_20_Saraf_Neuroscience</x:v>
      </x:c>
      <x:c r="D21" s="11" t="n">
        <x:f>'02_Data_Layanan'!H78+'02_Data_Layanan'!H79+'02_Data_Layanan'!H80+'02_Data_Layanan'!H81</x:f>
        <x:v>20895</x:v>
      </x:c>
      <x:c r="E21" s="11" t="n">
        <x:f>'SIM_20_Saraf_Neuroscience'!$B$6</x:f>
        <x:v>20895</x:v>
      </x:c>
      <x:c r="F21" s="11" t="n">
        <x:f>E21-D21</x:f>
        <x:v>0</x:v>
      </x:c>
      <x:c r="G21" s="11" t="n">
        <x:f>'02_Data_Layanan'!K78+'02_Data_Layanan'!K79+'02_Data_Layanan'!K80+'02_Data_Layanan'!K81</x:f>
        <x:v>6060058</x:v>
      </x:c>
      <x:c r="H21" s="11" t="n">
        <x:f>'SIM_20_Saraf_Neuroscience'!$F$6</x:f>
        <x:v>6060058</x:v>
      </x:c>
      <x:c r="I21" s="11" t="n">
        <x:f>H21-G21</x:f>
        <x:v>0</x:v>
      </x:c>
      <x:c r="J21" s="33" t="str">
        <x:f>IF(AND(ABS(F21)&lt;0.01,ABS(I21)&lt;0.01),"PASS","FAIL")</x:f>
        <x:v>PASS</x:v>
      </x:c>
    </x:row>
    <x:row r="22">
      <x:c r="A22" s="8">
        <x:v>21</x:v>
      </x:c>
      <x:c r="B22" s="7" t="str">
        <x:v>Tht</x:v>
      </x:c>
      <x:c r="C22" s="7" t="str">
        <x:v>SIM_21_Tht</x:v>
      </x:c>
      <x:c r="D22" s="11" t="n">
        <x:f>'02_Data_Layanan'!H82+'02_Data_Layanan'!H83+'02_Data_Layanan'!H84+'02_Data_Layanan'!H85</x:f>
        <x:v>13691</x:v>
      </x:c>
      <x:c r="E22" s="11" t="n">
        <x:f>'SIM_21_Tht'!$B$6</x:f>
        <x:v>13691</x:v>
      </x:c>
      <x:c r="F22" s="11" t="n">
        <x:f>E22-D22</x:f>
        <x:v>0</x:v>
      </x:c>
      <x:c r="G22" s="11" t="n">
        <x:f>'02_Data_Layanan'!K82+'02_Data_Layanan'!K83+'02_Data_Layanan'!K84+'02_Data_Layanan'!K85</x:f>
        <x:v>2921527</x:v>
      </x:c>
      <x:c r="H22" s="11" t="n">
        <x:f>'SIM_21_Tht'!$F$6</x:f>
        <x:v>2921527</x:v>
      </x:c>
      <x:c r="I22" s="11" t="n">
        <x:f>H22-G22</x:f>
        <x:v>0</x:v>
      </x:c>
      <x:c r="J22" s="33" t="str">
        <x:f>IF(AND(ABS(F22)&lt;0.01,ABS(I22)&lt;0.01),"PASS","FAIL")</x:f>
        <x:v>PASS</x:v>
      </x:c>
    </x:row>
    <x:row r="23">
      <x:c r="A23" s="8">
        <x:v>22</x:v>
      </x:c>
      <x:c r="B23" s="7" t="str">
        <x:v>Trauma</x:v>
      </x:c>
      <x:c r="C23" s="7" t="str">
        <x:v>SIM_22_Trauma</x:v>
      </x:c>
      <x:c r="D23" s="11" t="n">
        <x:f>'02_Data_Layanan'!H86+'02_Data_Layanan'!H87+'02_Data_Layanan'!H88+'02_Data_Layanan'!H89</x:f>
        <x:v>2356</x:v>
      </x:c>
      <x:c r="E23" s="11" t="n">
        <x:f>'SIM_22_Trauma'!$B$6</x:f>
        <x:v>2356</x:v>
      </x:c>
      <x:c r="F23" s="11" t="n">
        <x:f>E23-D23</x:f>
        <x:v>0</x:v>
      </x:c>
      <x:c r="G23" s="11" t="n">
        <x:f>'02_Data_Layanan'!K86+'02_Data_Layanan'!K87+'02_Data_Layanan'!K88+'02_Data_Layanan'!K89</x:f>
        <x:v>214723</x:v>
      </x:c>
      <x:c r="H23" s="11" t="n">
        <x:f>'SIM_22_Trauma'!$F$6</x:f>
        <x:v>214723</x:v>
      </x:c>
      <x:c r="I23" s="11" t="n">
        <x:f>H23-G23</x:f>
        <x:v>0</x:v>
      </x:c>
      <x:c r="J23" s="33" t="str">
        <x:f>IF(AND(ABS(F23)&lt;0.01,ABS(I23)&lt;0.01),"PASS","FAIL")</x:f>
        <x:v>PASS</x:v>
      </x:c>
    </x:row>
    <x:row r="24">
      <x:c r="A24" s="8">
        <x:v>23</x:v>
      </x:c>
      <x:c r="B24" s="7" t="str">
        <x:v>Uro Nefro</x:v>
      </x:c>
      <x:c r="C24" s="7" t="str">
        <x:v>SIM_23_Uro_Nefro</x:v>
      </x:c>
      <x:c r="D24" s="11" t="n">
        <x:f>'02_Data_Layanan'!H90+'02_Data_Layanan'!H91+'02_Data_Layanan'!H92+'02_Data_Layanan'!H93</x:f>
        <x:v>39032</x:v>
      </x:c>
      <x:c r="E24" s="11" t="n">
        <x:f>'SIM_23_Uro_Nefro'!$B$6</x:f>
        <x:v>39032</x:v>
      </x:c>
      <x:c r="F24" s="11" t="n">
        <x:f>E24-D24</x:f>
        <x:v>0</x:v>
      </x:c>
      <x:c r="G24" s="11" t="n">
        <x:f>'02_Data_Layanan'!K90+'02_Data_Layanan'!K91+'02_Data_Layanan'!K92+'02_Data_Layanan'!K93</x:f>
        <x:v>6519253</x:v>
      </x:c>
      <x:c r="H24" s="11" t="n">
        <x:f>'SIM_23_Uro_Nefro'!$F$6</x:f>
        <x:v>6519253</x:v>
      </x:c>
      <x:c r="I24" s="11" t="n">
        <x:f>H24-G24</x:f>
        <x:v>0</x:v>
      </x:c>
      <x:c r="J24" s="33" t="str">
        <x:f>IF(AND(ABS(F24)&lt;0.01,ABS(I24)&lt;0.01),"PASS","FAIL")</x:f>
        <x:v>PASS</x:v>
      </x:c>
    </x:row>
  </x:sheetData>
  <x:pageMargins left="0.7" right="0.7" top="0.75" bottom="0.75" header="0.3" footer="0.3"/>
</x:worksheet>
</file>